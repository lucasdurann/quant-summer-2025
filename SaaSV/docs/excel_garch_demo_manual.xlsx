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quant-summer-2025\SaaSV\docs\"/>
    </mc:Choice>
  </mc:AlternateContent>
  <xr:revisionPtr revIDLastSave="0" documentId="13_ncr:1_{7F896BD2-2F98-467F-800D-942560D81981}" xr6:coauthVersionLast="47" xr6:coauthVersionMax="47" xr10:uidLastSave="{00000000-0000-0000-0000-000000000000}"/>
  <bookViews>
    <workbookView xWindow="-108" yWindow="-108" windowWidth="23256" windowHeight="13176" xr2:uid="{2BA90029-8D8B-41BD-9E9A-C371659A02A0}"/>
  </bookViews>
  <sheets>
    <sheet name="IRS_returns_2015-25" sheetId="2" r:id="rId1"/>
    <sheet name="Sheet1" sheetId="1" r:id="rId2"/>
  </sheets>
  <definedNames>
    <definedName name="a">'IRS_returns_2015-25'!$I$2</definedName>
    <definedName name="b">'IRS_returns_2015-25'!$J$2</definedName>
    <definedName name="ExternalData_1" localSheetId="0" hidden="1">'IRS_returns_2015-25'!$A$1:$B$2549</definedName>
    <definedName name="solver_adj" localSheetId="0" hidden="1">'IRS_returns_2015-25'!$H$2,'IRS_returns_2015-25'!$I$2,'IRS_returns_2015-25'!$J$2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500</definedName>
    <definedName name="solver_lhs1" localSheetId="0" hidden="1">'IRS_returns_2015-25'!$I$2</definedName>
    <definedName name="solver_lhs2" localSheetId="0" hidden="1">'IRS_returns_2015-25'!$I$2</definedName>
    <definedName name="solver_lhs3" localSheetId="0" hidden="1">'IRS_returns_2015-25'!$J$2</definedName>
    <definedName name="solver_lhs4" localSheetId="0" hidden="1">'IRS_returns_2015-25'!$J$2</definedName>
    <definedName name="solver_lhs5" localSheetId="0" hidden="1">'IRS_returns_2015-25'!$H$2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'IRS_returns_2015-25'!$H$5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3</definedName>
    <definedName name="solver_rhs1" localSheetId="0" hidden="1">0.999</definedName>
    <definedName name="solver_rhs2" localSheetId="0" hidden="1">0</definedName>
    <definedName name="solver_rhs3" localSheetId="0" hidden="1">0.999</definedName>
    <definedName name="solver_rhs4" localSheetId="0" hidden="1">0</definedName>
    <definedName name="solver_rhs5" localSheetId="0" hidden="1">0.00001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60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  <definedName name="w">'IRS_returns_2015-25'!$H$2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C2" i="2"/>
  <c r="D2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D3" i="2" l="1"/>
  <c r="E2" i="2"/>
  <c r="D4" i="2"/>
  <c r="E3" i="2"/>
  <c r="D5" i="2" l="1"/>
  <c r="E4" i="2"/>
  <c r="D6" i="2" l="1"/>
  <c r="E5" i="2"/>
  <c r="D7" i="2" l="1"/>
  <c r="E6" i="2"/>
  <c r="D8" i="2" l="1"/>
  <c r="E7" i="2"/>
  <c r="D9" i="2" l="1"/>
  <c r="E8" i="2"/>
  <c r="D10" i="2" l="1"/>
  <c r="E9" i="2"/>
  <c r="D11" i="2" l="1"/>
  <c r="E10" i="2"/>
  <c r="D12" i="2" l="1"/>
  <c r="E11" i="2"/>
  <c r="D13" i="2" l="1"/>
  <c r="E12" i="2"/>
  <c r="D14" i="2" l="1"/>
  <c r="E13" i="2"/>
  <c r="D15" i="2" l="1"/>
  <c r="E14" i="2"/>
  <c r="D16" i="2" l="1"/>
  <c r="E15" i="2"/>
  <c r="D17" i="2" l="1"/>
  <c r="E16" i="2"/>
  <c r="D18" i="2" l="1"/>
  <c r="E17" i="2"/>
  <c r="D19" i="2" l="1"/>
  <c r="E18" i="2"/>
  <c r="D20" i="2" l="1"/>
  <c r="E19" i="2"/>
  <c r="D21" i="2" l="1"/>
  <c r="E20" i="2"/>
  <c r="D22" i="2" l="1"/>
  <c r="E21" i="2"/>
  <c r="D23" i="2" l="1"/>
  <c r="E22" i="2"/>
  <c r="D24" i="2" l="1"/>
  <c r="E23" i="2"/>
  <c r="D25" i="2" l="1"/>
  <c r="E24" i="2"/>
  <c r="D26" i="2" l="1"/>
  <c r="E25" i="2"/>
  <c r="D27" i="2" l="1"/>
  <c r="E26" i="2"/>
  <c r="D28" i="2" l="1"/>
  <c r="E27" i="2"/>
  <c r="D29" i="2" l="1"/>
  <c r="E28" i="2"/>
  <c r="D30" i="2" l="1"/>
  <c r="E29" i="2"/>
  <c r="D31" i="2" l="1"/>
  <c r="E30" i="2"/>
  <c r="D32" i="2" l="1"/>
  <c r="E31" i="2"/>
  <c r="D33" i="2" l="1"/>
  <c r="E32" i="2"/>
  <c r="D34" i="2" l="1"/>
  <c r="E33" i="2"/>
  <c r="D35" i="2" l="1"/>
  <c r="E34" i="2"/>
  <c r="D36" i="2" l="1"/>
  <c r="E35" i="2"/>
  <c r="D37" i="2" l="1"/>
  <c r="E36" i="2"/>
  <c r="D38" i="2" l="1"/>
  <c r="E37" i="2"/>
  <c r="D39" i="2" l="1"/>
  <c r="E38" i="2"/>
  <c r="D40" i="2" l="1"/>
  <c r="E39" i="2"/>
  <c r="D41" i="2" l="1"/>
  <c r="E40" i="2"/>
  <c r="D42" i="2" l="1"/>
  <c r="E41" i="2"/>
  <c r="D43" i="2" l="1"/>
  <c r="E42" i="2"/>
  <c r="D44" i="2" l="1"/>
  <c r="E43" i="2"/>
  <c r="D45" i="2" l="1"/>
  <c r="E44" i="2"/>
  <c r="D46" i="2" l="1"/>
  <c r="E45" i="2"/>
  <c r="D47" i="2" l="1"/>
  <c r="E46" i="2"/>
  <c r="D48" i="2" l="1"/>
  <c r="E47" i="2"/>
  <c r="D49" i="2" l="1"/>
  <c r="E48" i="2"/>
  <c r="D50" i="2" l="1"/>
  <c r="E49" i="2"/>
  <c r="D51" i="2" l="1"/>
  <c r="E50" i="2"/>
  <c r="D52" i="2" l="1"/>
  <c r="E51" i="2"/>
  <c r="D53" i="2" l="1"/>
  <c r="E52" i="2"/>
  <c r="D54" i="2" l="1"/>
  <c r="E53" i="2"/>
  <c r="D55" i="2" l="1"/>
  <c r="E54" i="2"/>
  <c r="D56" i="2" l="1"/>
  <c r="E55" i="2"/>
  <c r="D57" i="2" l="1"/>
  <c r="E56" i="2"/>
  <c r="D58" i="2" l="1"/>
  <c r="E57" i="2"/>
  <c r="D59" i="2" l="1"/>
  <c r="E58" i="2"/>
  <c r="D60" i="2" l="1"/>
  <c r="E59" i="2"/>
  <c r="D61" i="2" l="1"/>
  <c r="E60" i="2"/>
  <c r="D62" i="2" l="1"/>
  <c r="E61" i="2"/>
  <c r="D63" i="2" l="1"/>
  <c r="E62" i="2"/>
  <c r="D64" i="2" l="1"/>
  <c r="E63" i="2"/>
  <c r="D65" i="2" l="1"/>
  <c r="E64" i="2"/>
  <c r="D66" i="2" l="1"/>
  <c r="E65" i="2"/>
  <c r="D67" i="2" l="1"/>
  <c r="E66" i="2"/>
  <c r="D68" i="2" l="1"/>
  <c r="E67" i="2"/>
  <c r="D69" i="2" l="1"/>
  <c r="E68" i="2"/>
  <c r="D70" i="2" l="1"/>
  <c r="E69" i="2"/>
  <c r="D71" i="2" l="1"/>
  <c r="E70" i="2"/>
  <c r="D72" i="2" l="1"/>
  <c r="E71" i="2"/>
  <c r="D73" i="2" l="1"/>
  <c r="E72" i="2"/>
  <c r="D74" i="2" l="1"/>
  <c r="E73" i="2"/>
  <c r="D75" i="2" l="1"/>
  <c r="E74" i="2"/>
  <c r="D76" i="2" l="1"/>
  <c r="E75" i="2"/>
  <c r="D77" i="2" l="1"/>
  <c r="E76" i="2"/>
  <c r="D78" i="2" l="1"/>
  <c r="E77" i="2"/>
  <c r="D79" i="2" l="1"/>
  <c r="E78" i="2"/>
  <c r="D80" i="2" l="1"/>
  <c r="E79" i="2"/>
  <c r="D81" i="2" l="1"/>
  <c r="E80" i="2"/>
  <c r="D82" i="2" l="1"/>
  <c r="E81" i="2"/>
  <c r="D83" i="2" l="1"/>
  <c r="E82" i="2"/>
  <c r="D84" i="2" l="1"/>
  <c r="E83" i="2"/>
  <c r="D85" i="2" l="1"/>
  <c r="E84" i="2"/>
  <c r="D86" i="2" l="1"/>
  <c r="E85" i="2"/>
  <c r="D87" i="2" l="1"/>
  <c r="E86" i="2"/>
  <c r="D88" i="2" l="1"/>
  <c r="E87" i="2"/>
  <c r="D89" i="2" l="1"/>
  <c r="E88" i="2"/>
  <c r="D90" i="2" l="1"/>
  <c r="E89" i="2"/>
  <c r="D91" i="2" l="1"/>
  <c r="E90" i="2"/>
  <c r="D92" i="2" l="1"/>
  <c r="E91" i="2"/>
  <c r="D93" i="2" l="1"/>
  <c r="E92" i="2"/>
  <c r="D94" i="2" l="1"/>
  <c r="E93" i="2"/>
  <c r="D95" i="2" l="1"/>
  <c r="E94" i="2"/>
  <c r="D96" i="2" l="1"/>
  <c r="E95" i="2"/>
  <c r="D97" i="2" l="1"/>
  <c r="E96" i="2"/>
  <c r="D98" i="2" l="1"/>
  <c r="E97" i="2"/>
  <c r="D99" i="2" l="1"/>
  <c r="E98" i="2"/>
  <c r="D100" i="2" l="1"/>
  <c r="E99" i="2"/>
  <c r="D101" i="2" l="1"/>
  <c r="E100" i="2"/>
  <c r="D102" i="2" l="1"/>
  <c r="E101" i="2"/>
  <c r="D103" i="2" l="1"/>
  <c r="E102" i="2"/>
  <c r="D104" i="2" l="1"/>
  <c r="E103" i="2"/>
  <c r="D105" i="2" l="1"/>
  <c r="E104" i="2"/>
  <c r="D106" i="2" l="1"/>
  <c r="E105" i="2"/>
  <c r="D107" i="2" l="1"/>
  <c r="E106" i="2"/>
  <c r="D108" i="2" l="1"/>
  <c r="E107" i="2"/>
  <c r="D109" i="2" l="1"/>
  <c r="E108" i="2"/>
  <c r="D110" i="2" l="1"/>
  <c r="E109" i="2"/>
  <c r="D111" i="2" l="1"/>
  <c r="E110" i="2"/>
  <c r="D112" i="2" l="1"/>
  <c r="E111" i="2"/>
  <c r="D113" i="2" l="1"/>
  <c r="E112" i="2"/>
  <c r="D114" i="2" l="1"/>
  <c r="E113" i="2"/>
  <c r="D115" i="2" l="1"/>
  <c r="E114" i="2"/>
  <c r="D116" i="2" l="1"/>
  <c r="E115" i="2"/>
  <c r="D117" i="2" l="1"/>
  <c r="E116" i="2"/>
  <c r="D118" i="2" l="1"/>
  <c r="E117" i="2"/>
  <c r="D119" i="2" l="1"/>
  <c r="E118" i="2"/>
  <c r="D120" i="2" l="1"/>
  <c r="E119" i="2"/>
  <c r="D121" i="2" l="1"/>
  <c r="E120" i="2"/>
  <c r="D122" i="2" l="1"/>
  <c r="E121" i="2"/>
  <c r="D123" i="2" l="1"/>
  <c r="E122" i="2"/>
  <c r="D124" i="2" l="1"/>
  <c r="E123" i="2"/>
  <c r="D125" i="2" l="1"/>
  <c r="E124" i="2"/>
  <c r="D126" i="2" l="1"/>
  <c r="E125" i="2"/>
  <c r="D127" i="2" l="1"/>
  <c r="E126" i="2"/>
  <c r="D128" i="2" l="1"/>
  <c r="E127" i="2"/>
  <c r="D129" i="2" l="1"/>
  <c r="E128" i="2"/>
  <c r="D130" i="2" l="1"/>
  <c r="E129" i="2"/>
  <c r="D131" i="2" l="1"/>
  <c r="E130" i="2"/>
  <c r="D132" i="2" l="1"/>
  <c r="E131" i="2"/>
  <c r="D133" i="2" l="1"/>
  <c r="E132" i="2"/>
  <c r="D134" i="2" l="1"/>
  <c r="E133" i="2"/>
  <c r="D135" i="2" l="1"/>
  <c r="E134" i="2"/>
  <c r="D136" i="2" l="1"/>
  <c r="E135" i="2"/>
  <c r="D137" i="2" l="1"/>
  <c r="E136" i="2"/>
  <c r="D138" i="2" l="1"/>
  <c r="E137" i="2"/>
  <c r="D139" i="2" l="1"/>
  <c r="E138" i="2"/>
  <c r="D140" i="2" l="1"/>
  <c r="E139" i="2"/>
  <c r="D141" i="2" l="1"/>
  <c r="E140" i="2"/>
  <c r="D142" i="2" l="1"/>
  <c r="E141" i="2"/>
  <c r="D143" i="2" l="1"/>
  <c r="E142" i="2"/>
  <c r="D144" i="2" l="1"/>
  <c r="E143" i="2"/>
  <c r="D145" i="2" l="1"/>
  <c r="E144" i="2"/>
  <c r="D146" i="2" l="1"/>
  <c r="E145" i="2"/>
  <c r="D147" i="2" l="1"/>
  <c r="E146" i="2"/>
  <c r="D148" i="2" l="1"/>
  <c r="E147" i="2"/>
  <c r="D149" i="2" l="1"/>
  <c r="E148" i="2"/>
  <c r="D150" i="2" l="1"/>
  <c r="E149" i="2"/>
  <c r="D151" i="2" l="1"/>
  <c r="E150" i="2"/>
  <c r="D152" i="2" l="1"/>
  <c r="E151" i="2"/>
  <c r="D153" i="2" l="1"/>
  <c r="E152" i="2"/>
  <c r="D154" i="2" l="1"/>
  <c r="E153" i="2"/>
  <c r="D155" i="2" l="1"/>
  <c r="E154" i="2"/>
  <c r="D156" i="2" l="1"/>
  <c r="E155" i="2"/>
  <c r="D157" i="2" l="1"/>
  <c r="E156" i="2"/>
  <c r="D158" i="2" l="1"/>
  <c r="E157" i="2"/>
  <c r="D159" i="2" l="1"/>
  <c r="E158" i="2"/>
  <c r="D160" i="2" l="1"/>
  <c r="E159" i="2"/>
  <c r="D161" i="2" l="1"/>
  <c r="E160" i="2"/>
  <c r="D162" i="2" l="1"/>
  <c r="E161" i="2"/>
  <c r="D163" i="2" l="1"/>
  <c r="E162" i="2"/>
  <c r="D164" i="2" l="1"/>
  <c r="E163" i="2"/>
  <c r="D165" i="2" l="1"/>
  <c r="E164" i="2"/>
  <c r="D166" i="2" l="1"/>
  <c r="E165" i="2"/>
  <c r="D167" i="2" l="1"/>
  <c r="E166" i="2"/>
  <c r="D168" i="2" l="1"/>
  <c r="E167" i="2"/>
  <c r="D169" i="2" l="1"/>
  <c r="E168" i="2"/>
  <c r="D170" i="2" l="1"/>
  <c r="E169" i="2"/>
  <c r="D171" i="2" l="1"/>
  <c r="E170" i="2"/>
  <c r="D172" i="2" l="1"/>
  <c r="E171" i="2"/>
  <c r="D173" i="2" l="1"/>
  <c r="E172" i="2"/>
  <c r="D174" i="2" l="1"/>
  <c r="E173" i="2"/>
  <c r="D175" i="2" l="1"/>
  <c r="E174" i="2"/>
  <c r="D176" i="2" l="1"/>
  <c r="E175" i="2"/>
  <c r="D177" i="2" l="1"/>
  <c r="E176" i="2"/>
  <c r="D178" i="2" l="1"/>
  <c r="E177" i="2"/>
  <c r="D179" i="2" l="1"/>
  <c r="E178" i="2"/>
  <c r="D180" i="2" l="1"/>
  <c r="E179" i="2"/>
  <c r="D181" i="2" l="1"/>
  <c r="E180" i="2"/>
  <c r="D182" i="2" l="1"/>
  <c r="E181" i="2"/>
  <c r="D183" i="2" l="1"/>
  <c r="E182" i="2"/>
  <c r="D184" i="2" l="1"/>
  <c r="E183" i="2"/>
  <c r="D185" i="2" l="1"/>
  <c r="E184" i="2"/>
  <c r="D186" i="2" l="1"/>
  <c r="E185" i="2"/>
  <c r="D187" i="2" l="1"/>
  <c r="E186" i="2"/>
  <c r="D188" i="2" l="1"/>
  <c r="E187" i="2"/>
  <c r="D189" i="2" l="1"/>
  <c r="E188" i="2"/>
  <c r="D190" i="2" l="1"/>
  <c r="E189" i="2"/>
  <c r="D191" i="2" l="1"/>
  <c r="E190" i="2"/>
  <c r="D192" i="2" l="1"/>
  <c r="E191" i="2"/>
  <c r="D193" i="2" l="1"/>
  <c r="E192" i="2"/>
  <c r="D194" i="2" l="1"/>
  <c r="E193" i="2"/>
  <c r="D195" i="2" l="1"/>
  <c r="E194" i="2"/>
  <c r="D196" i="2" l="1"/>
  <c r="E195" i="2"/>
  <c r="D197" i="2" l="1"/>
  <c r="E196" i="2"/>
  <c r="D198" i="2" l="1"/>
  <c r="E197" i="2"/>
  <c r="D199" i="2" l="1"/>
  <c r="E198" i="2"/>
  <c r="D200" i="2" l="1"/>
  <c r="E199" i="2"/>
  <c r="D201" i="2" l="1"/>
  <c r="E200" i="2"/>
  <c r="D202" i="2" l="1"/>
  <c r="E201" i="2"/>
  <c r="D203" i="2" l="1"/>
  <c r="E202" i="2"/>
  <c r="D204" i="2" l="1"/>
  <c r="E203" i="2"/>
  <c r="D205" i="2" l="1"/>
  <c r="E204" i="2"/>
  <c r="D206" i="2" l="1"/>
  <c r="E205" i="2"/>
  <c r="D207" i="2" l="1"/>
  <c r="E206" i="2"/>
  <c r="D208" i="2" l="1"/>
  <c r="E207" i="2"/>
  <c r="D209" i="2" l="1"/>
  <c r="E208" i="2"/>
  <c r="D210" i="2" l="1"/>
  <c r="E209" i="2"/>
  <c r="D211" i="2" l="1"/>
  <c r="E210" i="2"/>
  <c r="D212" i="2" l="1"/>
  <c r="E211" i="2"/>
  <c r="D213" i="2" l="1"/>
  <c r="E212" i="2"/>
  <c r="D214" i="2" l="1"/>
  <c r="E213" i="2"/>
  <c r="D215" i="2" l="1"/>
  <c r="E214" i="2"/>
  <c r="D216" i="2" l="1"/>
  <c r="E215" i="2"/>
  <c r="D217" i="2" l="1"/>
  <c r="E216" i="2"/>
  <c r="D218" i="2" l="1"/>
  <c r="E217" i="2"/>
  <c r="D219" i="2" l="1"/>
  <c r="E218" i="2"/>
  <c r="D220" i="2" l="1"/>
  <c r="E219" i="2"/>
  <c r="D221" i="2" l="1"/>
  <c r="E220" i="2"/>
  <c r="D222" i="2" l="1"/>
  <c r="E221" i="2"/>
  <c r="D223" i="2" l="1"/>
  <c r="E222" i="2"/>
  <c r="D224" i="2" l="1"/>
  <c r="E223" i="2"/>
  <c r="D225" i="2" l="1"/>
  <c r="E224" i="2"/>
  <c r="D226" i="2" l="1"/>
  <c r="E225" i="2"/>
  <c r="D227" i="2" l="1"/>
  <c r="E226" i="2"/>
  <c r="D228" i="2" l="1"/>
  <c r="E227" i="2"/>
  <c r="D229" i="2" l="1"/>
  <c r="E228" i="2"/>
  <c r="D230" i="2" l="1"/>
  <c r="E229" i="2"/>
  <c r="D231" i="2" l="1"/>
  <c r="E230" i="2"/>
  <c r="D232" i="2" l="1"/>
  <c r="E231" i="2"/>
  <c r="D233" i="2" l="1"/>
  <c r="E232" i="2"/>
  <c r="D234" i="2" l="1"/>
  <c r="E233" i="2"/>
  <c r="D235" i="2" l="1"/>
  <c r="E234" i="2"/>
  <c r="D236" i="2" l="1"/>
  <c r="E235" i="2"/>
  <c r="D237" i="2" l="1"/>
  <c r="E236" i="2"/>
  <c r="D238" i="2" l="1"/>
  <c r="E237" i="2"/>
  <c r="D239" i="2" l="1"/>
  <c r="E238" i="2"/>
  <c r="D240" i="2" l="1"/>
  <c r="E239" i="2"/>
  <c r="D241" i="2" l="1"/>
  <c r="E240" i="2"/>
  <c r="D242" i="2" l="1"/>
  <c r="E241" i="2"/>
  <c r="D243" i="2" l="1"/>
  <c r="E242" i="2"/>
  <c r="D244" i="2" l="1"/>
  <c r="E243" i="2"/>
  <c r="D245" i="2" l="1"/>
  <c r="E244" i="2"/>
  <c r="D246" i="2" l="1"/>
  <c r="E245" i="2"/>
  <c r="D247" i="2" l="1"/>
  <c r="E246" i="2"/>
  <c r="D248" i="2" l="1"/>
  <c r="E247" i="2"/>
  <c r="D249" i="2" l="1"/>
  <c r="E248" i="2"/>
  <c r="D250" i="2" l="1"/>
  <c r="E249" i="2"/>
  <c r="D251" i="2" l="1"/>
  <c r="E250" i="2"/>
  <c r="D252" i="2" l="1"/>
  <c r="E251" i="2"/>
  <c r="D253" i="2" l="1"/>
  <c r="E252" i="2"/>
  <c r="D254" i="2" l="1"/>
  <c r="E253" i="2"/>
  <c r="D255" i="2" l="1"/>
  <c r="E254" i="2"/>
  <c r="D256" i="2" l="1"/>
  <c r="E255" i="2"/>
  <c r="D257" i="2" l="1"/>
  <c r="E256" i="2"/>
  <c r="D258" i="2" l="1"/>
  <c r="E257" i="2"/>
  <c r="D259" i="2" l="1"/>
  <c r="E258" i="2"/>
  <c r="D260" i="2" l="1"/>
  <c r="E259" i="2"/>
  <c r="D261" i="2" l="1"/>
  <c r="E260" i="2"/>
  <c r="D262" i="2" l="1"/>
  <c r="E261" i="2"/>
  <c r="D263" i="2" l="1"/>
  <c r="E262" i="2"/>
  <c r="D264" i="2" l="1"/>
  <c r="E263" i="2"/>
  <c r="D265" i="2" l="1"/>
  <c r="E264" i="2"/>
  <c r="D266" i="2" l="1"/>
  <c r="E265" i="2"/>
  <c r="D267" i="2" l="1"/>
  <c r="E266" i="2"/>
  <c r="D268" i="2" l="1"/>
  <c r="E267" i="2"/>
  <c r="D269" i="2" l="1"/>
  <c r="E268" i="2"/>
  <c r="D270" i="2" l="1"/>
  <c r="E269" i="2"/>
  <c r="D271" i="2" l="1"/>
  <c r="E270" i="2"/>
  <c r="D272" i="2" l="1"/>
  <c r="E271" i="2"/>
  <c r="D273" i="2" l="1"/>
  <c r="E272" i="2"/>
  <c r="D274" i="2" l="1"/>
  <c r="E273" i="2"/>
  <c r="D275" i="2" l="1"/>
  <c r="E274" i="2"/>
  <c r="D276" i="2" l="1"/>
  <c r="E275" i="2"/>
  <c r="D277" i="2" l="1"/>
  <c r="E276" i="2"/>
  <c r="D278" i="2" l="1"/>
  <c r="E277" i="2"/>
  <c r="D279" i="2" l="1"/>
  <c r="E278" i="2"/>
  <c r="D280" i="2" l="1"/>
  <c r="E279" i="2"/>
  <c r="D281" i="2" l="1"/>
  <c r="E280" i="2"/>
  <c r="D282" i="2" l="1"/>
  <c r="E281" i="2"/>
  <c r="D283" i="2" l="1"/>
  <c r="E282" i="2"/>
  <c r="D284" i="2" l="1"/>
  <c r="E283" i="2"/>
  <c r="D285" i="2" l="1"/>
  <c r="E284" i="2"/>
  <c r="D286" i="2" l="1"/>
  <c r="E285" i="2"/>
  <c r="D287" i="2" l="1"/>
  <c r="E286" i="2"/>
  <c r="D288" i="2" l="1"/>
  <c r="E287" i="2"/>
  <c r="D289" i="2" l="1"/>
  <c r="E288" i="2"/>
  <c r="D290" i="2" l="1"/>
  <c r="E289" i="2"/>
  <c r="D291" i="2" l="1"/>
  <c r="E290" i="2"/>
  <c r="D292" i="2" l="1"/>
  <c r="E291" i="2"/>
  <c r="D293" i="2" l="1"/>
  <c r="E292" i="2"/>
  <c r="D294" i="2" l="1"/>
  <c r="E293" i="2"/>
  <c r="D295" i="2" l="1"/>
  <c r="E294" i="2"/>
  <c r="D296" i="2" l="1"/>
  <c r="E295" i="2"/>
  <c r="D297" i="2" l="1"/>
  <c r="E296" i="2"/>
  <c r="D298" i="2" l="1"/>
  <c r="E297" i="2"/>
  <c r="D299" i="2" l="1"/>
  <c r="E298" i="2"/>
  <c r="D300" i="2" l="1"/>
  <c r="E299" i="2"/>
  <c r="D301" i="2" l="1"/>
  <c r="E300" i="2"/>
  <c r="D302" i="2" l="1"/>
  <c r="E301" i="2"/>
  <c r="D303" i="2" l="1"/>
  <c r="E302" i="2"/>
  <c r="D304" i="2" l="1"/>
  <c r="E303" i="2"/>
  <c r="D305" i="2" l="1"/>
  <c r="E304" i="2"/>
  <c r="D306" i="2" l="1"/>
  <c r="E305" i="2"/>
  <c r="D307" i="2" l="1"/>
  <c r="E306" i="2"/>
  <c r="D308" i="2" l="1"/>
  <c r="E307" i="2"/>
  <c r="D309" i="2" l="1"/>
  <c r="E308" i="2"/>
  <c r="D310" i="2" l="1"/>
  <c r="E309" i="2"/>
  <c r="D311" i="2" l="1"/>
  <c r="E310" i="2"/>
  <c r="D312" i="2" l="1"/>
  <c r="E311" i="2"/>
  <c r="D313" i="2" l="1"/>
  <c r="E312" i="2"/>
  <c r="D314" i="2" l="1"/>
  <c r="E313" i="2"/>
  <c r="D315" i="2" l="1"/>
  <c r="E314" i="2"/>
  <c r="D316" i="2" l="1"/>
  <c r="E315" i="2"/>
  <c r="D317" i="2" l="1"/>
  <c r="E316" i="2"/>
  <c r="D318" i="2" l="1"/>
  <c r="E317" i="2"/>
  <c r="D319" i="2" l="1"/>
  <c r="E318" i="2"/>
  <c r="D320" i="2" l="1"/>
  <c r="E319" i="2"/>
  <c r="D321" i="2" l="1"/>
  <c r="E320" i="2"/>
  <c r="D322" i="2" l="1"/>
  <c r="E321" i="2"/>
  <c r="D323" i="2" l="1"/>
  <c r="E322" i="2"/>
  <c r="D324" i="2" l="1"/>
  <c r="E323" i="2"/>
  <c r="D325" i="2" l="1"/>
  <c r="E324" i="2"/>
  <c r="D326" i="2" l="1"/>
  <c r="E325" i="2"/>
  <c r="D327" i="2" l="1"/>
  <c r="E326" i="2"/>
  <c r="D328" i="2" l="1"/>
  <c r="E327" i="2"/>
  <c r="D329" i="2" l="1"/>
  <c r="E328" i="2"/>
  <c r="D330" i="2" l="1"/>
  <c r="E329" i="2"/>
  <c r="D331" i="2" l="1"/>
  <c r="E330" i="2"/>
  <c r="D332" i="2" l="1"/>
  <c r="E331" i="2"/>
  <c r="D333" i="2" l="1"/>
  <c r="E332" i="2"/>
  <c r="D334" i="2" l="1"/>
  <c r="E333" i="2"/>
  <c r="D335" i="2" l="1"/>
  <c r="E334" i="2"/>
  <c r="D336" i="2" l="1"/>
  <c r="E335" i="2"/>
  <c r="D337" i="2" l="1"/>
  <c r="E336" i="2"/>
  <c r="D338" i="2" l="1"/>
  <c r="E337" i="2"/>
  <c r="D339" i="2" l="1"/>
  <c r="E338" i="2"/>
  <c r="D340" i="2" l="1"/>
  <c r="E339" i="2"/>
  <c r="D341" i="2" l="1"/>
  <c r="E340" i="2"/>
  <c r="D342" i="2" l="1"/>
  <c r="E341" i="2"/>
  <c r="D343" i="2" l="1"/>
  <c r="E342" i="2"/>
  <c r="D344" i="2" l="1"/>
  <c r="E343" i="2"/>
  <c r="D345" i="2" l="1"/>
  <c r="E344" i="2"/>
  <c r="D346" i="2" l="1"/>
  <c r="E345" i="2"/>
  <c r="D347" i="2" l="1"/>
  <c r="E346" i="2"/>
  <c r="D348" i="2" l="1"/>
  <c r="E347" i="2"/>
  <c r="D349" i="2" l="1"/>
  <c r="E348" i="2"/>
  <c r="D350" i="2" l="1"/>
  <c r="E349" i="2"/>
  <c r="D351" i="2" l="1"/>
  <c r="E350" i="2"/>
  <c r="D352" i="2" l="1"/>
  <c r="E351" i="2"/>
  <c r="D353" i="2" l="1"/>
  <c r="E352" i="2"/>
  <c r="D354" i="2" l="1"/>
  <c r="E353" i="2"/>
  <c r="D355" i="2" l="1"/>
  <c r="E354" i="2"/>
  <c r="D356" i="2" l="1"/>
  <c r="E355" i="2"/>
  <c r="D357" i="2" l="1"/>
  <c r="E356" i="2"/>
  <c r="D358" i="2" l="1"/>
  <c r="E357" i="2"/>
  <c r="D359" i="2" l="1"/>
  <c r="E358" i="2"/>
  <c r="D360" i="2" l="1"/>
  <c r="E359" i="2"/>
  <c r="D361" i="2" l="1"/>
  <c r="E360" i="2"/>
  <c r="D362" i="2" l="1"/>
  <c r="E361" i="2"/>
  <c r="D363" i="2" l="1"/>
  <c r="E362" i="2"/>
  <c r="D364" i="2" l="1"/>
  <c r="E363" i="2"/>
  <c r="D365" i="2" l="1"/>
  <c r="E364" i="2"/>
  <c r="D366" i="2" l="1"/>
  <c r="E365" i="2"/>
  <c r="D367" i="2" l="1"/>
  <c r="E366" i="2"/>
  <c r="D368" i="2" l="1"/>
  <c r="E367" i="2"/>
  <c r="D369" i="2" l="1"/>
  <c r="E368" i="2"/>
  <c r="D370" i="2" l="1"/>
  <c r="E369" i="2"/>
  <c r="D371" i="2" l="1"/>
  <c r="E370" i="2"/>
  <c r="D372" i="2" l="1"/>
  <c r="E371" i="2"/>
  <c r="D373" i="2" l="1"/>
  <c r="E372" i="2"/>
  <c r="D374" i="2" l="1"/>
  <c r="E373" i="2"/>
  <c r="D375" i="2" l="1"/>
  <c r="E374" i="2"/>
  <c r="D376" i="2" l="1"/>
  <c r="E375" i="2"/>
  <c r="D377" i="2" l="1"/>
  <c r="E376" i="2"/>
  <c r="D378" i="2" l="1"/>
  <c r="E377" i="2"/>
  <c r="D379" i="2" l="1"/>
  <c r="E378" i="2"/>
  <c r="D380" i="2" l="1"/>
  <c r="E379" i="2"/>
  <c r="D381" i="2" l="1"/>
  <c r="E380" i="2"/>
  <c r="D382" i="2" l="1"/>
  <c r="E381" i="2"/>
  <c r="D383" i="2" l="1"/>
  <c r="E382" i="2"/>
  <c r="D384" i="2" l="1"/>
  <c r="E383" i="2"/>
  <c r="D385" i="2" l="1"/>
  <c r="E384" i="2"/>
  <c r="D386" i="2" l="1"/>
  <c r="E385" i="2"/>
  <c r="D387" i="2" l="1"/>
  <c r="E386" i="2"/>
  <c r="D388" i="2" l="1"/>
  <c r="E387" i="2"/>
  <c r="D389" i="2" l="1"/>
  <c r="E388" i="2"/>
  <c r="D390" i="2" l="1"/>
  <c r="E389" i="2"/>
  <c r="D391" i="2" l="1"/>
  <c r="E390" i="2"/>
  <c r="D392" i="2" l="1"/>
  <c r="E391" i="2"/>
  <c r="D393" i="2" l="1"/>
  <c r="E392" i="2"/>
  <c r="D394" i="2" l="1"/>
  <c r="E393" i="2"/>
  <c r="D395" i="2" l="1"/>
  <c r="E394" i="2"/>
  <c r="D396" i="2" l="1"/>
  <c r="E395" i="2"/>
  <c r="D397" i="2" l="1"/>
  <c r="E396" i="2"/>
  <c r="D398" i="2" l="1"/>
  <c r="E397" i="2"/>
  <c r="D399" i="2" l="1"/>
  <c r="E398" i="2"/>
  <c r="D400" i="2" l="1"/>
  <c r="E399" i="2"/>
  <c r="D401" i="2" l="1"/>
  <c r="E400" i="2"/>
  <c r="D402" i="2" l="1"/>
  <c r="E401" i="2"/>
  <c r="D403" i="2" l="1"/>
  <c r="E402" i="2"/>
  <c r="D404" i="2" l="1"/>
  <c r="E403" i="2"/>
  <c r="D405" i="2" l="1"/>
  <c r="E404" i="2"/>
  <c r="D406" i="2" l="1"/>
  <c r="E405" i="2"/>
  <c r="D407" i="2" l="1"/>
  <c r="E406" i="2"/>
  <c r="D408" i="2" l="1"/>
  <c r="E407" i="2"/>
  <c r="D409" i="2" l="1"/>
  <c r="E408" i="2"/>
  <c r="D410" i="2" l="1"/>
  <c r="E409" i="2"/>
  <c r="D411" i="2" l="1"/>
  <c r="E410" i="2"/>
  <c r="D412" i="2" l="1"/>
  <c r="E411" i="2"/>
  <c r="D413" i="2" l="1"/>
  <c r="E412" i="2"/>
  <c r="D414" i="2" l="1"/>
  <c r="E413" i="2"/>
  <c r="D415" i="2" l="1"/>
  <c r="E414" i="2"/>
  <c r="D416" i="2" l="1"/>
  <c r="E415" i="2"/>
  <c r="D417" i="2" l="1"/>
  <c r="E416" i="2"/>
  <c r="D418" i="2" l="1"/>
  <c r="E417" i="2"/>
  <c r="D419" i="2" l="1"/>
  <c r="E418" i="2"/>
  <c r="D420" i="2" l="1"/>
  <c r="E419" i="2"/>
  <c r="D421" i="2" l="1"/>
  <c r="E420" i="2"/>
  <c r="D422" i="2" l="1"/>
  <c r="E421" i="2"/>
  <c r="D423" i="2" l="1"/>
  <c r="E422" i="2"/>
  <c r="D424" i="2" l="1"/>
  <c r="E423" i="2"/>
  <c r="D425" i="2" l="1"/>
  <c r="E424" i="2"/>
  <c r="D426" i="2" l="1"/>
  <c r="E425" i="2"/>
  <c r="D427" i="2" l="1"/>
  <c r="E426" i="2"/>
  <c r="D428" i="2" l="1"/>
  <c r="E427" i="2"/>
  <c r="D429" i="2" l="1"/>
  <c r="E428" i="2"/>
  <c r="D430" i="2" l="1"/>
  <c r="E429" i="2"/>
  <c r="D431" i="2" l="1"/>
  <c r="E430" i="2"/>
  <c r="D432" i="2" l="1"/>
  <c r="E431" i="2"/>
  <c r="D433" i="2" l="1"/>
  <c r="E432" i="2"/>
  <c r="D434" i="2" l="1"/>
  <c r="E433" i="2"/>
  <c r="D435" i="2" l="1"/>
  <c r="E434" i="2"/>
  <c r="D436" i="2" l="1"/>
  <c r="E435" i="2"/>
  <c r="D437" i="2" l="1"/>
  <c r="E436" i="2"/>
  <c r="D438" i="2" l="1"/>
  <c r="E437" i="2"/>
  <c r="D439" i="2" l="1"/>
  <c r="E438" i="2"/>
  <c r="D440" i="2" l="1"/>
  <c r="E439" i="2"/>
  <c r="D441" i="2" l="1"/>
  <c r="E440" i="2"/>
  <c r="D442" i="2" l="1"/>
  <c r="E441" i="2"/>
  <c r="D443" i="2" l="1"/>
  <c r="E442" i="2"/>
  <c r="D444" i="2" l="1"/>
  <c r="E443" i="2"/>
  <c r="D445" i="2" l="1"/>
  <c r="E444" i="2"/>
  <c r="D446" i="2" l="1"/>
  <c r="E445" i="2"/>
  <c r="D447" i="2" l="1"/>
  <c r="E446" i="2"/>
  <c r="D448" i="2" l="1"/>
  <c r="E447" i="2"/>
  <c r="D449" i="2" l="1"/>
  <c r="E448" i="2"/>
  <c r="D450" i="2" l="1"/>
  <c r="E449" i="2"/>
  <c r="D451" i="2" l="1"/>
  <c r="E450" i="2"/>
  <c r="D452" i="2" l="1"/>
  <c r="E451" i="2"/>
  <c r="D453" i="2" l="1"/>
  <c r="E452" i="2"/>
  <c r="D454" i="2" l="1"/>
  <c r="E453" i="2"/>
  <c r="D455" i="2" l="1"/>
  <c r="E454" i="2"/>
  <c r="D456" i="2" l="1"/>
  <c r="E455" i="2"/>
  <c r="D457" i="2" l="1"/>
  <c r="E456" i="2"/>
  <c r="D458" i="2" l="1"/>
  <c r="E457" i="2"/>
  <c r="D459" i="2" l="1"/>
  <c r="E458" i="2"/>
  <c r="D460" i="2" l="1"/>
  <c r="E459" i="2"/>
  <c r="D461" i="2" l="1"/>
  <c r="E460" i="2"/>
  <c r="D462" i="2" l="1"/>
  <c r="E461" i="2"/>
  <c r="D463" i="2" l="1"/>
  <c r="E462" i="2"/>
  <c r="D464" i="2" l="1"/>
  <c r="E463" i="2"/>
  <c r="D465" i="2" l="1"/>
  <c r="E464" i="2"/>
  <c r="D466" i="2" l="1"/>
  <c r="E465" i="2"/>
  <c r="D467" i="2" l="1"/>
  <c r="E466" i="2"/>
  <c r="D468" i="2" l="1"/>
  <c r="E467" i="2"/>
  <c r="D469" i="2" l="1"/>
  <c r="E468" i="2"/>
  <c r="D470" i="2" l="1"/>
  <c r="E469" i="2"/>
  <c r="D471" i="2" l="1"/>
  <c r="E470" i="2"/>
  <c r="D472" i="2" l="1"/>
  <c r="E471" i="2"/>
  <c r="D473" i="2" l="1"/>
  <c r="E472" i="2"/>
  <c r="D474" i="2" l="1"/>
  <c r="E473" i="2"/>
  <c r="D475" i="2" l="1"/>
  <c r="E474" i="2"/>
  <c r="D476" i="2" l="1"/>
  <c r="E475" i="2"/>
  <c r="D477" i="2" l="1"/>
  <c r="E476" i="2"/>
  <c r="D478" i="2" l="1"/>
  <c r="E477" i="2"/>
  <c r="D479" i="2" l="1"/>
  <c r="E478" i="2"/>
  <c r="D480" i="2" l="1"/>
  <c r="E479" i="2"/>
  <c r="D481" i="2" l="1"/>
  <c r="E480" i="2"/>
  <c r="D482" i="2" l="1"/>
  <c r="E481" i="2"/>
  <c r="D483" i="2" l="1"/>
  <c r="E482" i="2"/>
  <c r="D484" i="2" l="1"/>
  <c r="E483" i="2"/>
  <c r="D485" i="2" l="1"/>
  <c r="E484" i="2"/>
  <c r="D486" i="2" l="1"/>
  <c r="E485" i="2"/>
  <c r="D487" i="2" l="1"/>
  <c r="E486" i="2"/>
  <c r="D488" i="2" l="1"/>
  <c r="E487" i="2"/>
  <c r="D489" i="2" l="1"/>
  <c r="E488" i="2"/>
  <c r="D490" i="2" l="1"/>
  <c r="E489" i="2"/>
  <c r="D491" i="2" l="1"/>
  <c r="E490" i="2"/>
  <c r="D492" i="2" l="1"/>
  <c r="E491" i="2"/>
  <c r="D493" i="2" l="1"/>
  <c r="E492" i="2"/>
  <c r="D494" i="2" l="1"/>
  <c r="E493" i="2"/>
  <c r="D495" i="2" l="1"/>
  <c r="E494" i="2"/>
  <c r="D496" i="2" l="1"/>
  <c r="E495" i="2"/>
  <c r="D497" i="2" l="1"/>
  <c r="E496" i="2"/>
  <c r="D498" i="2" l="1"/>
  <c r="E497" i="2"/>
  <c r="D499" i="2" l="1"/>
  <c r="E498" i="2"/>
  <c r="D500" i="2" l="1"/>
  <c r="E499" i="2"/>
  <c r="D501" i="2" l="1"/>
  <c r="E500" i="2"/>
  <c r="D502" i="2" l="1"/>
  <c r="E501" i="2"/>
  <c r="D503" i="2" l="1"/>
  <c r="E502" i="2"/>
  <c r="D504" i="2" l="1"/>
  <c r="E503" i="2"/>
  <c r="D505" i="2" l="1"/>
  <c r="E504" i="2"/>
  <c r="D506" i="2" l="1"/>
  <c r="E505" i="2"/>
  <c r="D507" i="2" l="1"/>
  <c r="E506" i="2"/>
  <c r="D508" i="2" l="1"/>
  <c r="E507" i="2"/>
  <c r="D509" i="2" l="1"/>
  <c r="E508" i="2"/>
  <c r="D510" i="2" l="1"/>
  <c r="E509" i="2"/>
  <c r="D511" i="2" l="1"/>
  <c r="E510" i="2"/>
  <c r="D512" i="2" l="1"/>
  <c r="E511" i="2"/>
  <c r="D513" i="2" l="1"/>
  <c r="E512" i="2"/>
  <c r="D514" i="2" l="1"/>
  <c r="E513" i="2"/>
  <c r="D515" i="2" l="1"/>
  <c r="E514" i="2"/>
  <c r="D516" i="2" l="1"/>
  <c r="E515" i="2"/>
  <c r="D517" i="2" l="1"/>
  <c r="E516" i="2"/>
  <c r="D518" i="2" l="1"/>
  <c r="E517" i="2"/>
  <c r="D519" i="2" l="1"/>
  <c r="E518" i="2"/>
  <c r="D520" i="2" l="1"/>
  <c r="E519" i="2"/>
  <c r="D521" i="2" l="1"/>
  <c r="E520" i="2"/>
  <c r="D522" i="2" l="1"/>
  <c r="E521" i="2"/>
  <c r="D523" i="2" l="1"/>
  <c r="E522" i="2"/>
  <c r="D524" i="2" l="1"/>
  <c r="E523" i="2"/>
  <c r="D525" i="2" l="1"/>
  <c r="E524" i="2"/>
  <c r="D526" i="2" l="1"/>
  <c r="E525" i="2"/>
  <c r="D527" i="2" l="1"/>
  <c r="E526" i="2"/>
  <c r="D528" i="2" l="1"/>
  <c r="E527" i="2"/>
  <c r="D529" i="2" l="1"/>
  <c r="E528" i="2"/>
  <c r="D530" i="2" l="1"/>
  <c r="E529" i="2"/>
  <c r="D531" i="2" l="1"/>
  <c r="E530" i="2"/>
  <c r="D532" i="2" l="1"/>
  <c r="E531" i="2"/>
  <c r="D533" i="2" l="1"/>
  <c r="E532" i="2"/>
  <c r="D534" i="2" l="1"/>
  <c r="E533" i="2"/>
  <c r="D535" i="2" l="1"/>
  <c r="E534" i="2"/>
  <c r="D536" i="2" l="1"/>
  <c r="E535" i="2"/>
  <c r="D537" i="2" l="1"/>
  <c r="E536" i="2"/>
  <c r="D538" i="2" l="1"/>
  <c r="E537" i="2"/>
  <c r="D539" i="2" l="1"/>
  <c r="E538" i="2"/>
  <c r="D540" i="2" l="1"/>
  <c r="E539" i="2"/>
  <c r="D541" i="2" l="1"/>
  <c r="E540" i="2"/>
  <c r="D542" i="2" l="1"/>
  <c r="E541" i="2"/>
  <c r="D543" i="2" l="1"/>
  <c r="E542" i="2"/>
  <c r="D544" i="2" l="1"/>
  <c r="E543" i="2"/>
  <c r="D545" i="2" l="1"/>
  <c r="E544" i="2"/>
  <c r="D546" i="2" l="1"/>
  <c r="E545" i="2"/>
  <c r="D547" i="2" l="1"/>
  <c r="E546" i="2"/>
  <c r="D548" i="2" l="1"/>
  <c r="E547" i="2"/>
  <c r="D549" i="2" l="1"/>
  <c r="E548" i="2"/>
  <c r="D550" i="2" l="1"/>
  <c r="E549" i="2"/>
  <c r="D551" i="2" l="1"/>
  <c r="E550" i="2"/>
  <c r="D552" i="2" l="1"/>
  <c r="E551" i="2"/>
  <c r="D553" i="2" l="1"/>
  <c r="E552" i="2"/>
  <c r="D554" i="2" l="1"/>
  <c r="E553" i="2"/>
  <c r="D555" i="2" l="1"/>
  <c r="E554" i="2"/>
  <c r="D556" i="2" l="1"/>
  <c r="E555" i="2"/>
  <c r="D557" i="2" l="1"/>
  <c r="E556" i="2"/>
  <c r="D558" i="2" l="1"/>
  <c r="E557" i="2"/>
  <c r="D559" i="2" l="1"/>
  <c r="E558" i="2"/>
  <c r="D560" i="2" l="1"/>
  <c r="E559" i="2"/>
  <c r="D561" i="2" l="1"/>
  <c r="E560" i="2"/>
  <c r="D562" i="2" l="1"/>
  <c r="E561" i="2"/>
  <c r="D563" i="2" l="1"/>
  <c r="E562" i="2"/>
  <c r="D564" i="2" l="1"/>
  <c r="E563" i="2"/>
  <c r="D565" i="2" l="1"/>
  <c r="E564" i="2"/>
  <c r="D566" i="2" l="1"/>
  <c r="E565" i="2"/>
  <c r="D567" i="2" l="1"/>
  <c r="E566" i="2"/>
  <c r="D568" i="2" l="1"/>
  <c r="E567" i="2"/>
  <c r="D569" i="2" l="1"/>
  <c r="E568" i="2"/>
  <c r="D570" i="2" l="1"/>
  <c r="E569" i="2"/>
  <c r="D571" i="2" l="1"/>
  <c r="E570" i="2"/>
  <c r="D572" i="2" l="1"/>
  <c r="E571" i="2"/>
  <c r="D573" i="2" l="1"/>
  <c r="E572" i="2"/>
  <c r="D574" i="2" l="1"/>
  <c r="E573" i="2"/>
  <c r="D575" i="2" l="1"/>
  <c r="E574" i="2"/>
  <c r="D576" i="2" l="1"/>
  <c r="E575" i="2"/>
  <c r="D577" i="2" l="1"/>
  <c r="E576" i="2"/>
  <c r="D578" i="2" l="1"/>
  <c r="E577" i="2"/>
  <c r="D579" i="2" l="1"/>
  <c r="E578" i="2"/>
  <c r="D580" i="2" l="1"/>
  <c r="E579" i="2"/>
  <c r="D581" i="2" l="1"/>
  <c r="E580" i="2"/>
  <c r="D582" i="2" l="1"/>
  <c r="E581" i="2"/>
  <c r="D583" i="2" l="1"/>
  <c r="E582" i="2"/>
  <c r="D584" i="2" l="1"/>
  <c r="E583" i="2"/>
  <c r="D585" i="2" l="1"/>
  <c r="E584" i="2"/>
  <c r="D586" i="2" l="1"/>
  <c r="E585" i="2"/>
  <c r="D587" i="2" l="1"/>
  <c r="E586" i="2"/>
  <c r="D588" i="2" l="1"/>
  <c r="E587" i="2"/>
  <c r="D589" i="2" l="1"/>
  <c r="E588" i="2"/>
  <c r="D590" i="2" l="1"/>
  <c r="E589" i="2"/>
  <c r="D591" i="2" l="1"/>
  <c r="E590" i="2"/>
  <c r="D592" i="2" l="1"/>
  <c r="E591" i="2"/>
  <c r="D593" i="2" l="1"/>
  <c r="E592" i="2"/>
  <c r="D594" i="2" l="1"/>
  <c r="E593" i="2"/>
  <c r="D595" i="2" l="1"/>
  <c r="E594" i="2"/>
  <c r="D596" i="2" l="1"/>
  <c r="E595" i="2"/>
  <c r="D597" i="2" l="1"/>
  <c r="E596" i="2"/>
  <c r="D598" i="2" l="1"/>
  <c r="E597" i="2"/>
  <c r="D599" i="2" l="1"/>
  <c r="E598" i="2"/>
  <c r="D600" i="2" l="1"/>
  <c r="E599" i="2"/>
  <c r="D601" i="2" l="1"/>
  <c r="E600" i="2"/>
  <c r="D602" i="2" l="1"/>
  <c r="E601" i="2"/>
  <c r="D603" i="2" l="1"/>
  <c r="E602" i="2"/>
  <c r="D604" i="2" l="1"/>
  <c r="E603" i="2"/>
  <c r="D605" i="2" l="1"/>
  <c r="E604" i="2"/>
  <c r="D606" i="2" l="1"/>
  <c r="E605" i="2"/>
  <c r="D607" i="2" l="1"/>
  <c r="E606" i="2"/>
  <c r="D608" i="2" l="1"/>
  <c r="E607" i="2"/>
  <c r="D609" i="2" l="1"/>
  <c r="E608" i="2"/>
  <c r="D610" i="2" l="1"/>
  <c r="E609" i="2"/>
  <c r="D611" i="2" l="1"/>
  <c r="E610" i="2"/>
  <c r="D612" i="2" l="1"/>
  <c r="E611" i="2"/>
  <c r="D613" i="2" l="1"/>
  <c r="E612" i="2"/>
  <c r="D614" i="2" l="1"/>
  <c r="E613" i="2"/>
  <c r="D615" i="2" l="1"/>
  <c r="E614" i="2"/>
  <c r="D616" i="2" l="1"/>
  <c r="E615" i="2"/>
  <c r="D617" i="2" l="1"/>
  <c r="E616" i="2"/>
  <c r="D618" i="2" l="1"/>
  <c r="E617" i="2"/>
  <c r="D619" i="2" l="1"/>
  <c r="E618" i="2"/>
  <c r="D620" i="2" l="1"/>
  <c r="E619" i="2"/>
  <c r="D621" i="2" l="1"/>
  <c r="E620" i="2"/>
  <c r="D622" i="2" l="1"/>
  <c r="E621" i="2"/>
  <c r="D623" i="2" l="1"/>
  <c r="E622" i="2"/>
  <c r="D624" i="2" l="1"/>
  <c r="E623" i="2"/>
  <c r="D625" i="2" l="1"/>
  <c r="E624" i="2"/>
  <c r="D626" i="2" l="1"/>
  <c r="E625" i="2"/>
  <c r="D627" i="2" l="1"/>
  <c r="E626" i="2"/>
  <c r="D628" i="2" l="1"/>
  <c r="E627" i="2"/>
  <c r="D629" i="2" l="1"/>
  <c r="E628" i="2"/>
  <c r="D630" i="2" l="1"/>
  <c r="E629" i="2"/>
  <c r="D631" i="2" l="1"/>
  <c r="E630" i="2"/>
  <c r="D632" i="2" l="1"/>
  <c r="E631" i="2"/>
  <c r="D633" i="2" l="1"/>
  <c r="E632" i="2"/>
  <c r="D634" i="2" l="1"/>
  <c r="E633" i="2"/>
  <c r="D635" i="2" l="1"/>
  <c r="E634" i="2"/>
  <c r="D636" i="2" l="1"/>
  <c r="E635" i="2"/>
  <c r="D637" i="2" l="1"/>
  <c r="E636" i="2"/>
  <c r="D638" i="2" l="1"/>
  <c r="E637" i="2"/>
  <c r="D639" i="2" l="1"/>
  <c r="E638" i="2"/>
  <c r="D640" i="2" l="1"/>
  <c r="E639" i="2"/>
  <c r="D641" i="2" l="1"/>
  <c r="E640" i="2"/>
  <c r="D642" i="2" l="1"/>
  <c r="E641" i="2"/>
  <c r="D643" i="2" l="1"/>
  <c r="E642" i="2"/>
  <c r="D644" i="2" l="1"/>
  <c r="E643" i="2"/>
  <c r="D645" i="2" l="1"/>
  <c r="E644" i="2"/>
  <c r="D646" i="2" l="1"/>
  <c r="E645" i="2"/>
  <c r="D647" i="2" l="1"/>
  <c r="E646" i="2"/>
  <c r="D648" i="2" l="1"/>
  <c r="E647" i="2"/>
  <c r="D649" i="2" l="1"/>
  <c r="E648" i="2"/>
  <c r="D650" i="2" l="1"/>
  <c r="E649" i="2"/>
  <c r="D651" i="2" l="1"/>
  <c r="E650" i="2"/>
  <c r="D652" i="2" l="1"/>
  <c r="E651" i="2"/>
  <c r="D653" i="2" l="1"/>
  <c r="E652" i="2"/>
  <c r="D654" i="2" l="1"/>
  <c r="E653" i="2"/>
  <c r="D655" i="2" l="1"/>
  <c r="E654" i="2"/>
  <c r="D656" i="2" l="1"/>
  <c r="E655" i="2"/>
  <c r="D657" i="2" l="1"/>
  <c r="E656" i="2"/>
  <c r="D658" i="2" l="1"/>
  <c r="E657" i="2"/>
  <c r="D659" i="2" l="1"/>
  <c r="E658" i="2"/>
  <c r="D660" i="2" l="1"/>
  <c r="E659" i="2"/>
  <c r="D661" i="2" l="1"/>
  <c r="E660" i="2"/>
  <c r="D662" i="2" l="1"/>
  <c r="E661" i="2"/>
  <c r="D663" i="2" l="1"/>
  <c r="E662" i="2"/>
  <c r="D664" i="2" l="1"/>
  <c r="E663" i="2"/>
  <c r="D665" i="2" l="1"/>
  <c r="E664" i="2"/>
  <c r="D666" i="2" l="1"/>
  <c r="E665" i="2"/>
  <c r="D667" i="2" l="1"/>
  <c r="E666" i="2"/>
  <c r="D668" i="2" l="1"/>
  <c r="E667" i="2"/>
  <c r="D669" i="2" l="1"/>
  <c r="E668" i="2"/>
  <c r="D670" i="2" l="1"/>
  <c r="E669" i="2"/>
  <c r="D671" i="2" l="1"/>
  <c r="E670" i="2"/>
  <c r="D672" i="2" l="1"/>
  <c r="E671" i="2"/>
  <c r="D673" i="2" l="1"/>
  <c r="E672" i="2"/>
  <c r="D674" i="2" l="1"/>
  <c r="E673" i="2"/>
  <c r="D675" i="2" l="1"/>
  <c r="E674" i="2"/>
  <c r="D676" i="2" l="1"/>
  <c r="E675" i="2"/>
  <c r="D677" i="2" l="1"/>
  <c r="E676" i="2"/>
  <c r="D678" i="2" l="1"/>
  <c r="E677" i="2"/>
  <c r="D679" i="2" l="1"/>
  <c r="E678" i="2"/>
  <c r="D680" i="2" l="1"/>
  <c r="E679" i="2"/>
  <c r="D681" i="2" l="1"/>
  <c r="E680" i="2"/>
  <c r="D682" i="2" l="1"/>
  <c r="E681" i="2"/>
  <c r="D683" i="2" l="1"/>
  <c r="E682" i="2"/>
  <c r="D684" i="2" l="1"/>
  <c r="E683" i="2"/>
  <c r="D685" i="2" l="1"/>
  <c r="E684" i="2"/>
  <c r="D686" i="2" l="1"/>
  <c r="E685" i="2"/>
  <c r="D687" i="2" l="1"/>
  <c r="E686" i="2"/>
  <c r="D688" i="2" l="1"/>
  <c r="E687" i="2"/>
  <c r="D689" i="2" l="1"/>
  <c r="E688" i="2"/>
  <c r="D690" i="2" l="1"/>
  <c r="E689" i="2"/>
  <c r="D691" i="2" l="1"/>
  <c r="E690" i="2"/>
  <c r="D692" i="2" l="1"/>
  <c r="E691" i="2"/>
  <c r="D693" i="2" l="1"/>
  <c r="E692" i="2"/>
  <c r="D694" i="2" l="1"/>
  <c r="E693" i="2"/>
  <c r="D695" i="2" l="1"/>
  <c r="E694" i="2"/>
  <c r="D696" i="2" l="1"/>
  <c r="E695" i="2"/>
  <c r="D697" i="2" l="1"/>
  <c r="E696" i="2"/>
  <c r="D698" i="2" l="1"/>
  <c r="E697" i="2"/>
  <c r="D699" i="2" l="1"/>
  <c r="E698" i="2"/>
  <c r="D700" i="2" l="1"/>
  <c r="E699" i="2"/>
  <c r="D701" i="2" l="1"/>
  <c r="E700" i="2"/>
  <c r="D702" i="2" l="1"/>
  <c r="E701" i="2"/>
  <c r="D703" i="2" l="1"/>
  <c r="E702" i="2"/>
  <c r="D704" i="2" l="1"/>
  <c r="E703" i="2"/>
  <c r="D705" i="2" l="1"/>
  <c r="E704" i="2"/>
  <c r="D706" i="2" l="1"/>
  <c r="E705" i="2"/>
  <c r="D707" i="2" l="1"/>
  <c r="E706" i="2"/>
  <c r="D708" i="2" l="1"/>
  <c r="E707" i="2"/>
  <c r="D709" i="2" l="1"/>
  <c r="E708" i="2"/>
  <c r="D710" i="2" l="1"/>
  <c r="E709" i="2"/>
  <c r="D711" i="2" l="1"/>
  <c r="E710" i="2"/>
  <c r="D712" i="2" l="1"/>
  <c r="E711" i="2"/>
  <c r="D713" i="2" l="1"/>
  <c r="E712" i="2"/>
  <c r="D714" i="2" l="1"/>
  <c r="E713" i="2"/>
  <c r="D715" i="2" l="1"/>
  <c r="E714" i="2"/>
  <c r="D716" i="2" l="1"/>
  <c r="E715" i="2"/>
  <c r="D717" i="2" l="1"/>
  <c r="E716" i="2"/>
  <c r="D718" i="2" l="1"/>
  <c r="E717" i="2"/>
  <c r="D719" i="2" l="1"/>
  <c r="E718" i="2"/>
  <c r="D720" i="2" l="1"/>
  <c r="E719" i="2"/>
  <c r="D721" i="2" l="1"/>
  <c r="E720" i="2"/>
  <c r="D722" i="2" l="1"/>
  <c r="E721" i="2"/>
  <c r="D723" i="2" l="1"/>
  <c r="E722" i="2"/>
  <c r="D724" i="2" l="1"/>
  <c r="E723" i="2"/>
  <c r="D725" i="2" l="1"/>
  <c r="E724" i="2"/>
  <c r="D726" i="2" l="1"/>
  <c r="E725" i="2"/>
  <c r="D727" i="2" l="1"/>
  <c r="E726" i="2"/>
  <c r="D728" i="2" l="1"/>
  <c r="E727" i="2"/>
  <c r="D729" i="2" l="1"/>
  <c r="E728" i="2"/>
  <c r="D730" i="2" l="1"/>
  <c r="E729" i="2"/>
  <c r="D731" i="2" l="1"/>
  <c r="E730" i="2"/>
  <c r="D732" i="2" l="1"/>
  <c r="E731" i="2"/>
  <c r="D733" i="2" l="1"/>
  <c r="E732" i="2"/>
  <c r="D734" i="2" l="1"/>
  <c r="E733" i="2"/>
  <c r="D735" i="2" l="1"/>
  <c r="E734" i="2"/>
  <c r="D736" i="2" l="1"/>
  <c r="E735" i="2"/>
  <c r="D737" i="2" l="1"/>
  <c r="E736" i="2"/>
  <c r="D738" i="2" l="1"/>
  <c r="E737" i="2"/>
  <c r="D739" i="2" l="1"/>
  <c r="E738" i="2"/>
  <c r="D740" i="2" l="1"/>
  <c r="E739" i="2"/>
  <c r="D741" i="2" l="1"/>
  <c r="E740" i="2"/>
  <c r="D742" i="2" l="1"/>
  <c r="E741" i="2"/>
  <c r="D743" i="2" l="1"/>
  <c r="E742" i="2"/>
  <c r="D744" i="2" l="1"/>
  <c r="E743" i="2"/>
  <c r="D745" i="2" l="1"/>
  <c r="E744" i="2"/>
  <c r="D746" i="2" l="1"/>
  <c r="E745" i="2"/>
  <c r="D747" i="2" l="1"/>
  <c r="E746" i="2"/>
  <c r="D748" i="2" l="1"/>
  <c r="E747" i="2"/>
  <c r="D749" i="2" l="1"/>
  <c r="E748" i="2"/>
  <c r="D750" i="2" l="1"/>
  <c r="E749" i="2"/>
  <c r="D751" i="2" l="1"/>
  <c r="E750" i="2"/>
  <c r="D752" i="2" l="1"/>
  <c r="E751" i="2"/>
  <c r="D753" i="2" l="1"/>
  <c r="E752" i="2"/>
  <c r="D754" i="2" l="1"/>
  <c r="E753" i="2"/>
  <c r="D755" i="2" l="1"/>
  <c r="E754" i="2"/>
  <c r="D756" i="2" l="1"/>
  <c r="E755" i="2"/>
  <c r="D757" i="2" l="1"/>
  <c r="E756" i="2"/>
  <c r="D758" i="2" l="1"/>
  <c r="E757" i="2"/>
  <c r="D759" i="2" l="1"/>
  <c r="E758" i="2"/>
  <c r="D760" i="2" l="1"/>
  <c r="E759" i="2"/>
  <c r="D761" i="2" l="1"/>
  <c r="E760" i="2"/>
  <c r="D762" i="2" l="1"/>
  <c r="E761" i="2"/>
  <c r="D763" i="2" l="1"/>
  <c r="E762" i="2"/>
  <c r="D764" i="2" l="1"/>
  <c r="E763" i="2"/>
  <c r="D765" i="2" l="1"/>
  <c r="E764" i="2"/>
  <c r="D766" i="2" l="1"/>
  <c r="E765" i="2"/>
  <c r="D767" i="2" l="1"/>
  <c r="E766" i="2"/>
  <c r="D768" i="2" l="1"/>
  <c r="E767" i="2"/>
  <c r="D769" i="2" l="1"/>
  <c r="E768" i="2"/>
  <c r="D770" i="2" l="1"/>
  <c r="E769" i="2"/>
  <c r="D771" i="2" l="1"/>
  <c r="E770" i="2"/>
  <c r="D772" i="2" l="1"/>
  <c r="E771" i="2"/>
  <c r="D773" i="2" l="1"/>
  <c r="E772" i="2"/>
  <c r="D774" i="2" l="1"/>
  <c r="E773" i="2"/>
  <c r="D775" i="2" l="1"/>
  <c r="E774" i="2"/>
  <c r="D776" i="2" l="1"/>
  <c r="E775" i="2"/>
  <c r="D777" i="2" l="1"/>
  <c r="E776" i="2"/>
  <c r="D778" i="2" l="1"/>
  <c r="E777" i="2"/>
  <c r="D779" i="2" l="1"/>
  <c r="E778" i="2"/>
  <c r="D780" i="2" l="1"/>
  <c r="E779" i="2"/>
  <c r="D781" i="2" l="1"/>
  <c r="E780" i="2"/>
  <c r="D782" i="2" l="1"/>
  <c r="E781" i="2"/>
  <c r="D783" i="2" l="1"/>
  <c r="E782" i="2"/>
  <c r="D784" i="2" l="1"/>
  <c r="E783" i="2"/>
  <c r="D785" i="2" l="1"/>
  <c r="E784" i="2"/>
  <c r="D786" i="2" l="1"/>
  <c r="E785" i="2"/>
  <c r="D787" i="2" l="1"/>
  <c r="E786" i="2"/>
  <c r="D788" i="2" l="1"/>
  <c r="E787" i="2"/>
  <c r="D789" i="2" l="1"/>
  <c r="E788" i="2"/>
  <c r="D790" i="2" l="1"/>
  <c r="E789" i="2"/>
  <c r="D791" i="2" l="1"/>
  <c r="E790" i="2"/>
  <c r="D792" i="2" l="1"/>
  <c r="E791" i="2"/>
  <c r="D793" i="2" l="1"/>
  <c r="E792" i="2"/>
  <c r="D794" i="2" l="1"/>
  <c r="E793" i="2"/>
  <c r="D795" i="2" l="1"/>
  <c r="E794" i="2"/>
  <c r="D796" i="2" l="1"/>
  <c r="E795" i="2"/>
  <c r="D797" i="2" l="1"/>
  <c r="E796" i="2"/>
  <c r="D798" i="2" l="1"/>
  <c r="E797" i="2"/>
  <c r="D799" i="2" l="1"/>
  <c r="E798" i="2"/>
  <c r="D800" i="2" l="1"/>
  <c r="E799" i="2"/>
  <c r="D801" i="2" l="1"/>
  <c r="E800" i="2"/>
  <c r="D802" i="2" l="1"/>
  <c r="E801" i="2"/>
  <c r="D803" i="2" l="1"/>
  <c r="E802" i="2"/>
  <c r="D804" i="2" l="1"/>
  <c r="E803" i="2"/>
  <c r="D805" i="2" l="1"/>
  <c r="E804" i="2"/>
  <c r="D806" i="2" l="1"/>
  <c r="E805" i="2"/>
  <c r="D807" i="2" l="1"/>
  <c r="E806" i="2"/>
  <c r="D808" i="2" l="1"/>
  <c r="E807" i="2"/>
  <c r="D809" i="2" l="1"/>
  <c r="E808" i="2"/>
  <c r="D810" i="2" l="1"/>
  <c r="E809" i="2"/>
  <c r="D811" i="2" l="1"/>
  <c r="E810" i="2"/>
  <c r="D812" i="2" l="1"/>
  <c r="E811" i="2"/>
  <c r="D813" i="2" l="1"/>
  <c r="E812" i="2"/>
  <c r="D814" i="2" l="1"/>
  <c r="E813" i="2"/>
  <c r="D815" i="2" l="1"/>
  <c r="E814" i="2"/>
  <c r="D816" i="2" l="1"/>
  <c r="E815" i="2"/>
  <c r="D817" i="2" l="1"/>
  <c r="E816" i="2"/>
  <c r="D818" i="2" l="1"/>
  <c r="E817" i="2"/>
  <c r="D819" i="2" l="1"/>
  <c r="E818" i="2"/>
  <c r="D820" i="2" l="1"/>
  <c r="E819" i="2"/>
  <c r="D821" i="2" l="1"/>
  <c r="E820" i="2"/>
  <c r="D822" i="2" l="1"/>
  <c r="E821" i="2"/>
  <c r="D823" i="2" l="1"/>
  <c r="E822" i="2"/>
  <c r="D824" i="2" l="1"/>
  <c r="E823" i="2"/>
  <c r="D825" i="2" l="1"/>
  <c r="E824" i="2"/>
  <c r="D826" i="2" l="1"/>
  <c r="E825" i="2"/>
  <c r="D827" i="2" l="1"/>
  <c r="E826" i="2"/>
  <c r="D828" i="2" l="1"/>
  <c r="E827" i="2"/>
  <c r="D829" i="2" l="1"/>
  <c r="E828" i="2"/>
  <c r="D830" i="2" l="1"/>
  <c r="E829" i="2"/>
  <c r="D831" i="2" l="1"/>
  <c r="E830" i="2"/>
  <c r="D832" i="2" l="1"/>
  <c r="E831" i="2"/>
  <c r="D833" i="2" l="1"/>
  <c r="E832" i="2"/>
  <c r="D834" i="2" l="1"/>
  <c r="E833" i="2"/>
  <c r="D835" i="2" l="1"/>
  <c r="E834" i="2"/>
  <c r="D836" i="2" l="1"/>
  <c r="E835" i="2"/>
  <c r="D837" i="2" l="1"/>
  <c r="E836" i="2"/>
  <c r="D838" i="2" l="1"/>
  <c r="E837" i="2"/>
  <c r="D839" i="2" l="1"/>
  <c r="E838" i="2"/>
  <c r="D840" i="2" l="1"/>
  <c r="E839" i="2"/>
  <c r="D841" i="2" l="1"/>
  <c r="E840" i="2"/>
  <c r="D842" i="2" l="1"/>
  <c r="E841" i="2"/>
  <c r="D843" i="2" l="1"/>
  <c r="E842" i="2"/>
  <c r="D844" i="2" l="1"/>
  <c r="E843" i="2"/>
  <c r="D845" i="2" l="1"/>
  <c r="E844" i="2"/>
  <c r="D846" i="2" l="1"/>
  <c r="E845" i="2"/>
  <c r="D847" i="2" l="1"/>
  <c r="E846" i="2"/>
  <c r="D848" i="2" l="1"/>
  <c r="E847" i="2"/>
  <c r="D849" i="2" l="1"/>
  <c r="E848" i="2"/>
  <c r="D850" i="2" l="1"/>
  <c r="E849" i="2"/>
  <c r="D851" i="2" l="1"/>
  <c r="E850" i="2"/>
  <c r="D852" i="2" l="1"/>
  <c r="E851" i="2"/>
  <c r="D853" i="2" l="1"/>
  <c r="E852" i="2"/>
  <c r="D854" i="2" l="1"/>
  <c r="E853" i="2"/>
  <c r="D855" i="2" l="1"/>
  <c r="E854" i="2"/>
  <c r="D856" i="2" l="1"/>
  <c r="E855" i="2"/>
  <c r="D857" i="2" l="1"/>
  <c r="E856" i="2"/>
  <c r="D858" i="2" l="1"/>
  <c r="E857" i="2"/>
  <c r="D859" i="2" l="1"/>
  <c r="E858" i="2"/>
  <c r="D860" i="2" l="1"/>
  <c r="E859" i="2"/>
  <c r="D861" i="2" l="1"/>
  <c r="E860" i="2"/>
  <c r="D862" i="2" l="1"/>
  <c r="E861" i="2"/>
  <c r="D863" i="2" l="1"/>
  <c r="E862" i="2"/>
  <c r="D864" i="2" l="1"/>
  <c r="E863" i="2"/>
  <c r="D865" i="2" l="1"/>
  <c r="E864" i="2"/>
  <c r="D866" i="2" l="1"/>
  <c r="E865" i="2"/>
  <c r="D867" i="2" l="1"/>
  <c r="E866" i="2"/>
  <c r="D868" i="2" l="1"/>
  <c r="E867" i="2"/>
  <c r="D869" i="2" l="1"/>
  <c r="E868" i="2"/>
  <c r="D870" i="2" l="1"/>
  <c r="E869" i="2"/>
  <c r="D871" i="2" l="1"/>
  <c r="E870" i="2"/>
  <c r="D872" i="2" l="1"/>
  <c r="E871" i="2"/>
  <c r="D873" i="2" l="1"/>
  <c r="E872" i="2"/>
  <c r="D874" i="2" l="1"/>
  <c r="E873" i="2"/>
  <c r="D875" i="2" l="1"/>
  <c r="E874" i="2"/>
  <c r="D876" i="2" l="1"/>
  <c r="E875" i="2"/>
  <c r="D877" i="2" l="1"/>
  <c r="E876" i="2"/>
  <c r="D878" i="2" l="1"/>
  <c r="E877" i="2"/>
  <c r="D879" i="2" l="1"/>
  <c r="E878" i="2"/>
  <c r="D880" i="2" l="1"/>
  <c r="E879" i="2"/>
  <c r="D881" i="2" l="1"/>
  <c r="E880" i="2"/>
  <c r="D882" i="2" l="1"/>
  <c r="E881" i="2"/>
  <c r="D883" i="2" l="1"/>
  <c r="E882" i="2"/>
  <c r="D884" i="2" l="1"/>
  <c r="E883" i="2"/>
  <c r="D885" i="2" l="1"/>
  <c r="E884" i="2"/>
  <c r="D886" i="2" l="1"/>
  <c r="E885" i="2"/>
  <c r="D887" i="2" l="1"/>
  <c r="E886" i="2"/>
  <c r="D888" i="2" l="1"/>
  <c r="E887" i="2"/>
  <c r="D889" i="2" l="1"/>
  <c r="E888" i="2"/>
  <c r="D890" i="2" l="1"/>
  <c r="E889" i="2"/>
  <c r="D891" i="2" l="1"/>
  <c r="E890" i="2"/>
  <c r="D892" i="2" l="1"/>
  <c r="E891" i="2"/>
  <c r="D893" i="2" l="1"/>
  <c r="E892" i="2"/>
  <c r="D894" i="2" l="1"/>
  <c r="E893" i="2"/>
  <c r="D895" i="2" l="1"/>
  <c r="E894" i="2"/>
  <c r="D896" i="2" l="1"/>
  <c r="E895" i="2"/>
  <c r="D897" i="2" l="1"/>
  <c r="E896" i="2"/>
  <c r="D898" i="2" l="1"/>
  <c r="E897" i="2"/>
  <c r="D899" i="2" l="1"/>
  <c r="E898" i="2"/>
  <c r="D900" i="2" l="1"/>
  <c r="E899" i="2"/>
  <c r="D901" i="2" l="1"/>
  <c r="E900" i="2"/>
  <c r="D902" i="2" l="1"/>
  <c r="E901" i="2"/>
  <c r="D903" i="2" l="1"/>
  <c r="E902" i="2"/>
  <c r="D904" i="2" l="1"/>
  <c r="E903" i="2"/>
  <c r="D905" i="2" l="1"/>
  <c r="E904" i="2"/>
  <c r="D906" i="2" l="1"/>
  <c r="E905" i="2"/>
  <c r="D907" i="2" l="1"/>
  <c r="E906" i="2"/>
  <c r="D908" i="2" l="1"/>
  <c r="E907" i="2"/>
  <c r="D909" i="2" l="1"/>
  <c r="E908" i="2"/>
  <c r="D910" i="2" l="1"/>
  <c r="E909" i="2"/>
  <c r="D911" i="2" l="1"/>
  <c r="E910" i="2"/>
  <c r="D912" i="2" l="1"/>
  <c r="E911" i="2"/>
  <c r="D913" i="2" l="1"/>
  <c r="E912" i="2"/>
  <c r="D914" i="2" l="1"/>
  <c r="E913" i="2"/>
  <c r="D915" i="2" l="1"/>
  <c r="E914" i="2"/>
  <c r="D916" i="2" l="1"/>
  <c r="E915" i="2"/>
  <c r="D917" i="2" l="1"/>
  <c r="E916" i="2"/>
  <c r="D918" i="2" l="1"/>
  <c r="E917" i="2"/>
  <c r="D919" i="2" l="1"/>
  <c r="E918" i="2"/>
  <c r="D920" i="2" l="1"/>
  <c r="E919" i="2"/>
  <c r="D921" i="2" l="1"/>
  <c r="E920" i="2"/>
  <c r="D922" i="2" l="1"/>
  <c r="E921" i="2"/>
  <c r="D923" i="2" l="1"/>
  <c r="E922" i="2"/>
  <c r="D924" i="2" l="1"/>
  <c r="E923" i="2"/>
  <c r="D925" i="2" l="1"/>
  <c r="E924" i="2"/>
  <c r="D926" i="2" l="1"/>
  <c r="E925" i="2"/>
  <c r="D927" i="2" l="1"/>
  <c r="E926" i="2"/>
  <c r="D928" i="2" l="1"/>
  <c r="E927" i="2"/>
  <c r="D929" i="2" l="1"/>
  <c r="E928" i="2"/>
  <c r="D930" i="2" l="1"/>
  <c r="E929" i="2"/>
  <c r="D931" i="2" l="1"/>
  <c r="E930" i="2"/>
  <c r="D932" i="2" l="1"/>
  <c r="E931" i="2"/>
  <c r="D933" i="2" l="1"/>
  <c r="E932" i="2"/>
  <c r="D934" i="2" l="1"/>
  <c r="E933" i="2"/>
  <c r="D935" i="2" l="1"/>
  <c r="E934" i="2"/>
  <c r="D936" i="2" l="1"/>
  <c r="E935" i="2"/>
  <c r="D937" i="2" l="1"/>
  <c r="E936" i="2"/>
  <c r="D938" i="2" l="1"/>
  <c r="E937" i="2"/>
  <c r="D939" i="2" l="1"/>
  <c r="E938" i="2"/>
  <c r="D940" i="2" l="1"/>
  <c r="E939" i="2"/>
  <c r="D941" i="2" l="1"/>
  <c r="E940" i="2"/>
  <c r="D942" i="2" l="1"/>
  <c r="E941" i="2"/>
  <c r="D943" i="2" l="1"/>
  <c r="E942" i="2"/>
  <c r="D944" i="2" l="1"/>
  <c r="E943" i="2"/>
  <c r="D945" i="2" l="1"/>
  <c r="E944" i="2"/>
  <c r="D946" i="2" l="1"/>
  <c r="E945" i="2"/>
  <c r="D947" i="2" l="1"/>
  <c r="E946" i="2"/>
  <c r="D948" i="2" l="1"/>
  <c r="E947" i="2"/>
  <c r="D949" i="2" l="1"/>
  <c r="E948" i="2"/>
  <c r="D950" i="2" l="1"/>
  <c r="E949" i="2"/>
  <c r="D951" i="2" l="1"/>
  <c r="E950" i="2"/>
  <c r="D952" i="2" l="1"/>
  <c r="E951" i="2"/>
  <c r="D953" i="2" l="1"/>
  <c r="E952" i="2"/>
  <c r="D954" i="2" l="1"/>
  <c r="E953" i="2"/>
  <c r="D955" i="2" l="1"/>
  <c r="E954" i="2"/>
  <c r="D956" i="2" l="1"/>
  <c r="E955" i="2"/>
  <c r="D957" i="2" l="1"/>
  <c r="E956" i="2"/>
  <c r="D958" i="2" l="1"/>
  <c r="E957" i="2"/>
  <c r="D959" i="2" l="1"/>
  <c r="E958" i="2"/>
  <c r="D960" i="2" l="1"/>
  <c r="E959" i="2"/>
  <c r="D961" i="2" l="1"/>
  <c r="E960" i="2"/>
  <c r="D962" i="2" l="1"/>
  <c r="E961" i="2"/>
  <c r="D963" i="2" l="1"/>
  <c r="E962" i="2"/>
  <c r="D964" i="2" l="1"/>
  <c r="E963" i="2"/>
  <c r="D965" i="2" l="1"/>
  <c r="E964" i="2"/>
  <c r="D966" i="2" l="1"/>
  <c r="E965" i="2"/>
  <c r="D967" i="2" l="1"/>
  <c r="E966" i="2"/>
  <c r="D968" i="2" l="1"/>
  <c r="E967" i="2"/>
  <c r="D969" i="2" l="1"/>
  <c r="E968" i="2"/>
  <c r="D970" i="2" l="1"/>
  <c r="E969" i="2"/>
  <c r="D971" i="2" l="1"/>
  <c r="E970" i="2"/>
  <c r="D972" i="2" l="1"/>
  <c r="E971" i="2"/>
  <c r="D973" i="2" l="1"/>
  <c r="E972" i="2"/>
  <c r="D974" i="2" l="1"/>
  <c r="E973" i="2"/>
  <c r="D975" i="2" l="1"/>
  <c r="E974" i="2"/>
  <c r="D976" i="2" l="1"/>
  <c r="E975" i="2"/>
  <c r="D977" i="2" l="1"/>
  <c r="E976" i="2"/>
  <c r="D978" i="2" l="1"/>
  <c r="E977" i="2"/>
  <c r="D979" i="2" l="1"/>
  <c r="E978" i="2"/>
  <c r="D980" i="2" l="1"/>
  <c r="E979" i="2"/>
  <c r="D981" i="2" l="1"/>
  <c r="E980" i="2"/>
  <c r="D982" i="2" l="1"/>
  <c r="E981" i="2"/>
  <c r="D983" i="2" l="1"/>
  <c r="E982" i="2"/>
  <c r="D984" i="2" l="1"/>
  <c r="E983" i="2"/>
  <c r="D985" i="2" l="1"/>
  <c r="E984" i="2"/>
  <c r="D986" i="2" l="1"/>
  <c r="E985" i="2"/>
  <c r="D987" i="2" l="1"/>
  <c r="E986" i="2"/>
  <c r="D988" i="2" l="1"/>
  <c r="E987" i="2"/>
  <c r="D989" i="2" l="1"/>
  <c r="E988" i="2"/>
  <c r="D990" i="2" l="1"/>
  <c r="E989" i="2"/>
  <c r="D991" i="2" l="1"/>
  <c r="E990" i="2"/>
  <c r="D992" i="2" l="1"/>
  <c r="E991" i="2"/>
  <c r="D993" i="2" l="1"/>
  <c r="E992" i="2"/>
  <c r="D994" i="2" l="1"/>
  <c r="E993" i="2"/>
  <c r="D995" i="2" l="1"/>
  <c r="E994" i="2"/>
  <c r="D996" i="2" l="1"/>
  <c r="E995" i="2"/>
  <c r="D997" i="2" l="1"/>
  <c r="E996" i="2"/>
  <c r="D998" i="2" l="1"/>
  <c r="E997" i="2"/>
  <c r="D999" i="2" l="1"/>
  <c r="E998" i="2"/>
  <c r="D1000" i="2" l="1"/>
  <c r="E999" i="2"/>
  <c r="D1001" i="2" l="1"/>
  <c r="E1000" i="2"/>
  <c r="D1002" i="2" l="1"/>
  <c r="E1001" i="2"/>
  <c r="D1003" i="2" l="1"/>
  <c r="E1002" i="2"/>
  <c r="D1004" i="2" l="1"/>
  <c r="E1003" i="2"/>
  <c r="D1005" i="2" l="1"/>
  <c r="E1004" i="2"/>
  <c r="D1006" i="2" l="1"/>
  <c r="E1005" i="2"/>
  <c r="D1007" i="2" l="1"/>
  <c r="E1006" i="2"/>
  <c r="D1008" i="2" l="1"/>
  <c r="E1007" i="2"/>
  <c r="D1009" i="2" l="1"/>
  <c r="E1008" i="2"/>
  <c r="D1010" i="2" l="1"/>
  <c r="E1009" i="2"/>
  <c r="D1011" i="2" l="1"/>
  <c r="E1010" i="2"/>
  <c r="D1012" i="2" l="1"/>
  <c r="E1011" i="2"/>
  <c r="D1013" i="2" l="1"/>
  <c r="E1012" i="2"/>
  <c r="D1014" i="2" l="1"/>
  <c r="E1013" i="2"/>
  <c r="D1015" i="2" l="1"/>
  <c r="E1014" i="2"/>
  <c r="D1016" i="2" l="1"/>
  <c r="E1015" i="2"/>
  <c r="D1017" i="2" l="1"/>
  <c r="E1016" i="2"/>
  <c r="D1018" i="2" l="1"/>
  <c r="E1017" i="2"/>
  <c r="D1019" i="2" l="1"/>
  <c r="E1018" i="2"/>
  <c r="D1020" i="2" l="1"/>
  <c r="E1019" i="2"/>
  <c r="D1021" i="2" l="1"/>
  <c r="E1020" i="2"/>
  <c r="D1022" i="2" l="1"/>
  <c r="E1021" i="2"/>
  <c r="D1023" i="2" l="1"/>
  <c r="E1022" i="2"/>
  <c r="D1024" i="2" l="1"/>
  <c r="E1023" i="2"/>
  <c r="D1025" i="2" l="1"/>
  <c r="E1024" i="2"/>
  <c r="D1026" i="2" l="1"/>
  <c r="E1025" i="2"/>
  <c r="D1027" i="2" l="1"/>
  <c r="E1026" i="2"/>
  <c r="D1028" i="2" l="1"/>
  <c r="E1027" i="2"/>
  <c r="D1029" i="2" l="1"/>
  <c r="E1028" i="2"/>
  <c r="D1030" i="2" l="1"/>
  <c r="E1029" i="2"/>
  <c r="D1031" i="2" l="1"/>
  <c r="E1030" i="2"/>
  <c r="D1032" i="2" l="1"/>
  <c r="E1031" i="2"/>
  <c r="D1033" i="2" l="1"/>
  <c r="E1032" i="2"/>
  <c r="D1034" i="2" l="1"/>
  <c r="E1033" i="2"/>
  <c r="D1035" i="2" l="1"/>
  <c r="E1034" i="2"/>
  <c r="D1036" i="2" l="1"/>
  <c r="E1035" i="2"/>
  <c r="D1037" i="2" l="1"/>
  <c r="E1036" i="2"/>
  <c r="D1038" i="2" l="1"/>
  <c r="E1037" i="2"/>
  <c r="D1039" i="2" l="1"/>
  <c r="E1038" i="2"/>
  <c r="D1040" i="2" l="1"/>
  <c r="E1039" i="2"/>
  <c r="D1041" i="2" l="1"/>
  <c r="E1040" i="2"/>
  <c r="D1042" i="2" l="1"/>
  <c r="E1041" i="2"/>
  <c r="D1043" i="2" l="1"/>
  <c r="E1042" i="2"/>
  <c r="D1044" i="2" l="1"/>
  <c r="E1043" i="2"/>
  <c r="D1045" i="2" l="1"/>
  <c r="E1044" i="2"/>
  <c r="D1046" i="2" l="1"/>
  <c r="E1045" i="2"/>
  <c r="D1047" i="2" l="1"/>
  <c r="E1046" i="2"/>
  <c r="D1048" i="2" l="1"/>
  <c r="E1047" i="2"/>
  <c r="D1049" i="2" l="1"/>
  <c r="E1048" i="2"/>
  <c r="D1050" i="2" l="1"/>
  <c r="E1049" i="2"/>
  <c r="D1051" i="2" l="1"/>
  <c r="E1050" i="2"/>
  <c r="D1052" i="2" l="1"/>
  <c r="E1051" i="2"/>
  <c r="D1053" i="2" l="1"/>
  <c r="E1052" i="2"/>
  <c r="D1054" i="2" l="1"/>
  <c r="E1053" i="2"/>
  <c r="D1055" i="2" l="1"/>
  <c r="E1054" i="2"/>
  <c r="D1056" i="2" l="1"/>
  <c r="E1055" i="2"/>
  <c r="D1057" i="2" l="1"/>
  <c r="E1056" i="2"/>
  <c r="D1058" i="2" l="1"/>
  <c r="E1057" i="2"/>
  <c r="D1059" i="2" l="1"/>
  <c r="E1058" i="2"/>
  <c r="D1060" i="2" l="1"/>
  <c r="E1059" i="2"/>
  <c r="D1061" i="2" l="1"/>
  <c r="E1060" i="2"/>
  <c r="D1062" i="2" l="1"/>
  <c r="E1061" i="2"/>
  <c r="D1063" i="2" l="1"/>
  <c r="E1062" i="2"/>
  <c r="D1064" i="2" l="1"/>
  <c r="E1063" i="2"/>
  <c r="D1065" i="2" l="1"/>
  <c r="E1064" i="2"/>
  <c r="D1066" i="2" l="1"/>
  <c r="E1065" i="2"/>
  <c r="D1067" i="2" l="1"/>
  <c r="E1066" i="2"/>
  <c r="D1068" i="2" l="1"/>
  <c r="E1067" i="2"/>
  <c r="D1069" i="2" l="1"/>
  <c r="E1068" i="2"/>
  <c r="D1070" i="2" l="1"/>
  <c r="E1069" i="2"/>
  <c r="D1071" i="2" l="1"/>
  <c r="E1070" i="2"/>
  <c r="D1072" i="2" l="1"/>
  <c r="E1071" i="2"/>
  <c r="D1073" i="2" l="1"/>
  <c r="E1072" i="2"/>
  <c r="D1074" i="2" l="1"/>
  <c r="E1073" i="2"/>
  <c r="D1075" i="2" l="1"/>
  <c r="E1074" i="2"/>
  <c r="D1076" i="2" l="1"/>
  <c r="E1075" i="2"/>
  <c r="D1077" i="2" l="1"/>
  <c r="E1076" i="2"/>
  <c r="D1078" i="2" l="1"/>
  <c r="E1077" i="2"/>
  <c r="D1079" i="2" l="1"/>
  <c r="E1078" i="2"/>
  <c r="D1080" i="2" l="1"/>
  <c r="E1079" i="2"/>
  <c r="D1081" i="2" l="1"/>
  <c r="E1080" i="2"/>
  <c r="D1082" i="2" l="1"/>
  <c r="E1081" i="2"/>
  <c r="D1083" i="2" l="1"/>
  <c r="E1082" i="2"/>
  <c r="D1084" i="2" l="1"/>
  <c r="E1083" i="2"/>
  <c r="D1085" i="2" l="1"/>
  <c r="E1084" i="2"/>
  <c r="D1086" i="2" l="1"/>
  <c r="E1085" i="2"/>
  <c r="D1087" i="2" l="1"/>
  <c r="E1086" i="2"/>
  <c r="D1088" i="2" l="1"/>
  <c r="E1087" i="2"/>
  <c r="D1089" i="2" l="1"/>
  <c r="E1088" i="2"/>
  <c r="D1090" i="2" l="1"/>
  <c r="E1089" i="2"/>
  <c r="D1091" i="2" l="1"/>
  <c r="E1090" i="2"/>
  <c r="D1092" i="2" l="1"/>
  <c r="E1091" i="2"/>
  <c r="D1093" i="2" l="1"/>
  <c r="E1092" i="2"/>
  <c r="D1094" i="2" l="1"/>
  <c r="E1093" i="2"/>
  <c r="D1095" i="2" l="1"/>
  <c r="E1094" i="2"/>
  <c r="D1096" i="2" l="1"/>
  <c r="E1095" i="2"/>
  <c r="D1097" i="2" l="1"/>
  <c r="E1096" i="2"/>
  <c r="D1098" i="2" l="1"/>
  <c r="E1097" i="2"/>
  <c r="D1099" i="2" l="1"/>
  <c r="E1098" i="2"/>
  <c r="D1100" i="2" l="1"/>
  <c r="E1099" i="2"/>
  <c r="D1101" i="2" l="1"/>
  <c r="E1100" i="2"/>
  <c r="D1102" i="2" l="1"/>
  <c r="E1101" i="2"/>
  <c r="D1103" i="2" l="1"/>
  <c r="E1102" i="2"/>
  <c r="D1104" i="2" l="1"/>
  <c r="E1103" i="2"/>
  <c r="D1105" i="2" l="1"/>
  <c r="E1104" i="2"/>
  <c r="D1106" i="2" l="1"/>
  <c r="E1105" i="2"/>
  <c r="D1107" i="2" l="1"/>
  <c r="E1106" i="2"/>
  <c r="D1108" i="2" l="1"/>
  <c r="E1107" i="2"/>
  <c r="D1109" i="2" l="1"/>
  <c r="E1108" i="2"/>
  <c r="D1110" i="2" l="1"/>
  <c r="E1109" i="2"/>
  <c r="D1111" i="2" l="1"/>
  <c r="E1110" i="2"/>
  <c r="D1112" i="2" l="1"/>
  <c r="E1111" i="2"/>
  <c r="D1113" i="2" l="1"/>
  <c r="E1112" i="2"/>
  <c r="D1114" i="2" l="1"/>
  <c r="E1113" i="2"/>
  <c r="D1115" i="2" l="1"/>
  <c r="E1114" i="2"/>
  <c r="D1116" i="2" l="1"/>
  <c r="E1115" i="2"/>
  <c r="D1117" i="2" l="1"/>
  <c r="E1116" i="2"/>
  <c r="D1118" i="2" l="1"/>
  <c r="E1117" i="2"/>
  <c r="D1119" i="2" l="1"/>
  <c r="E1118" i="2"/>
  <c r="D1120" i="2" l="1"/>
  <c r="E1119" i="2"/>
  <c r="D1121" i="2" l="1"/>
  <c r="E1120" i="2"/>
  <c r="D1122" i="2" l="1"/>
  <c r="E1121" i="2"/>
  <c r="D1123" i="2" l="1"/>
  <c r="E1122" i="2"/>
  <c r="D1124" i="2" l="1"/>
  <c r="E1123" i="2"/>
  <c r="D1125" i="2" l="1"/>
  <c r="E1124" i="2"/>
  <c r="D1126" i="2" l="1"/>
  <c r="E1125" i="2"/>
  <c r="D1127" i="2" l="1"/>
  <c r="E1126" i="2"/>
  <c r="D1128" i="2" l="1"/>
  <c r="E1127" i="2"/>
  <c r="D1129" i="2" l="1"/>
  <c r="E1128" i="2"/>
  <c r="D1130" i="2" l="1"/>
  <c r="E1129" i="2"/>
  <c r="D1131" i="2" l="1"/>
  <c r="E1130" i="2"/>
  <c r="D1132" i="2" l="1"/>
  <c r="E1131" i="2"/>
  <c r="D1133" i="2" l="1"/>
  <c r="E1132" i="2"/>
  <c r="D1134" i="2" l="1"/>
  <c r="E1133" i="2"/>
  <c r="D1135" i="2" l="1"/>
  <c r="E1134" i="2"/>
  <c r="D1136" i="2" l="1"/>
  <c r="E1135" i="2"/>
  <c r="D1137" i="2" l="1"/>
  <c r="E1136" i="2"/>
  <c r="D1138" i="2" l="1"/>
  <c r="E1137" i="2"/>
  <c r="D1139" i="2" l="1"/>
  <c r="E1138" i="2"/>
  <c r="D1140" i="2" l="1"/>
  <c r="E1139" i="2"/>
  <c r="D1141" i="2" l="1"/>
  <c r="E1140" i="2"/>
  <c r="D1142" i="2" l="1"/>
  <c r="E1141" i="2"/>
  <c r="D1143" i="2" l="1"/>
  <c r="E1142" i="2"/>
  <c r="D1144" i="2" l="1"/>
  <c r="E1143" i="2"/>
  <c r="D1145" i="2" l="1"/>
  <c r="E1144" i="2"/>
  <c r="D1146" i="2" l="1"/>
  <c r="E1145" i="2"/>
  <c r="D1147" i="2" l="1"/>
  <c r="E1146" i="2"/>
  <c r="D1148" i="2" l="1"/>
  <c r="E1147" i="2"/>
  <c r="D1149" i="2" l="1"/>
  <c r="E1148" i="2"/>
  <c r="D1150" i="2" l="1"/>
  <c r="E1149" i="2"/>
  <c r="D1151" i="2" l="1"/>
  <c r="E1150" i="2"/>
  <c r="D1152" i="2" l="1"/>
  <c r="E1151" i="2"/>
  <c r="D1153" i="2" l="1"/>
  <c r="E1152" i="2"/>
  <c r="D1154" i="2" l="1"/>
  <c r="E1153" i="2"/>
  <c r="D1155" i="2" l="1"/>
  <c r="E1154" i="2"/>
  <c r="D1156" i="2" l="1"/>
  <c r="E1155" i="2"/>
  <c r="D1157" i="2" l="1"/>
  <c r="E1156" i="2"/>
  <c r="D1158" i="2" l="1"/>
  <c r="E1157" i="2"/>
  <c r="D1159" i="2" l="1"/>
  <c r="E1158" i="2"/>
  <c r="D1160" i="2" l="1"/>
  <c r="E1159" i="2"/>
  <c r="D1161" i="2" l="1"/>
  <c r="E1160" i="2"/>
  <c r="D1162" i="2" l="1"/>
  <c r="E1161" i="2"/>
  <c r="D1163" i="2" l="1"/>
  <c r="E1162" i="2"/>
  <c r="D1164" i="2" l="1"/>
  <c r="E1163" i="2"/>
  <c r="D1165" i="2" l="1"/>
  <c r="E1164" i="2"/>
  <c r="D1166" i="2" l="1"/>
  <c r="E1165" i="2"/>
  <c r="D1167" i="2" l="1"/>
  <c r="E1166" i="2"/>
  <c r="D1168" i="2" l="1"/>
  <c r="E1167" i="2"/>
  <c r="D1169" i="2" l="1"/>
  <c r="E1168" i="2"/>
  <c r="D1170" i="2" l="1"/>
  <c r="E1169" i="2"/>
  <c r="D1171" i="2" l="1"/>
  <c r="E1170" i="2"/>
  <c r="D1172" i="2" l="1"/>
  <c r="E1171" i="2"/>
  <c r="D1173" i="2" l="1"/>
  <c r="E1172" i="2"/>
  <c r="D1174" i="2" l="1"/>
  <c r="E1173" i="2"/>
  <c r="D1175" i="2" l="1"/>
  <c r="E1174" i="2"/>
  <c r="D1176" i="2" l="1"/>
  <c r="E1175" i="2"/>
  <c r="D1177" i="2" l="1"/>
  <c r="E1176" i="2"/>
  <c r="D1178" i="2" l="1"/>
  <c r="E1177" i="2"/>
  <c r="D1179" i="2" l="1"/>
  <c r="E1178" i="2"/>
  <c r="D1180" i="2" l="1"/>
  <c r="E1179" i="2"/>
  <c r="D1181" i="2" l="1"/>
  <c r="E1180" i="2"/>
  <c r="D1182" i="2" l="1"/>
  <c r="E1181" i="2"/>
  <c r="D1183" i="2" l="1"/>
  <c r="E1182" i="2"/>
  <c r="D1184" i="2" l="1"/>
  <c r="E1183" i="2"/>
  <c r="D1185" i="2" l="1"/>
  <c r="E1184" i="2"/>
  <c r="D1186" i="2" l="1"/>
  <c r="E1185" i="2"/>
  <c r="D1187" i="2" l="1"/>
  <c r="E1186" i="2"/>
  <c r="D1188" i="2" l="1"/>
  <c r="E1187" i="2"/>
  <c r="D1189" i="2" l="1"/>
  <c r="E1188" i="2"/>
  <c r="D1190" i="2" l="1"/>
  <c r="E1189" i="2"/>
  <c r="D1191" i="2" l="1"/>
  <c r="E1190" i="2"/>
  <c r="D1192" i="2" l="1"/>
  <c r="E1191" i="2"/>
  <c r="D1193" i="2" l="1"/>
  <c r="E1192" i="2"/>
  <c r="D1194" i="2" l="1"/>
  <c r="E1193" i="2"/>
  <c r="D1195" i="2" l="1"/>
  <c r="E1194" i="2"/>
  <c r="D1196" i="2" l="1"/>
  <c r="E1195" i="2"/>
  <c r="D1197" i="2" l="1"/>
  <c r="E1196" i="2"/>
  <c r="D1198" i="2" l="1"/>
  <c r="E1197" i="2"/>
  <c r="D1199" i="2" l="1"/>
  <c r="E1198" i="2"/>
  <c r="D1200" i="2" l="1"/>
  <c r="E1199" i="2"/>
  <c r="D1201" i="2" l="1"/>
  <c r="E1200" i="2"/>
  <c r="D1202" i="2" l="1"/>
  <c r="E1201" i="2"/>
  <c r="D1203" i="2" l="1"/>
  <c r="E1202" i="2"/>
  <c r="D1204" i="2" l="1"/>
  <c r="E1203" i="2"/>
  <c r="D1205" i="2" l="1"/>
  <c r="E1204" i="2"/>
  <c r="D1206" i="2" l="1"/>
  <c r="E1205" i="2"/>
  <c r="D1207" i="2" l="1"/>
  <c r="E1206" i="2"/>
  <c r="D1208" i="2" l="1"/>
  <c r="E1207" i="2"/>
  <c r="D1209" i="2" l="1"/>
  <c r="E1208" i="2"/>
  <c r="D1210" i="2" l="1"/>
  <c r="E1209" i="2"/>
  <c r="D1211" i="2" l="1"/>
  <c r="E1210" i="2"/>
  <c r="D1212" i="2" l="1"/>
  <c r="E1211" i="2"/>
  <c r="D1213" i="2" l="1"/>
  <c r="E1212" i="2"/>
  <c r="D1214" i="2" l="1"/>
  <c r="E1213" i="2"/>
  <c r="D1215" i="2" l="1"/>
  <c r="E1214" i="2"/>
  <c r="D1216" i="2" l="1"/>
  <c r="E1215" i="2"/>
  <c r="D1217" i="2" l="1"/>
  <c r="E1216" i="2"/>
  <c r="D1218" i="2" l="1"/>
  <c r="E1217" i="2"/>
  <c r="D1219" i="2" l="1"/>
  <c r="E1218" i="2"/>
  <c r="D1220" i="2" l="1"/>
  <c r="E1219" i="2"/>
  <c r="D1221" i="2" l="1"/>
  <c r="E1220" i="2"/>
  <c r="D1222" i="2" l="1"/>
  <c r="E1221" i="2"/>
  <c r="D1223" i="2" l="1"/>
  <c r="E1222" i="2"/>
  <c r="D1224" i="2" l="1"/>
  <c r="E1223" i="2"/>
  <c r="D1225" i="2" l="1"/>
  <c r="E1224" i="2"/>
  <c r="D1226" i="2" l="1"/>
  <c r="E1225" i="2"/>
  <c r="D1227" i="2" l="1"/>
  <c r="E1226" i="2"/>
  <c r="D1228" i="2" l="1"/>
  <c r="E1227" i="2"/>
  <c r="D1229" i="2" l="1"/>
  <c r="E1228" i="2"/>
  <c r="D1230" i="2" l="1"/>
  <c r="E1229" i="2"/>
  <c r="D1231" i="2" l="1"/>
  <c r="E1230" i="2"/>
  <c r="D1232" i="2" l="1"/>
  <c r="E1231" i="2"/>
  <c r="D1233" i="2" l="1"/>
  <c r="E1232" i="2"/>
  <c r="D1234" i="2" l="1"/>
  <c r="E1233" i="2"/>
  <c r="D1235" i="2" l="1"/>
  <c r="E1234" i="2"/>
  <c r="D1236" i="2" l="1"/>
  <c r="E1235" i="2"/>
  <c r="D1237" i="2" l="1"/>
  <c r="E1236" i="2"/>
  <c r="D1238" i="2" l="1"/>
  <c r="E1237" i="2"/>
  <c r="D1239" i="2" l="1"/>
  <c r="E1238" i="2"/>
  <c r="D1240" i="2" l="1"/>
  <c r="E1239" i="2"/>
  <c r="D1241" i="2" l="1"/>
  <c r="E1240" i="2"/>
  <c r="D1242" i="2" l="1"/>
  <c r="E1241" i="2"/>
  <c r="D1243" i="2" l="1"/>
  <c r="E1242" i="2"/>
  <c r="D1244" i="2" l="1"/>
  <c r="E1243" i="2"/>
  <c r="D1245" i="2" l="1"/>
  <c r="E1244" i="2"/>
  <c r="D1246" i="2" l="1"/>
  <c r="E1245" i="2"/>
  <c r="D1247" i="2" l="1"/>
  <c r="E1246" i="2"/>
  <c r="D1248" i="2" l="1"/>
  <c r="E1247" i="2"/>
  <c r="D1249" i="2" l="1"/>
  <c r="E1248" i="2"/>
  <c r="D1250" i="2" l="1"/>
  <c r="E1249" i="2"/>
  <c r="D1251" i="2" l="1"/>
  <c r="E1250" i="2"/>
  <c r="D1252" i="2" l="1"/>
  <c r="E1251" i="2"/>
  <c r="D1253" i="2" l="1"/>
  <c r="E1252" i="2"/>
  <c r="D1254" i="2" l="1"/>
  <c r="E1253" i="2"/>
  <c r="D1255" i="2" l="1"/>
  <c r="E1254" i="2"/>
  <c r="D1256" i="2" l="1"/>
  <c r="E1255" i="2"/>
  <c r="D1257" i="2" l="1"/>
  <c r="E1256" i="2"/>
  <c r="D1258" i="2" l="1"/>
  <c r="E1257" i="2"/>
  <c r="D1259" i="2" l="1"/>
  <c r="E1258" i="2"/>
  <c r="D1260" i="2" l="1"/>
  <c r="E1259" i="2"/>
  <c r="D1261" i="2" l="1"/>
  <c r="E1260" i="2"/>
  <c r="D1262" i="2" l="1"/>
  <c r="E1261" i="2"/>
  <c r="D1263" i="2" l="1"/>
  <c r="E1262" i="2"/>
  <c r="D1264" i="2" l="1"/>
  <c r="E1263" i="2"/>
  <c r="D1265" i="2" l="1"/>
  <c r="E1264" i="2"/>
  <c r="D1266" i="2" l="1"/>
  <c r="E1265" i="2"/>
  <c r="D1267" i="2" l="1"/>
  <c r="E1266" i="2"/>
  <c r="D1268" i="2" l="1"/>
  <c r="E1267" i="2"/>
  <c r="D1269" i="2" l="1"/>
  <c r="E1268" i="2"/>
  <c r="D1270" i="2" l="1"/>
  <c r="E1269" i="2"/>
  <c r="D1271" i="2" l="1"/>
  <c r="E1270" i="2"/>
  <c r="D1272" i="2" l="1"/>
  <c r="E1271" i="2"/>
  <c r="D1273" i="2" l="1"/>
  <c r="E1272" i="2"/>
  <c r="D1274" i="2" l="1"/>
  <c r="E1273" i="2"/>
  <c r="D1275" i="2" l="1"/>
  <c r="E1274" i="2"/>
  <c r="D1276" i="2" l="1"/>
  <c r="E1275" i="2"/>
  <c r="D1277" i="2" l="1"/>
  <c r="E1276" i="2"/>
  <c r="D1278" i="2" l="1"/>
  <c r="E1277" i="2"/>
  <c r="D1279" i="2" l="1"/>
  <c r="E1278" i="2"/>
  <c r="D1280" i="2" l="1"/>
  <c r="E1279" i="2"/>
  <c r="D1281" i="2" l="1"/>
  <c r="E1280" i="2"/>
  <c r="D1282" i="2" l="1"/>
  <c r="E1281" i="2"/>
  <c r="D1283" i="2" l="1"/>
  <c r="E1282" i="2"/>
  <c r="D1284" i="2" l="1"/>
  <c r="E1283" i="2"/>
  <c r="D1285" i="2" l="1"/>
  <c r="E1284" i="2"/>
  <c r="D1286" i="2" l="1"/>
  <c r="E1285" i="2"/>
  <c r="D1287" i="2" l="1"/>
  <c r="E1286" i="2"/>
  <c r="D1288" i="2" l="1"/>
  <c r="E1287" i="2"/>
  <c r="D1289" i="2" l="1"/>
  <c r="E1288" i="2"/>
  <c r="D1290" i="2" l="1"/>
  <c r="E1289" i="2"/>
  <c r="D1291" i="2" l="1"/>
  <c r="E1290" i="2"/>
  <c r="D1292" i="2" l="1"/>
  <c r="E1291" i="2"/>
  <c r="D1293" i="2" l="1"/>
  <c r="E1292" i="2"/>
  <c r="D1294" i="2" l="1"/>
  <c r="E1293" i="2"/>
  <c r="D1295" i="2" l="1"/>
  <c r="E1294" i="2"/>
  <c r="D1296" i="2" l="1"/>
  <c r="E1295" i="2"/>
  <c r="D1297" i="2" l="1"/>
  <c r="E1296" i="2"/>
  <c r="D1298" i="2" l="1"/>
  <c r="E1297" i="2"/>
  <c r="D1299" i="2" l="1"/>
  <c r="E1298" i="2"/>
  <c r="D1300" i="2" l="1"/>
  <c r="E1299" i="2"/>
  <c r="D1301" i="2" l="1"/>
  <c r="E1300" i="2"/>
  <c r="D1302" i="2" l="1"/>
  <c r="E1301" i="2"/>
  <c r="D1303" i="2" l="1"/>
  <c r="E1302" i="2"/>
  <c r="D1304" i="2" l="1"/>
  <c r="E1303" i="2"/>
  <c r="D1305" i="2" l="1"/>
  <c r="E1304" i="2"/>
  <c r="D1306" i="2" l="1"/>
  <c r="E1305" i="2"/>
  <c r="D1307" i="2" l="1"/>
  <c r="E1306" i="2"/>
  <c r="D1308" i="2" l="1"/>
  <c r="E1307" i="2"/>
  <c r="D1309" i="2" l="1"/>
  <c r="E1308" i="2"/>
  <c r="D1310" i="2" l="1"/>
  <c r="E1309" i="2"/>
  <c r="D1311" i="2" l="1"/>
  <c r="E1310" i="2"/>
  <c r="D1312" i="2" l="1"/>
  <c r="E1311" i="2"/>
  <c r="D1313" i="2" l="1"/>
  <c r="E1312" i="2"/>
  <c r="D1314" i="2" l="1"/>
  <c r="E1313" i="2"/>
  <c r="D1315" i="2" l="1"/>
  <c r="E1314" i="2"/>
  <c r="D1316" i="2" l="1"/>
  <c r="E1315" i="2"/>
  <c r="D1317" i="2" l="1"/>
  <c r="E1316" i="2"/>
  <c r="D1318" i="2" l="1"/>
  <c r="E1317" i="2"/>
  <c r="D1319" i="2" l="1"/>
  <c r="E1318" i="2"/>
  <c r="D1320" i="2" l="1"/>
  <c r="E1319" i="2"/>
  <c r="D1321" i="2" l="1"/>
  <c r="E1320" i="2"/>
  <c r="D1322" i="2" l="1"/>
  <c r="E1321" i="2"/>
  <c r="D1323" i="2" l="1"/>
  <c r="E1322" i="2"/>
  <c r="D1324" i="2" l="1"/>
  <c r="E1323" i="2"/>
  <c r="D1325" i="2" l="1"/>
  <c r="E1324" i="2"/>
  <c r="D1326" i="2" l="1"/>
  <c r="E1325" i="2"/>
  <c r="D1327" i="2" l="1"/>
  <c r="E1326" i="2"/>
  <c r="D1328" i="2" l="1"/>
  <c r="E1327" i="2"/>
  <c r="D1329" i="2" l="1"/>
  <c r="E1328" i="2"/>
  <c r="D1330" i="2" l="1"/>
  <c r="E1329" i="2"/>
  <c r="D1331" i="2" l="1"/>
  <c r="E1330" i="2"/>
  <c r="D1332" i="2" l="1"/>
  <c r="E1331" i="2"/>
  <c r="D1333" i="2" l="1"/>
  <c r="E1332" i="2"/>
  <c r="D1334" i="2" l="1"/>
  <c r="E1333" i="2"/>
  <c r="D1335" i="2" l="1"/>
  <c r="E1334" i="2"/>
  <c r="D1336" i="2" l="1"/>
  <c r="E1335" i="2"/>
  <c r="D1337" i="2" l="1"/>
  <c r="E1336" i="2"/>
  <c r="D1338" i="2" l="1"/>
  <c r="E1337" i="2"/>
  <c r="D1339" i="2" l="1"/>
  <c r="E1338" i="2"/>
  <c r="D1340" i="2" l="1"/>
  <c r="E1339" i="2"/>
  <c r="D1341" i="2" l="1"/>
  <c r="E1340" i="2"/>
  <c r="D1342" i="2" l="1"/>
  <c r="E1341" i="2"/>
  <c r="D1343" i="2" l="1"/>
  <c r="E1342" i="2"/>
  <c r="D1344" i="2" l="1"/>
  <c r="E1343" i="2"/>
  <c r="D1345" i="2" l="1"/>
  <c r="E1344" i="2"/>
  <c r="D1346" i="2" l="1"/>
  <c r="E1345" i="2"/>
  <c r="D1347" i="2" l="1"/>
  <c r="E1346" i="2"/>
  <c r="D1348" i="2" l="1"/>
  <c r="E1347" i="2"/>
  <c r="D1349" i="2" l="1"/>
  <c r="E1348" i="2"/>
  <c r="D1350" i="2" l="1"/>
  <c r="E1349" i="2"/>
  <c r="D1351" i="2" l="1"/>
  <c r="E1350" i="2"/>
  <c r="D1352" i="2" l="1"/>
  <c r="E1351" i="2"/>
  <c r="D1353" i="2" l="1"/>
  <c r="E1352" i="2"/>
  <c r="D1354" i="2" l="1"/>
  <c r="E1353" i="2"/>
  <c r="D1355" i="2" l="1"/>
  <c r="E1354" i="2"/>
  <c r="D1356" i="2" l="1"/>
  <c r="E1355" i="2"/>
  <c r="D1357" i="2" l="1"/>
  <c r="E1356" i="2"/>
  <c r="D1358" i="2" l="1"/>
  <c r="E1357" i="2"/>
  <c r="D1359" i="2" l="1"/>
  <c r="E1358" i="2"/>
  <c r="D1360" i="2" l="1"/>
  <c r="E1359" i="2"/>
  <c r="D1361" i="2" l="1"/>
  <c r="E1360" i="2"/>
  <c r="D1362" i="2" l="1"/>
  <c r="E1361" i="2"/>
  <c r="D1363" i="2" l="1"/>
  <c r="E1362" i="2"/>
  <c r="D1364" i="2" l="1"/>
  <c r="E1363" i="2"/>
  <c r="D1365" i="2" l="1"/>
  <c r="E1364" i="2"/>
  <c r="D1366" i="2" l="1"/>
  <c r="E1365" i="2"/>
  <c r="D1367" i="2" l="1"/>
  <c r="E1366" i="2"/>
  <c r="D1368" i="2" l="1"/>
  <c r="E1367" i="2"/>
  <c r="D1369" i="2" l="1"/>
  <c r="E1368" i="2"/>
  <c r="D1370" i="2" l="1"/>
  <c r="E1369" i="2"/>
  <c r="D1371" i="2" l="1"/>
  <c r="E1370" i="2"/>
  <c r="D1372" i="2" l="1"/>
  <c r="E1371" i="2"/>
  <c r="D1373" i="2" l="1"/>
  <c r="E1372" i="2"/>
  <c r="D1374" i="2" l="1"/>
  <c r="E1373" i="2"/>
  <c r="D1375" i="2" l="1"/>
  <c r="E1374" i="2"/>
  <c r="D1376" i="2" l="1"/>
  <c r="E1375" i="2"/>
  <c r="D1377" i="2" l="1"/>
  <c r="E1376" i="2"/>
  <c r="D1378" i="2" l="1"/>
  <c r="E1377" i="2"/>
  <c r="D1379" i="2" l="1"/>
  <c r="E1378" i="2"/>
  <c r="D1380" i="2" l="1"/>
  <c r="E1379" i="2"/>
  <c r="D1381" i="2" l="1"/>
  <c r="E1380" i="2"/>
  <c r="D1382" i="2" l="1"/>
  <c r="E1381" i="2"/>
  <c r="D1383" i="2" l="1"/>
  <c r="E1382" i="2"/>
  <c r="D1384" i="2" l="1"/>
  <c r="E1383" i="2"/>
  <c r="D1385" i="2" l="1"/>
  <c r="E1384" i="2"/>
  <c r="D1386" i="2" l="1"/>
  <c r="E1385" i="2"/>
  <c r="D1387" i="2" l="1"/>
  <c r="E1386" i="2"/>
  <c r="D1388" i="2" l="1"/>
  <c r="E1387" i="2"/>
  <c r="D1389" i="2" l="1"/>
  <c r="E1388" i="2"/>
  <c r="D1390" i="2" l="1"/>
  <c r="E1389" i="2"/>
  <c r="D1391" i="2" l="1"/>
  <c r="E1390" i="2"/>
  <c r="D1392" i="2" l="1"/>
  <c r="E1391" i="2"/>
  <c r="D1393" i="2" l="1"/>
  <c r="E1392" i="2"/>
  <c r="D1394" i="2" l="1"/>
  <c r="E1393" i="2"/>
  <c r="D1395" i="2" l="1"/>
  <c r="E1394" i="2"/>
  <c r="D1396" i="2" l="1"/>
  <c r="E1395" i="2"/>
  <c r="D1397" i="2" l="1"/>
  <c r="E1396" i="2"/>
  <c r="D1398" i="2" l="1"/>
  <c r="E1397" i="2"/>
  <c r="D1399" i="2" l="1"/>
  <c r="E1398" i="2"/>
  <c r="D1400" i="2" l="1"/>
  <c r="E1399" i="2"/>
  <c r="D1401" i="2" l="1"/>
  <c r="E1400" i="2"/>
  <c r="D1402" i="2" l="1"/>
  <c r="E1401" i="2"/>
  <c r="D1403" i="2" l="1"/>
  <c r="E1402" i="2"/>
  <c r="D1404" i="2" l="1"/>
  <c r="E1403" i="2"/>
  <c r="D1405" i="2" l="1"/>
  <c r="E1404" i="2"/>
  <c r="D1406" i="2" l="1"/>
  <c r="E1405" i="2"/>
  <c r="D1407" i="2" l="1"/>
  <c r="E1406" i="2"/>
  <c r="D1408" i="2" l="1"/>
  <c r="E1407" i="2"/>
  <c r="D1409" i="2" l="1"/>
  <c r="E1408" i="2"/>
  <c r="D1410" i="2" l="1"/>
  <c r="E1409" i="2"/>
  <c r="D1411" i="2" l="1"/>
  <c r="E1410" i="2"/>
  <c r="D1412" i="2" l="1"/>
  <c r="E1411" i="2"/>
  <c r="D1413" i="2" l="1"/>
  <c r="E1412" i="2"/>
  <c r="D1414" i="2" l="1"/>
  <c r="E1413" i="2"/>
  <c r="D1415" i="2" l="1"/>
  <c r="E1414" i="2"/>
  <c r="D1416" i="2" l="1"/>
  <c r="E1415" i="2"/>
  <c r="D1417" i="2" l="1"/>
  <c r="E1416" i="2"/>
  <c r="D1418" i="2" l="1"/>
  <c r="E1417" i="2"/>
  <c r="D1419" i="2" l="1"/>
  <c r="E1418" i="2"/>
  <c r="D1420" i="2" l="1"/>
  <c r="E1419" i="2"/>
  <c r="D1421" i="2" l="1"/>
  <c r="E1420" i="2"/>
  <c r="D1422" i="2" l="1"/>
  <c r="E1421" i="2"/>
  <c r="D1423" i="2" l="1"/>
  <c r="E1422" i="2"/>
  <c r="D1424" i="2" l="1"/>
  <c r="E1423" i="2"/>
  <c r="D1425" i="2" l="1"/>
  <c r="E1424" i="2"/>
  <c r="D1426" i="2" l="1"/>
  <c r="E1425" i="2"/>
  <c r="D1427" i="2" l="1"/>
  <c r="E1426" i="2"/>
  <c r="D1428" i="2" l="1"/>
  <c r="E1427" i="2"/>
  <c r="D1429" i="2" l="1"/>
  <c r="E1428" i="2"/>
  <c r="D1430" i="2" l="1"/>
  <c r="E1429" i="2"/>
  <c r="D1431" i="2" l="1"/>
  <c r="E1430" i="2"/>
  <c r="D1432" i="2" l="1"/>
  <c r="E1431" i="2"/>
  <c r="D1433" i="2" l="1"/>
  <c r="E1432" i="2"/>
  <c r="D1434" i="2" l="1"/>
  <c r="E1433" i="2"/>
  <c r="D1435" i="2" l="1"/>
  <c r="E1434" i="2"/>
  <c r="D1436" i="2" l="1"/>
  <c r="E1435" i="2"/>
  <c r="D1437" i="2" l="1"/>
  <c r="E1436" i="2"/>
  <c r="D1438" i="2" l="1"/>
  <c r="E1437" i="2"/>
  <c r="D1439" i="2" l="1"/>
  <c r="E1438" i="2"/>
  <c r="D1440" i="2" l="1"/>
  <c r="E1439" i="2"/>
  <c r="D1441" i="2" l="1"/>
  <c r="E1440" i="2"/>
  <c r="D1442" i="2" l="1"/>
  <c r="E1441" i="2"/>
  <c r="D1443" i="2" l="1"/>
  <c r="E1442" i="2"/>
  <c r="D1444" i="2" l="1"/>
  <c r="E1443" i="2"/>
  <c r="D1445" i="2" l="1"/>
  <c r="E1444" i="2"/>
  <c r="D1446" i="2" l="1"/>
  <c r="E1445" i="2"/>
  <c r="D1447" i="2" l="1"/>
  <c r="E1446" i="2"/>
  <c r="D1448" i="2" l="1"/>
  <c r="E1447" i="2"/>
  <c r="D1449" i="2" l="1"/>
  <c r="E1448" i="2"/>
  <c r="D1450" i="2" l="1"/>
  <c r="E1449" i="2"/>
  <c r="D1451" i="2" l="1"/>
  <c r="E1450" i="2"/>
  <c r="D1452" i="2" l="1"/>
  <c r="E1451" i="2"/>
  <c r="D1453" i="2" l="1"/>
  <c r="E1452" i="2"/>
  <c r="D1454" i="2" l="1"/>
  <c r="E1453" i="2"/>
  <c r="D1455" i="2" l="1"/>
  <c r="E1454" i="2"/>
  <c r="D1456" i="2" l="1"/>
  <c r="E1455" i="2"/>
  <c r="D1457" i="2" l="1"/>
  <c r="E1456" i="2"/>
  <c r="D1458" i="2" l="1"/>
  <c r="E1457" i="2"/>
  <c r="D1459" i="2" l="1"/>
  <c r="E1458" i="2"/>
  <c r="D1460" i="2" l="1"/>
  <c r="E1459" i="2"/>
  <c r="D1461" i="2" l="1"/>
  <c r="E1460" i="2"/>
  <c r="D1462" i="2" l="1"/>
  <c r="E1461" i="2"/>
  <c r="D1463" i="2" l="1"/>
  <c r="E1462" i="2"/>
  <c r="D1464" i="2" l="1"/>
  <c r="E1463" i="2"/>
  <c r="D1465" i="2" l="1"/>
  <c r="E1464" i="2"/>
  <c r="D1466" i="2" l="1"/>
  <c r="E1465" i="2"/>
  <c r="D1467" i="2" l="1"/>
  <c r="E1466" i="2"/>
  <c r="D1468" i="2" l="1"/>
  <c r="E1467" i="2"/>
  <c r="D1469" i="2" l="1"/>
  <c r="E1468" i="2"/>
  <c r="D1470" i="2" l="1"/>
  <c r="E1469" i="2"/>
  <c r="D1471" i="2" l="1"/>
  <c r="E1470" i="2"/>
  <c r="D1472" i="2" l="1"/>
  <c r="E1471" i="2"/>
  <c r="D1473" i="2" l="1"/>
  <c r="E1472" i="2"/>
  <c r="D1474" i="2" l="1"/>
  <c r="E1473" i="2"/>
  <c r="D1475" i="2" l="1"/>
  <c r="E1474" i="2"/>
  <c r="D1476" i="2" l="1"/>
  <c r="E1475" i="2"/>
  <c r="D1477" i="2" l="1"/>
  <c r="E1476" i="2"/>
  <c r="D1478" i="2" l="1"/>
  <c r="E1477" i="2"/>
  <c r="D1479" i="2" l="1"/>
  <c r="E1478" i="2"/>
  <c r="D1480" i="2" l="1"/>
  <c r="E1479" i="2"/>
  <c r="D1481" i="2" l="1"/>
  <c r="E1480" i="2"/>
  <c r="D1482" i="2" l="1"/>
  <c r="E1481" i="2"/>
  <c r="D1483" i="2" l="1"/>
  <c r="E1482" i="2"/>
  <c r="D1484" i="2" l="1"/>
  <c r="E1483" i="2"/>
  <c r="D1485" i="2" l="1"/>
  <c r="E1484" i="2"/>
  <c r="D1486" i="2" l="1"/>
  <c r="E1485" i="2"/>
  <c r="D1487" i="2" l="1"/>
  <c r="E1486" i="2"/>
  <c r="D1488" i="2" l="1"/>
  <c r="E1487" i="2"/>
  <c r="D1489" i="2" l="1"/>
  <c r="E1488" i="2"/>
  <c r="D1490" i="2" l="1"/>
  <c r="E1489" i="2"/>
  <c r="D1491" i="2" l="1"/>
  <c r="E1490" i="2"/>
  <c r="D1492" i="2" l="1"/>
  <c r="E1491" i="2"/>
  <c r="D1493" i="2" l="1"/>
  <c r="E1492" i="2"/>
  <c r="D1494" i="2" l="1"/>
  <c r="E1493" i="2"/>
  <c r="D1495" i="2" l="1"/>
  <c r="E1494" i="2"/>
  <c r="D1496" i="2" l="1"/>
  <c r="E1495" i="2"/>
  <c r="D1497" i="2" l="1"/>
  <c r="E1496" i="2"/>
  <c r="D1498" i="2" l="1"/>
  <c r="E1497" i="2"/>
  <c r="D1499" i="2" l="1"/>
  <c r="E1498" i="2"/>
  <c r="D1500" i="2" l="1"/>
  <c r="E1499" i="2"/>
  <c r="D1501" i="2" l="1"/>
  <c r="E1500" i="2"/>
  <c r="D1502" i="2" l="1"/>
  <c r="E1501" i="2"/>
  <c r="D1503" i="2" l="1"/>
  <c r="E1502" i="2"/>
  <c r="D1504" i="2" l="1"/>
  <c r="E1503" i="2"/>
  <c r="D1505" i="2" l="1"/>
  <c r="E1504" i="2"/>
  <c r="D1506" i="2" l="1"/>
  <c r="E1505" i="2"/>
  <c r="D1507" i="2" l="1"/>
  <c r="E1506" i="2"/>
  <c r="D1508" i="2" l="1"/>
  <c r="E1507" i="2"/>
  <c r="D1509" i="2" l="1"/>
  <c r="E1508" i="2"/>
  <c r="D1510" i="2" l="1"/>
  <c r="E1509" i="2"/>
  <c r="D1511" i="2" l="1"/>
  <c r="E1510" i="2"/>
  <c r="D1512" i="2" l="1"/>
  <c r="E1511" i="2"/>
  <c r="D1513" i="2" l="1"/>
  <c r="E1512" i="2"/>
  <c r="D1514" i="2" l="1"/>
  <c r="E1513" i="2"/>
  <c r="D1515" i="2" l="1"/>
  <c r="E1514" i="2"/>
  <c r="D1516" i="2" l="1"/>
  <c r="E1515" i="2"/>
  <c r="D1517" i="2" l="1"/>
  <c r="E1516" i="2"/>
  <c r="D1518" i="2" l="1"/>
  <c r="E1517" i="2"/>
  <c r="D1519" i="2" l="1"/>
  <c r="E1518" i="2"/>
  <c r="D1520" i="2" l="1"/>
  <c r="E1519" i="2"/>
  <c r="D1521" i="2" l="1"/>
  <c r="E1520" i="2"/>
  <c r="D1522" i="2" l="1"/>
  <c r="E1521" i="2"/>
  <c r="D1523" i="2" l="1"/>
  <c r="E1522" i="2"/>
  <c r="D1524" i="2" l="1"/>
  <c r="E1523" i="2"/>
  <c r="D1525" i="2" l="1"/>
  <c r="E1524" i="2"/>
  <c r="D1526" i="2" l="1"/>
  <c r="E1525" i="2"/>
  <c r="D1527" i="2" l="1"/>
  <c r="E1526" i="2"/>
  <c r="D1528" i="2" l="1"/>
  <c r="E1527" i="2"/>
  <c r="D1529" i="2" l="1"/>
  <c r="E1528" i="2"/>
  <c r="D1530" i="2" l="1"/>
  <c r="E1529" i="2"/>
  <c r="D1531" i="2" l="1"/>
  <c r="E1530" i="2"/>
  <c r="D1532" i="2" l="1"/>
  <c r="E1531" i="2"/>
  <c r="D1533" i="2" l="1"/>
  <c r="E1532" i="2"/>
  <c r="D1534" i="2" l="1"/>
  <c r="E1533" i="2"/>
  <c r="D1535" i="2" l="1"/>
  <c r="E1534" i="2"/>
  <c r="D1536" i="2" l="1"/>
  <c r="E1535" i="2"/>
  <c r="D1537" i="2" l="1"/>
  <c r="E1536" i="2"/>
  <c r="D1538" i="2" l="1"/>
  <c r="E1537" i="2"/>
  <c r="D1539" i="2" l="1"/>
  <c r="E1538" i="2"/>
  <c r="D1540" i="2" l="1"/>
  <c r="E1539" i="2"/>
  <c r="D1541" i="2" l="1"/>
  <c r="E1540" i="2"/>
  <c r="D1542" i="2" l="1"/>
  <c r="E1541" i="2"/>
  <c r="D1543" i="2" l="1"/>
  <c r="E1542" i="2"/>
  <c r="D1544" i="2" l="1"/>
  <c r="E1543" i="2"/>
  <c r="D1545" i="2" l="1"/>
  <c r="E1544" i="2"/>
  <c r="D1546" i="2" l="1"/>
  <c r="E1545" i="2"/>
  <c r="D1547" i="2" l="1"/>
  <c r="E1546" i="2"/>
  <c r="D1548" i="2" l="1"/>
  <c r="E1547" i="2"/>
  <c r="D1549" i="2" l="1"/>
  <c r="E1548" i="2"/>
  <c r="D1550" i="2" l="1"/>
  <c r="E1549" i="2"/>
  <c r="D1551" i="2" l="1"/>
  <c r="E1550" i="2"/>
  <c r="D1552" i="2" l="1"/>
  <c r="E1551" i="2"/>
  <c r="D1553" i="2" l="1"/>
  <c r="E1552" i="2"/>
  <c r="D1554" i="2" l="1"/>
  <c r="E1553" i="2"/>
  <c r="D1555" i="2" l="1"/>
  <c r="E1554" i="2"/>
  <c r="D1556" i="2" l="1"/>
  <c r="E1555" i="2"/>
  <c r="D1557" i="2" l="1"/>
  <c r="E1556" i="2"/>
  <c r="D1558" i="2" l="1"/>
  <c r="E1557" i="2"/>
  <c r="D1559" i="2" l="1"/>
  <c r="E1558" i="2"/>
  <c r="D1560" i="2" l="1"/>
  <c r="E1559" i="2"/>
  <c r="D1561" i="2" l="1"/>
  <c r="E1560" i="2"/>
  <c r="D1562" i="2" l="1"/>
  <c r="E1561" i="2"/>
  <c r="D1563" i="2" l="1"/>
  <c r="E1562" i="2"/>
  <c r="D1564" i="2" l="1"/>
  <c r="E1563" i="2"/>
  <c r="D1565" i="2" l="1"/>
  <c r="E1564" i="2"/>
  <c r="D1566" i="2" l="1"/>
  <c r="E1565" i="2"/>
  <c r="D1567" i="2" l="1"/>
  <c r="E1566" i="2"/>
  <c r="D1568" i="2" l="1"/>
  <c r="E1567" i="2"/>
  <c r="D1569" i="2" l="1"/>
  <c r="E1568" i="2"/>
  <c r="D1570" i="2" l="1"/>
  <c r="E1569" i="2"/>
  <c r="D1571" i="2" l="1"/>
  <c r="E1570" i="2"/>
  <c r="D1572" i="2" l="1"/>
  <c r="E1571" i="2"/>
  <c r="D1573" i="2" l="1"/>
  <c r="E1572" i="2"/>
  <c r="D1574" i="2" l="1"/>
  <c r="E1573" i="2"/>
  <c r="D1575" i="2" l="1"/>
  <c r="E1574" i="2"/>
  <c r="D1576" i="2" l="1"/>
  <c r="E1575" i="2"/>
  <c r="D1577" i="2" l="1"/>
  <c r="E1576" i="2"/>
  <c r="D1578" i="2" l="1"/>
  <c r="E1577" i="2"/>
  <c r="D1579" i="2" l="1"/>
  <c r="E1578" i="2"/>
  <c r="D1580" i="2" l="1"/>
  <c r="E1579" i="2"/>
  <c r="D1581" i="2" l="1"/>
  <c r="E1580" i="2"/>
  <c r="D1582" i="2" l="1"/>
  <c r="E1581" i="2"/>
  <c r="D1583" i="2" l="1"/>
  <c r="E1582" i="2"/>
  <c r="D1584" i="2" l="1"/>
  <c r="E1583" i="2"/>
  <c r="D1585" i="2" l="1"/>
  <c r="E1584" i="2"/>
  <c r="D1586" i="2" l="1"/>
  <c r="E1585" i="2"/>
  <c r="D1587" i="2" l="1"/>
  <c r="E1586" i="2"/>
  <c r="D1588" i="2" l="1"/>
  <c r="E1587" i="2"/>
  <c r="D1589" i="2" l="1"/>
  <c r="E1588" i="2"/>
  <c r="D1590" i="2" l="1"/>
  <c r="E1589" i="2"/>
  <c r="D1591" i="2" l="1"/>
  <c r="E1590" i="2"/>
  <c r="D1592" i="2" l="1"/>
  <c r="E1591" i="2"/>
  <c r="D1593" i="2" l="1"/>
  <c r="E1592" i="2"/>
  <c r="D1594" i="2" l="1"/>
  <c r="E1593" i="2"/>
  <c r="D1595" i="2" l="1"/>
  <c r="E1594" i="2"/>
  <c r="D1596" i="2" l="1"/>
  <c r="E1595" i="2"/>
  <c r="D1597" i="2" l="1"/>
  <c r="E1596" i="2"/>
  <c r="D1598" i="2" l="1"/>
  <c r="E1597" i="2"/>
  <c r="D1599" i="2" l="1"/>
  <c r="E1598" i="2"/>
  <c r="D1600" i="2" l="1"/>
  <c r="E1599" i="2"/>
  <c r="D1601" i="2" l="1"/>
  <c r="E1600" i="2"/>
  <c r="D1602" i="2" l="1"/>
  <c r="E1601" i="2"/>
  <c r="D1603" i="2" l="1"/>
  <c r="E1602" i="2"/>
  <c r="D1604" i="2" l="1"/>
  <c r="E1603" i="2"/>
  <c r="D1605" i="2" l="1"/>
  <c r="E1604" i="2"/>
  <c r="D1606" i="2" l="1"/>
  <c r="E1605" i="2"/>
  <c r="D1607" i="2" l="1"/>
  <c r="E1606" i="2"/>
  <c r="D1608" i="2" l="1"/>
  <c r="E1607" i="2"/>
  <c r="D1609" i="2" l="1"/>
  <c r="E1608" i="2"/>
  <c r="D1610" i="2" l="1"/>
  <c r="E1609" i="2"/>
  <c r="D1611" i="2" l="1"/>
  <c r="E1610" i="2"/>
  <c r="D1612" i="2" l="1"/>
  <c r="E1611" i="2"/>
  <c r="D1613" i="2" l="1"/>
  <c r="E1612" i="2"/>
  <c r="D1614" i="2" l="1"/>
  <c r="E1613" i="2"/>
  <c r="D1615" i="2" l="1"/>
  <c r="E1614" i="2"/>
  <c r="D1616" i="2" l="1"/>
  <c r="E1615" i="2"/>
  <c r="D1617" i="2" l="1"/>
  <c r="E1616" i="2"/>
  <c r="D1618" i="2" l="1"/>
  <c r="E1617" i="2"/>
  <c r="D1619" i="2" l="1"/>
  <c r="E1618" i="2"/>
  <c r="D1620" i="2" l="1"/>
  <c r="E1619" i="2"/>
  <c r="D1621" i="2" l="1"/>
  <c r="E1620" i="2"/>
  <c r="D1622" i="2" l="1"/>
  <c r="E1621" i="2"/>
  <c r="D1623" i="2" l="1"/>
  <c r="E1622" i="2"/>
  <c r="D1624" i="2" l="1"/>
  <c r="E1623" i="2"/>
  <c r="D1625" i="2" l="1"/>
  <c r="E1624" i="2"/>
  <c r="D1626" i="2" l="1"/>
  <c r="E1625" i="2"/>
  <c r="D1627" i="2" l="1"/>
  <c r="E1626" i="2"/>
  <c r="D1628" i="2" l="1"/>
  <c r="E1627" i="2"/>
  <c r="D1629" i="2" l="1"/>
  <c r="E1628" i="2"/>
  <c r="D1630" i="2" l="1"/>
  <c r="E1629" i="2"/>
  <c r="D1631" i="2" l="1"/>
  <c r="E1630" i="2"/>
  <c r="D1632" i="2" l="1"/>
  <c r="E1631" i="2"/>
  <c r="D1633" i="2" l="1"/>
  <c r="E1632" i="2"/>
  <c r="D1634" i="2" l="1"/>
  <c r="E1633" i="2"/>
  <c r="D1635" i="2" l="1"/>
  <c r="E1634" i="2"/>
  <c r="D1636" i="2" l="1"/>
  <c r="E1635" i="2"/>
  <c r="D1637" i="2" l="1"/>
  <c r="E1636" i="2"/>
  <c r="D1638" i="2" l="1"/>
  <c r="E1637" i="2"/>
  <c r="D1639" i="2" l="1"/>
  <c r="E1638" i="2"/>
  <c r="D1640" i="2" l="1"/>
  <c r="E1639" i="2"/>
  <c r="D1641" i="2" l="1"/>
  <c r="E1640" i="2"/>
  <c r="D1642" i="2" l="1"/>
  <c r="E1641" i="2"/>
  <c r="D1643" i="2" l="1"/>
  <c r="E1642" i="2"/>
  <c r="D1644" i="2" l="1"/>
  <c r="E1643" i="2"/>
  <c r="D1645" i="2" l="1"/>
  <c r="E1644" i="2"/>
  <c r="D1646" i="2" l="1"/>
  <c r="E1645" i="2"/>
  <c r="D1647" i="2" l="1"/>
  <c r="E1646" i="2"/>
  <c r="D1648" i="2" l="1"/>
  <c r="E1647" i="2"/>
  <c r="D1649" i="2" l="1"/>
  <c r="E1648" i="2"/>
  <c r="D1650" i="2" l="1"/>
  <c r="E1649" i="2"/>
  <c r="D1651" i="2" l="1"/>
  <c r="E1650" i="2"/>
  <c r="D1652" i="2" l="1"/>
  <c r="E1651" i="2"/>
  <c r="D1653" i="2" l="1"/>
  <c r="E1652" i="2"/>
  <c r="D1654" i="2" l="1"/>
  <c r="E1653" i="2"/>
  <c r="D1655" i="2" l="1"/>
  <c r="E1654" i="2"/>
  <c r="D1656" i="2" l="1"/>
  <c r="E1655" i="2"/>
  <c r="D1657" i="2" l="1"/>
  <c r="E1656" i="2"/>
  <c r="D1658" i="2" l="1"/>
  <c r="E1657" i="2"/>
  <c r="D1659" i="2" l="1"/>
  <c r="E1658" i="2"/>
  <c r="D1660" i="2" l="1"/>
  <c r="E1659" i="2"/>
  <c r="D1661" i="2" l="1"/>
  <c r="E1660" i="2"/>
  <c r="D1662" i="2" l="1"/>
  <c r="E1661" i="2"/>
  <c r="D1663" i="2" l="1"/>
  <c r="E1662" i="2"/>
  <c r="D1664" i="2" l="1"/>
  <c r="E1663" i="2"/>
  <c r="D1665" i="2" l="1"/>
  <c r="E1664" i="2"/>
  <c r="D1666" i="2" l="1"/>
  <c r="E1665" i="2"/>
  <c r="D1667" i="2" l="1"/>
  <c r="E1666" i="2"/>
  <c r="D1668" i="2" l="1"/>
  <c r="E1667" i="2"/>
  <c r="D1669" i="2" l="1"/>
  <c r="E1668" i="2"/>
  <c r="D1670" i="2" l="1"/>
  <c r="E1669" i="2"/>
  <c r="D1671" i="2" l="1"/>
  <c r="E1670" i="2"/>
  <c r="D1672" i="2" l="1"/>
  <c r="E1671" i="2"/>
  <c r="D1673" i="2" l="1"/>
  <c r="E1672" i="2"/>
  <c r="D1674" i="2" l="1"/>
  <c r="E1673" i="2"/>
  <c r="D1675" i="2" l="1"/>
  <c r="E1674" i="2"/>
  <c r="D1676" i="2" l="1"/>
  <c r="E1675" i="2"/>
  <c r="D1677" i="2" l="1"/>
  <c r="E1676" i="2"/>
  <c r="D1678" i="2" l="1"/>
  <c r="E1677" i="2"/>
  <c r="D1679" i="2" l="1"/>
  <c r="E1678" i="2"/>
  <c r="D1680" i="2" l="1"/>
  <c r="E1679" i="2"/>
  <c r="D1681" i="2" l="1"/>
  <c r="E1680" i="2"/>
  <c r="D1682" i="2" l="1"/>
  <c r="E1681" i="2"/>
  <c r="D1683" i="2" l="1"/>
  <c r="E1682" i="2"/>
  <c r="D1684" i="2" l="1"/>
  <c r="E1683" i="2"/>
  <c r="D1685" i="2" l="1"/>
  <c r="E1684" i="2"/>
  <c r="D1686" i="2" l="1"/>
  <c r="E1685" i="2"/>
  <c r="D1687" i="2" l="1"/>
  <c r="E1686" i="2"/>
  <c r="D1688" i="2" l="1"/>
  <c r="E1687" i="2"/>
  <c r="D1689" i="2" l="1"/>
  <c r="E1688" i="2"/>
  <c r="D1690" i="2" l="1"/>
  <c r="E1689" i="2"/>
  <c r="D1691" i="2" l="1"/>
  <c r="E1690" i="2"/>
  <c r="D1692" i="2" l="1"/>
  <c r="E1691" i="2"/>
  <c r="D1693" i="2" l="1"/>
  <c r="E1692" i="2"/>
  <c r="D1694" i="2" l="1"/>
  <c r="E1693" i="2"/>
  <c r="D1695" i="2" l="1"/>
  <c r="E1694" i="2"/>
  <c r="D1696" i="2" l="1"/>
  <c r="E1695" i="2"/>
  <c r="D1697" i="2" l="1"/>
  <c r="E1696" i="2"/>
  <c r="D1698" i="2" l="1"/>
  <c r="E1697" i="2"/>
  <c r="D1699" i="2" l="1"/>
  <c r="E1698" i="2"/>
  <c r="D1700" i="2" l="1"/>
  <c r="E1699" i="2"/>
  <c r="D1701" i="2" l="1"/>
  <c r="E1700" i="2"/>
  <c r="D1702" i="2" l="1"/>
  <c r="E1701" i="2"/>
  <c r="D1703" i="2" l="1"/>
  <c r="E1702" i="2"/>
  <c r="D1704" i="2" l="1"/>
  <c r="E1703" i="2"/>
  <c r="D1705" i="2" l="1"/>
  <c r="E1704" i="2"/>
  <c r="D1706" i="2" l="1"/>
  <c r="E1705" i="2"/>
  <c r="D1707" i="2" l="1"/>
  <c r="E1706" i="2"/>
  <c r="D1708" i="2" l="1"/>
  <c r="E1707" i="2"/>
  <c r="D1709" i="2" l="1"/>
  <c r="E1708" i="2"/>
  <c r="D1710" i="2" l="1"/>
  <c r="E1709" i="2"/>
  <c r="D1711" i="2" l="1"/>
  <c r="E1710" i="2"/>
  <c r="D1712" i="2" l="1"/>
  <c r="E1711" i="2"/>
  <c r="D1713" i="2" l="1"/>
  <c r="E1712" i="2"/>
  <c r="D1714" i="2" l="1"/>
  <c r="E1713" i="2"/>
  <c r="D1715" i="2" l="1"/>
  <c r="E1714" i="2"/>
  <c r="D1716" i="2" l="1"/>
  <c r="E1715" i="2"/>
  <c r="D1717" i="2" l="1"/>
  <c r="E1716" i="2"/>
  <c r="D1718" i="2" l="1"/>
  <c r="E1717" i="2"/>
  <c r="D1719" i="2" l="1"/>
  <c r="E1718" i="2"/>
  <c r="D1720" i="2" l="1"/>
  <c r="E1719" i="2"/>
  <c r="D1721" i="2" l="1"/>
  <c r="E1720" i="2"/>
  <c r="D1722" i="2" l="1"/>
  <c r="E1721" i="2"/>
  <c r="D1723" i="2" l="1"/>
  <c r="E1722" i="2"/>
  <c r="D1724" i="2" l="1"/>
  <c r="E1723" i="2"/>
  <c r="D1725" i="2" l="1"/>
  <c r="E1724" i="2"/>
  <c r="D1726" i="2" l="1"/>
  <c r="E1725" i="2"/>
  <c r="D1727" i="2" l="1"/>
  <c r="E1726" i="2"/>
  <c r="D1728" i="2" l="1"/>
  <c r="E1727" i="2"/>
  <c r="D1729" i="2" l="1"/>
  <c r="E1728" i="2"/>
  <c r="D1730" i="2" l="1"/>
  <c r="E1729" i="2"/>
  <c r="D1731" i="2" l="1"/>
  <c r="E1730" i="2"/>
  <c r="D1732" i="2" l="1"/>
  <c r="E1731" i="2"/>
  <c r="D1733" i="2" l="1"/>
  <c r="E1732" i="2"/>
  <c r="D1734" i="2" l="1"/>
  <c r="E1733" i="2"/>
  <c r="D1735" i="2" l="1"/>
  <c r="E1734" i="2"/>
  <c r="D1736" i="2" l="1"/>
  <c r="E1735" i="2"/>
  <c r="D1737" i="2" l="1"/>
  <c r="E1736" i="2"/>
  <c r="D1738" i="2" l="1"/>
  <c r="E1737" i="2"/>
  <c r="D1739" i="2" l="1"/>
  <c r="E1738" i="2"/>
  <c r="D1740" i="2" l="1"/>
  <c r="E1739" i="2"/>
  <c r="D1741" i="2" l="1"/>
  <c r="E1740" i="2"/>
  <c r="D1742" i="2" l="1"/>
  <c r="E1741" i="2"/>
  <c r="D1743" i="2" l="1"/>
  <c r="E1742" i="2"/>
  <c r="D1744" i="2" l="1"/>
  <c r="E1743" i="2"/>
  <c r="D1745" i="2" l="1"/>
  <c r="E1744" i="2"/>
  <c r="D1746" i="2" l="1"/>
  <c r="E1745" i="2"/>
  <c r="D1747" i="2" l="1"/>
  <c r="E1746" i="2"/>
  <c r="D1748" i="2" l="1"/>
  <c r="E1747" i="2"/>
  <c r="D1749" i="2" l="1"/>
  <c r="E1748" i="2"/>
  <c r="D1750" i="2" l="1"/>
  <c r="E1749" i="2"/>
  <c r="D1751" i="2" l="1"/>
  <c r="E1750" i="2"/>
  <c r="D1752" i="2" l="1"/>
  <c r="E1751" i="2"/>
  <c r="D1753" i="2" l="1"/>
  <c r="E1752" i="2"/>
  <c r="D1754" i="2" l="1"/>
  <c r="E1753" i="2"/>
  <c r="D1755" i="2" l="1"/>
  <c r="E1754" i="2"/>
  <c r="D1756" i="2" l="1"/>
  <c r="E1755" i="2"/>
  <c r="D1757" i="2" l="1"/>
  <c r="E1756" i="2"/>
  <c r="D1758" i="2" l="1"/>
  <c r="E1757" i="2"/>
  <c r="D1759" i="2" l="1"/>
  <c r="E1758" i="2"/>
  <c r="D1760" i="2" l="1"/>
  <c r="E1759" i="2"/>
  <c r="D1761" i="2" l="1"/>
  <c r="E1760" i="2"/>
  <c r="D1762" i="2" l="1"/>
  <c r="E1761" i="2"/>
  <c r="D1763" i="2" l="1"/>
  <c r="E1762" i="2"/>
  <c r="D1764" i="2" l="1"/>
  <c r="E1763" i="2"/>
  <c r="D1765" i="2" l="1"/>
  <c r="E1764" i="2"/>
  <c r="D1766" i="2" l="1"/>
  <c r="E1765" i="2"/>
  <c r="D1767" i="2" l="1"/>
  <c r="E1766" i="2"/>
  <c r="D1768" i="2" l="1"/>
  <c r="E1767" i="2"/>
  <c r="D1769" i="2" l="1"/>
  <c r="E1768" i="2"/>
  <c r="D1770" i="2" l="1"/>
  <c r="E1769" i="2"/>
  <c r="D1771" i="2" l="1"/>
  <c r="E1770" i="2"/>
  <c r="D1772" i="2" l="1"/>
  <c r="E1771" i="2"/>
  <c r="D1773" i="2" l="1"/>
  <c r="E1772" i="2"/>
  <c r="D1774" i="2" l="1"/>
  <c r="E1773" i="2"/>
  <c r="D1775" i="2" l="1"/>
  <c r="E1774" i="2"/>
  <c r="D1776" i="2" l="1"/>
  <c r="E1775" i="2"/>
  <c r="D1777" i="2" l="1"/>
  <c r="E1776" i="2"/>
  <c r="D1778" i="2" l="1"/>
  <c r="E1777" i="2"/>
  <c r="D1779" i="2" l="1"/>
  <c r="E1778" i="2"/>
  <c r="D1780" i="2" l="1"/>
  <c r="E1779" i="2"/>
  <c r="D1781" i="2" l="1"/>
  <c r="E1780" i="2"/>
  <c r="D1782" i="2" l="1"/>
  <c r="E1781" i="2"/>
  <c r="D1783" i="2" l="1"/>
  <c r="E1782" i="2"/>
  <c r="D1784" i="2" l="1"/>
  <c r="E1783" i="2"/>
  <c r="D1785" i="2" l="1"/>
  <c r="E1784" i="2"/>
  <c r="D1786" i="2" l="1"/>
  <c r="E1785" i="2"/>
  <c r="D1787" i="2" l="1"/>
  <c r="E1786" i="2"/>
  <c r="D1788" i="2" l="1"/>
  <c r="E1787" i="2"/>
  <c r="D1789" i="2" l="1"/>
  <c r="E1788" i="2"/>
  <c r="D1790" i="2" l="1"/>
  <c r="E1789" i="2"/>
  <c r="D1791" i="2" l="1"/>
  <c r="E1790" i="2"/>
  <c r="D1792" i="2" l="1"/>
  <c r="E1791" i="2"/>
  <c r="D1793" i="2" l="1"/>
  <c r="E1792" i="2"/>
  <c r="D1794" i="2" l="1"/>
  <c r="E1793" i="2"/>
  <c r="D1795" i="2" l="1"/>
  <c r="E1794" i="2"/>
  <c r="D1796" i="2" l="1"/>
  <c r="E1795" i="2"/>
  <c r="D1797" i="2" l="1"/>
  <c r="E1796" i="2"/>
  <c r="D1798" i="2" l="1"/>
  <c r="E1797" i="2"/>
  <c r="D1799" i="2" l="1"/>
  <c r="E1798" i="2"/>
  <c r="D1800" i="2" l="1"/>
  <c r="E1799" i="2"/>
  <c r="D1801" i="2" l="1"/>
  <c r="E1800" i="2"/>
  <c r="D1802" i="2" l="1"/>
  <c r="E1801" i="2"/>
  <c r="D1803" i="2" l="1"/>
  <c r="E1802" i="2"/>
  <c r="D1804" i="2" l="1"/>
  <c r="E1803" i="2"/>
  <c r="D1805" i="2" l="1"/>
  <c r="E1804" i="2"/>
  <c r="D1806" i="2" l="1"/>
  <c r="E1805" i="2"/>
  <c r="D1807" i="2" l="1"/>
  <c r="E1806" i="2"/>
  <c r="D1808" i="2" l="1"/>
  <c r="E1807" i="2"/>
  <c r="D1809" i="2" l="1"/>
  <c r="E1808" i="2"/>
  <c r="D1810" i="2" l="1"/>
  <c r="E1809" i="2"/>
  <c r="D1811" i="2" l="1"/>
  <c r="E1810" i="2"/>
  <c r="D1812" i="2" l="1"/>
  <c r="E1811" i="2"/>
  <c r="D1813" i="2" l="1"/>
  <c r="E1812" i="2"/>
  <c r="D1814" i="2" l="1"/>
  <c r="E1813" i="2"/>
  <c r="D1815" i="2" l="1"/>
  <c r="E1814" i="2"/>
  <c r="D1816" i="2" l="1"/>
  <c r="E1815" i="2"/>
  <c r="D1817" i="2" l="1"/>
  <c r="E1816" i="2"/>
  <c r="D1818" i="2" l="1"/>
  <c r="E1817" i="2"/>
  <c r="D1819" i="2" l="1"/>
  <c r="E1818" i="2"/>
  <c r="D1820" i="2" l="1"/>
  <c r="E1819" i="2"/>
  <c r="D1821" i="2" l="1"/>
  <c r="E1820" i="2"/>
  <c r="D1822" i="2" l="1"/>
  <c r="E1821" i="2"/>
  <c r="D1823" i="2" l="1"/>
  <c r="E1822" i="2"/>
  <c r="D1824" i="2" l="1"/>
  <c r="E1823" i="2"/>
  <c r="D1825" i="2" l="1"/>
  <c r="E1824" i="2"/>
  <c r="D1826" i="2" l="1"/>
  <c r="E1825" i="2"/>
  <c r="D1827" i="2" l="1"/>
  <c r="E1826" i="2"/>
  <c r="D1828" i="2" l="1"/>
  <c r="E1827" i="2"/>
  <c r="D1829" i="2" l="1"/>
  <c r="E1828" i="2"/>
  <c r="D1830" i="2" l="1"/>
  <c r="E1829" i="2"/>
  <c r="D1831" i="2" l="1"/>
  <c r="E1830" i="2"/>
  <c r="D1832" i="2" l="1"/>
  <c r="E1831" i="2"/>
  <c r="D1833" i="2" l="1"/>
  <c r="E1832" i="2"/>
  <c r="D1834" i="2" l="1"/>
  <c r="E1833" i="2"/>
  <c r="D1835" i="2" l="1"/>
  <c r="E1834" i="2"/>
  <c r="D1836" i="2" l="1"/>
  <c r="E1835" i="2"/>
  <c r="D1837" i="2" l="1"/>
  <c r="E1836" i="2"/>
  <c r="D1838" i="2" l="1"/>
  <c r="E1837" i="2"/>
  <c r="D1839" i="2" l="1"/>
  <c r="E1838" i="2"/>
  <c r="D1840" i="2" l="1"/>
  <c r="E1839" i="2"/>
  <c r="D1841" i="2" l="1"/>
  <c r="E1840" i="2"/>
  <c r="D1842" i="2" l="1"/>
  <c r="E1841" i="2"/>
  <c r="D1843" i="2" l="1"/>
  <c r="E1842" i="2"/>
  <c r="D1844" i="2" l="1"/>
  <c r="E1843" i="2"/>
  <c r="D1845" i="2" l="1"/>
  <c r="E1844" i="2"/>
  <c r="D1846" i="2" l="1"/>
  <c r="E1845" i="2"/>
  <c r="D1847" i="2" l="1"/>
  <c r="E1846" i="2"/>
  <c r="D1848" i="2" l="1"/>
  <c r="E1847" i="2"/>
  <c r="D1849" i="2" l="1"/>
  <c r="E1848" i="2"/>
  <c r="D1850" i="2" l="1"/>
  <c r="E1849" i="2"/>
  <c r="D1851" i="2" l="1"/>
  <c r="E1850" i="2"/>
  <c r="D1852" i="2" l="1"/>
  <c r="E1851" i="2"/>
  <c r="D1853" i="2" l="1"/>
  <c r="E1852" i="2"/>
  <c r="D1854" i="2" l="1"/>
  <c r="E1853" i="2"/>
  <c r="D1855" i="2" l="1"/>
  <c r="E1854" i="2"/>
  <c r="D1856" i="2" l="1"/>
  <c r="E1855" i="2"/>
  <c r="D1857" i="2" l="1"/>
  <c r="E1856" i="2"/>
  <c r="D1858" i="2" l="1"/>
  <c r="E1857" i="2"/>
  <c r="D1859" i="2" l="1"/>
  <c r="E1858" i="2"/>
  <c r="D1860" i="2" l="1"/>
  <c r="E1859" i="2"/>
  <c r="D1861" i="2" l="1"/>
  <c r="E1860" i="2"/>
  <c r="D1862" i="2" l="1"/>
  <c r="E1861" i="2"/>
  <c r="D1863" i="2" l="1"/>
  <c r="E1862" i="2"/>
  <c r="D1864" i="2" l="1"/>
  <c r="E1863" i="2"/>
  <c r="D1865" i="2" l="1"/>
  <c r="E1864" i="2"/>
  <c r="D1866" i="2" l="1"/>
  <c r="E1865" i="2"/>
  <c r="D1867" i="2" l="1"/>
  <c r="E1866" i="2"/>
  <c r="D1868" i="2" l="1"/>
  <c r="E1867" i="2"/>
  <c r="D1869" i="2" l="1"/>
  <c r="E1868" i="2"/>
  <c r="D1870" i="2" l="1"/>
  <c r="E1869" i="2"/>
  <c r="D1871" i="2" l="1"/>
  <c r="E1870" i="2"/>
  <c r="D1872" i="2" l="1"/>
  <c r="E1871" i="2"/>
  <c r="D1873" i="2" l="1"/>
  <c r="E1872" i="2"/>
  <c r="D1874" i="2" l="1"/>
  <c r="E1873" i="2"/>
  <c r="D1875" i="2" l="1"/>
  <c r="E1874" i="2"/>
  <c r="D1876" i="2" l="1"/>
  <c r="E1875" i="2"/>
  <c r="D1877" i="2" l="1"/>
  <c r="E1876" i="2"/>
  <c r="D1878" i="2" l="1"/>
  <c r="E1877" i="2"/>
  <c r="D1879" i="2" l="1"/>
  <c r="E1878" i="2"/>
  <c r="D1880" i="2" l="1"/>
  <c r="E1879" i="2"/>
  <c r="D1881" i="2" l="1"/>
  <c r="E1880" i="2"/>
  <c r="D1882" i="2" l="1"/>
  <c r="E1881" i="2"/>
  <c r="D1883" i="2" l="1"/>
  <c r="E1882" i="2"/>
  <c r="D1884" i="2" l="1"/>
  <c r="E1883" i="2"/>
  <c r="D1885" i="2" l="1"/>
  <c r="E1884" i="2"/>
  <c r="D1886" i="2" l="1"/>
  <c r="E1885" i="2"/>
  <c r="D1887" i="2" l="1"/>
  <c r="E1886" i="2"/>
  <c r="D1888" i="2" l="1"/>
  <c r="E1887" i="2"/>
  <c r="D1889" i="2" l="1"/>
  <c r="E1888" i="2"/>
  <c r="D1890" i="2" l="1"/>
  <c r="E1889" i="2"/>
  <c r="D1891" i="2" l="1"/>
  <c r="E1890" i="2"/>
  <c r="D1892" i="2" l="1"/>
  <c r="E1891" i="2"/>
  <c r="D1893" i="2" l="1"/>
  <c r="E1892" i="2"/>
  <c r="D1894" i="2" l="1"/>
  <c r="E1893" i="2"/>
  <c r="D1895" i="2" l="1"/>
  <c r="E1894" i="2"/>
  <c r="D1896" i="2" l="1"/>
  <c r="E1895" i="2"/>
  <c r="D1897" i="2" l="1"/>
  <c r="E1896" i="2"/>
  <c r="D1898" i="2" l="1"/>
  <c r="E1897" i="2"/>
  <c r="D1899" i="2" l="1"/>
  <c r="E1898" i="2"/>
  <c r="D1900" i="2" l="1"/>
  <c r="E1899" i="2"/>
  <c r="D1901" i="2" l="1"/>
  <c r="E1900" i="2"/>
  <c r="D1902" i="2" l="1"/>
  <c r="E1901" i="2"/>
  <c r="D1903" i="2" l="1"/>
  <c r="E1902" i="2"/>
  <c r="D1904" i="2" l="1"/>
  <c r="E1903" i="2"/>
  <c r="D1905" i="2" l="1"/>
  <c r="E1904" i="2"/>
  <c r="D1906" i="2" l="1"/>
  <c r="E1905" i="2"/>
  <c r="D1907" i="2" l="1"/>
  <c r="E1906" i="2"/>
  <c r="D1908" i="2" l="1"/>
  <c r="E1907" i="2"/>
  <c r="D1909" i="2" l="1"/>
  <c r="E1908" i="2"/>
  <c r="D1910" i="2" l="1"/>
  <c r="E1909" i="2"/>
  <c r="D1911" i="2" l="1"/>
  <c r="E1910" i="2"/>
  <c r="D1912" i="2" l="1"/>
  <c r="E1911" i="2"/>
  <c r="D1913" i="2" l="1"/>
  <c r="E1912" i="2"/>
  <c r="D1914" i="2" l="1"/>
  <c r="E1913" i="2"/>
  <c r="D1915" i="2" l="1"/>
  <c r="E1914" i="2"/>
  <c r="D1916" i="2" l="1"/>
  <c r="E1915" i="2"/>
  <c r="D1917" i="2" l="1"/>
  <c r="E1916" i="2"/>
  <c r="D1918" i="2" l="1"/>
  <c r="E1917" i="2"/>
  <c r="D1919" i="2" l="1"/>
  <c r="E1918" i="2"/>
  <c r="D1920" i="2" l="1"/>
  <c r="E1919" i="2"/>
  <c r="D1921" i="2" l="1"/>
  <c r="E1920" i="2"/>
  <c r="D1922" i="2" l="1"/>
  <c r="E1921" i="2"/>
  <c r="D1923" i="2" l="1"/>
  <c r="E1922" i="2"/>
  <c r="D1924" i="2" l="1"/>
  <c r="E1923" i="2"/>
  <c r="D1925" i="2" l="1"/>
  <c r="E1924" i="2"/>
  <c r="D1926" i="2" l="1"/>
  <c r="E1925" i="2"/>
  <c r="D1927" i="2" l="1"/>
  <c r="E1926" i="2"/>
  <c r="D1928" i="2" l="1"/>
  <c r="E1927" i="2"/>
  <c r="D1929" i="2" l="1"/>
  <c r="E1928" i="2"/>
  <c r="D1930" i="2" l="1"/>
  <c r="E1929" i="2"/>
  <c r="D1931" i="2" l="1"/>
  <c r="E1930" i="2"/>
  <c r="D1932" i="2" l="1"/>
  <c r="E1931" i="2"/>
  <c r="D1933" i="2" l="1"/>
  <c r="E1932" i="2"/>
  <c r="D1934" i="2" l="1"/>
  <c r="E1933" i="2"/>
  <c r="D1935" i="2" l="1"/>
  <c r="E1934" i="2"/>
  <c r="D1936" i="2" l="1"/>
  <c r="E1935" i="2"/>
  <c r="D1937" i="2" l="1"/>
  <c r="E1936" i="2"/>
  <c r="D1938" i="2" l="1"/>
  <c r="E1937" i="2"/>
  <c r="D1939" i="2" l="1"/>
  <c r="E1938" i="2"/>
  <c r="D1940" i="2" l="1"/>
  <c r="E1939" i="2"/>
  <c r="D1941" i="2" l="1"/>
  <c r="E1940" i="2"/>
  <c r="D1942" i="2" l="1"/>
  <c r="E1941" i="2"/>
  <c r="D1943" i="2" l="1"/>
  <c r="E1942" i="2"/>
  <c r="D1944" i="2" l="1"/>
  <c r="E1943" i="2"/>
  <c r="D1945" i="2" l="1"/>
  <c r="E1944" i="2"/>
  <c r="D1946" i="2" l="1"/>
  <c r="E1945" i="2"/>
  <c r="D1947" i="2" l="1"/>
  <c r="E1946" i="2"/>
  <c r="D1948" i="2" l="1"/>
  <c r="E1947" i="2"/>
  <c r="D1949" i="2" l="1"/>
  <c r="E1948" i="2"/>
  <c r="D1950" i="2" l="1"/>
  <c r="E1949" i="2"/>
  <c r="D1951" i="2" l="1"/>
  <c r="E1950" i="2"/>
  <c r="D1952" i="2" l="1"/>
  <c r="E1951" i="2"/>
  <c r="D1953" i="2" l="1"/>
  <c r="E1952" i="2"/>
  <c r="D1954" i="2" l="1"/>
  <c r="E1953" i="2"/>
  <c r="D1955" i="2" l="1"/>
  <c r="E1954" i="2"/>
  <c r="D1956" i="2" l="1"/>
  <c r="E1955" i="2"/>
  <c r="D1957" i="2" l="1"/>
  <c r="E1956" i="2"/>
  <c r="D1958" i="2" l="1"/>
  <c r="E1957" i="2"/>
  <c r="D1959" i="2" l="1"/>
  <c r="E1958" i="2"/>
  <c r="D1960" i="2" l="1"/>
  <c r="E1959" i="2"/>
  <c r="D1961" i="2" l="1"/>
  <c r="E1960" i="2"/>
  <c r="D1962" i="2" l="1"/>
  <c r="E1961" i="2"/>
  <c r="D1963" i="2" l="1"/>
  <c r="E1962" i="2"/>
  <c r="D1964" i="2" l="1"/>
  <c r="E1963" i="2"/>
  <c r="D1965" i="2" l="1"/>
  <c r="E1964" i="2"/>
  <c r="D1966" i="2" l="1"/>
  <c r="E1965" i="2"/>
  <c r="D1967" i="2" l="1"/>
  <c r="E1966" i="2"/>
  <c r="D1968" i="2" l="1"/>
  <c r="E1967" i="2"/>
  <c r="D1969" i="2" l="1"/>
  <c r="E1968" i="2"/>
  <c r="D1970" i="2" l="1"/>
  <c r="E1969" i="2"/>
  <c r="D1971" i="2" l="1"/>
  <c r="E1970" i="2"/>
  <c r="D1972" i="2" l="1"/>
  <c r="E1971" i="2"/>
  <c r="D1973" i="2" l="1"/>
  <c r="E1972" i="2"/>
  <c r="D1974" i="2" l="1"/>
  <c r="E1973" i="2"/>
  <c r="D1975" i="2" l="1"/>
  <c r="E1974" i="2"/>
  <c r="D1976" i="2" l="1"/>
  <c r="E1975" i="2"/>
  <c r="D1977" i="2" l="1"/>
  <c r="E1976" i="2"/>
  <c r="D1978" i="2" l="1"/>
  <c r="E1977" i="2"/>
  <c r="D1979" i="2" l="1"/>
  <c r="E1978" i="2"/>
  <c r="D1980" i="2" l="1"/>
  <c r="E1979" i="2"/>
  <c r="D1981" i="2" l="1"/>
  <c r="E1980" i="2"/>
  <c r="D1982" i="2" l="1"/>
  <c r="E1981" i="2"/>
  <c r="D1983" i="2" l="1"/>
  <c r="E1982" i="2"/>
  <c r="D1984" i="2" l="1"/>
  <c r="E1983" i="2"/>
  <c r="D1985" i="2" l="1"/>
  <c r="E1984" i="2"/>
  <c r="D1986" i="2" l="1"/>
  <c r="E1985" i="2"/>
  <c r="D1987" i="2" l="1"/>
  <c r="E1986" i="2"/>
  <c r="D1988" i="2" l="1"/>
  <c r="E1987" i="2"/>
  <c r="D1989" i="2" l="1"/>
  <c r="E1988" i="2"/>
  <c r="D1990" i="2" l="1"/>
  <c r="E1989" i="2"/>
  <c r="D1991" i="2" l="1"/>
  <c r="E1990" i="2"/>
  <c r="D1992" i="2" l="1"/>
  <c r="E1991" i="2"/>
  <c r="D1993" i="2" l="1"/>
  <c r="E1992" i="2"/>
  <c r="D1994" i="2" l="1"/>
  <c r="E1993" i="2"/>
  <c r="D1995" i="2" l="1"/>
  <c r="E1994" i="2"/>
  <c r="D1996" i="2" l="1"/>
  <c r="E1995" i="2"/>
  <c r="D1997" i="2" l="1"/>
  <c r="E1996" i="2"/>
  <c r="D1998" i="2" l="1"/>
  <c r="E1997" i="2"/>
  <c r="D1999" i="2" l="1"/>
  <c r="E1998" i="2"/>
  <c r="D2000" i="2" l="1"/>
  <c r="E1999" i="2"/>
  <c r="D2001" i="2" l="1"/>
  <c r="E2000" i="2"/>
  <c r="D2002" i="2" l="1"/>
  <c r="E2001" i="2"/>
  <c r="D2003" i="2" l="1"/>
  <c r="E2002" i="2"/>
  <c r="D2004" i="2" l="1"/>
  <c r="E2003" i="2"/>
  <c r="D2005" i="2" l="1"/>
  <c r="E2004" i="2"/>
  <c r="D2006" i="2" l="1"/>
  <c r="E2005" i="2"/>
  <c r="D2007" i="2" l="1"/>
  <c r="E2006" i="2"/>
  <c r="D2008" i="2" l="1"/>
  <c r="E2007" i="2"/>
  <c r="D2009" i="2" l="1"/>
  <c r="E2008" i="2"/>
  <c r="D2010" i="2" l="1"/>
  <c r="E2009" i="2"/>
  <c r="D2011" i="2" l="1"/>
  <c r="E2010" i="2"/>
  <c r="D2012" i="2" l="1"/>
  <c r="E2011" i="2"/>
  <c r="D2013" i="2" l="1"/>
  <c r="E2012" i="2"/>
  <c r="D2014" i="2" l="1"/>
  <c r="E2013" i="2"/>
  <c r="D2015" i="2" l="1"/>
  <c r="E2014" i="2"/>
  <c r="D2016" i="2" l="1"/>
  <c r="E2015" i="2"/>
  <c r="D2017" i="2" l="1"/>
  <c r="E2016" i="2"/>
  <c r="D2018" i="2" l="1"/>
  <c r="E2017" i="2"/>
  <c r="D2019" i="2" l="1"/>
  <c r="E2018" i="2"/>
  <c r="D2020" i="2" l="1"/>
  <c r="E2019" i="2"/>
  <c r="D2021" i="2" l="1"/>
  <c r="E2020" i="2"/>
  <c r="D2022" i="2" l="1"/>
  <c r="E2021" i="2"/>
  <c r="D2023" i="2" l="1"/>
  <c r="E2022" i="2"/>
  <c r="D2024" i="2" l="1"/>
  <c r="E2023" i="2"/>
  <c r="D2025" i="2" l="1"/>
  <c r="E2024" i="2"/>
  <c r="D2026" i="2" l="1"/>
  <c r="E2025" i="2"/>
  <c r="D2027" i="2" l="1"/>
  <c r="E2026" i="2"/>
  <c r="D2028" i="2" l="1"/>
  <c r="E2027" i="2"/>
  <c r="D2029" i="2" l="1"/>
  <c r="E2028" i="2"/>
  <c r="D2030" i="2" l="1"/>
  <c r="E2029" i="2"/>
  <c r="D2031" i="2" l="1"/>
  <c r="E2030" i="2"/>
  <c r="D2032" i="2" l="1"/>
  <c r="E2031" i="2"/>
  <c r="D2033" i="2" l="1"/>
  <c r="E2032" i="2"/>
  <c r="D2034" i="2" l="1"/>
  <c r="E2033" i="2"/>
  <c r="D2035" i="2" l="1"/>
  <c r="E2034" i="2"/>
  <c r="D2036" i="2" l="1"/>
  <c r="E2035" i="2"/>
  <c r="D2037" i="2" l="1"/>
  <c r="E2036" i="2"/>
  <c r="D2038" i="2" l="1"/>
  <c r="E2037" i="2"/>
  <c r="D2039" i="2" l="1"/>
  <c r="E2038" i="2"/>
  <c r="D2040" i="2" l="1"/>
  <c r="E2039" i="2"/>
  <c r="D2041" i="2" l="1"/>
  <c r="E2040" i="2"/>
  <c r="D2042" i="2" l="1"/>
  <c r="E2041" i="2"/>
  <c r="D2043" i="2" l="1"/>
  <c r="E2042" i="2"/>
  <c r="D2044" i="2" l="1"/>
  <c r="E2043" i="2"/>
  <c r="D2045" i="2" l="1"/>
  <c r="E2044" i="2"/>
  <c r="D2046" i="2" l="1"/>
  <c r="E2045" i="2"/>
  <c r="D2047" i="2" l="1"/>
  <c r="E2046" i="2"/>
  <c r="D2048" i="2" l="1"/>
  <c r="E2047" i="2"/>
  <c r="D2049" i="2" l="1"/>
  <c r="E2048" i="2"/>
  <c r="D2050" i="2" l="1"/>
  <c r="E2049" i="2"/>
  <c r="D2051" i="2" l="1"/>
  <c r="E2050" i="2"/>
  <c r="D2052" i="2" l="1"/>
  <c r="E2051" i="2"/>
  <c r="D2053" i="2" l="1"/>
  <c r="E2052" i="2"/>
  <c r="D2054" i="2" l="1"/>
  <c r="E2053" i="2"/>
  <c r="D2055" i="2" l="1"/>
  <c r="E2054" i="2"/>
  <c r="D2056" i="2" l="1"/>
  <c r="E2055" i="2"/>
  <c r="D2057" i="2" l="1"/>
  <c r="E2056" i="2"/>
  <c r="D2058" i="2" l="1"/>
  <c r="E2057" i="2"/>
  <c r="D2059" i="2" l="1"/>
  <c r="E2058" i="2"/>
  <c r="D2060" i="2" l="1"/>
  <c r="E2059" i="2"/>
  <c r="D2061" i="2" l="1"/>
  <c r="E2060" i="2"/>
  <c r="D2062" i="2" l="1"/>
  <c r="E2061" i="2"/>
  <c r="D2063" i="2" l="1"/>
  <c r="E2062" i="2"/>
  <c r="D2064" i="2" l="1"/>
  <c r="E2063" i="2"/>
  <c r="D2065" i="2" l="1"/>
  <c r="E2064" i="2"/>
  <c r="D2066" i="2" l="1"/>
  <c r="E2065" i="2"/>
  <c r="D2067" i="2" l="1"/>
  <c r="E2066" i="2"/>
  <c r="D2068" i="2" l="1"/>
  <c r="E2067" i="2"/>
  <c r="D2069" i="2" l="1"/>
  <c r="E2068" i="2"/>
  <c r="D2070" i="2" l="1"/>
  <c r="E2069" i="2"/>
  <c r="D2071" i="2" l="1"/>
  <c r="E2070" i="2"/>
  <c r="D2072" i="2" l="1"/>
  <c r="E2071" i="2"/>
  <c r="D2073" i="2" l="1"/>
  <c r="E2072" i="2"/>
  <c r="D2074" i="2" l="1"/>
  <c r="E2073" i="2"/>
  <c r="D2075" i="2" l="1"/>
  <c r="E2074" i="2"/>
  <c r="D2076" i="2" l="1"/>
  <c r="E2075" i="2"/>
  <c r="D2077" i="2" l="1"/>
  <c r="E2076" i="2"/>
  <c r="D2078" i="2" l="1"/>
  <c r="E2077" i="2"/>
  <c r="D2079" i="2" l="1"/>
  <c r="E2078" i="2"/>
  <c r="D2080" i="2" l="1"/>
  <c r="E2079" i="2"/>
  <c r="D2081" i="2" l="1"/>
  <c r="E2080" i="2"/>
  <c r="D2082" i="2" l="1"/>
  <c r="E2081" i="2"/>
  <c r="D2083" i="2" l="1"/>
  <c r="E2082" i="2"/>
  <c r="D2084" i="2" l="1"/>
  <c r="E2083" i="2"/>
  <c r="D2085" i="2" l="1"/>
  <c r="E2084" i="2"/>
  <c r="D2086" i="2" l="1"/>
  <c r="E2085" i="2"/>
  <c r="D2087" i="2" l="1"/>
  <c r="E2086" i="2"/>
  <c r="D2088" i="2" l="1"/>
  <c r="E2087" i="2"/>
  <c r="D2089" i="2" l="1"/>
  <c r="E2088" i="2"/>
  <c r="D2090" i="2" l="1"/>
  <c r="E2089" i="2"/>
  <c r="D2091" i="2" l="1"/>
  <c r="E2090" i="2"/>
  <c r="D2092" i="2" l="1"/>
  <c r="E2091" i="2"/>
  <c r="D2093" i="2" l="1"/>
  <c r="E2092" i="2"/>
  <c r="D2094" i="2" l="1"/>
  <c r="E2093" i="2"/>
  <c r="D2095" i="2" l="1"/>
  <c r="E2094" i="2"/>
  <c r="D2096" i="2" l="1"/>
  <c r="E2095" i="2"/>
  <c r="D2097" i="2" l="1"/>
  <c r="E2096" i="2"/>
  <c r="D2098" i="2" l="1"/>
  <c r="E2097" i="2"/>
  <c r="D2099" i="2" l="1"/>
  <c r="E2098" i="2"/>
  <c r="D2100" i="2" l="1"/>
  <c r="E2099" i="2"/>
  <c r="D2101" i="2" l="1"/>
  <c r="E2100" i="2"/>
  <c r="D2102" i="2" l="1"/>
  <c r="E2101" i="2"/>
  <c r="D2103" i="2" l="1"/>
  <c r="E2102" i="2"/>
  <c r="D2104" i="2" l="1"/>
  <c r="E2103" i="2"/>
  <c r="D2105" i="2" l="1"/>
  <c r="E2104" i="2"/>
  <c r="D2106" i="2" l="1"/>
  <c r="E2105" i="2"/>
  <c r="D2107" i="2" l="1"/>
  <c r="E2106" i="2"/>
  <c r="D2108" i="2" l="1"/>
  <c r="E2107" i="2"/>
  <c r="D2109" i="2" l="1"/>
  <c r="E2108" i="2"/>
  <c r="D2110" i="2" l="1"/>
  <c r="E2109" i="2"/>
  <c r="D2111" i="2" l="1"/>
  <c r="E2110" i="2"/>
  <c r="D2112" i="2" l="1"/>
  <c r="E2111" i="2"/>
  <c r="D2113" i="2" l="1"/>
  <c r="E2112" i="2"/>
  <c r="D2114" i="2" l="1"/>
  <c r="E2113" i="2"/>
  <c r="D2115" i="2" l="1"/>
  <c r="E2114" i="2"/>
  <c r="D2116" i="2" l="1"/>
  <c r="E2115" i="2"/>
  <c r="D2117" i="2" l="1"/>
  <c r="E2116" i="2"/>
  <c r="D2118" i="2" l="1"/>
  <c r="E2117" i="2"/>
  <c r="D2119" i="2" l="1"/>
  <c r="E2118" i="2"/>
  <c r="D2120" i="2" l="1"/>
  <c r="E2119" i="2"/>
  <c r="D2121" i="2" l="1"/>
  <c r="E2120" i="2"/>
  <c r="D2122" i="2" l="1"/>
  <c r="E2121" i="2"/>
  <c r="D2123" i="2" l="1"/>
  <c r="E2122" i="2"/>
  <c r="D2124" i="2" l="1"/>
  <c r="E2123" i="2"/>
  <c r="D2125" i="2" l="1"/>
  <c r="E2124" i="2"/>
  <c r="D2126" i="2" l="1"/>
  <c r="E2125" i="2"/>
  <c r="D2127" i="2" l="1"/>
  <c r="E2126" i="2"/>
  <c r="D2128" i="2" l="1"/>
  <c r="E2127" i="2"/>
  <c r="D2129" i="2" l="1"/>
  <c r="E2128" i="2"/>
  <c r="D2130" i="2" l="1"/>
  <c r="E2129" i="2"/>
  <c r="D2131" i="2" l="1"/>
  <c r="E2130" i="2"/>
  <c r="D2132" i="2" l="1"/>
  <c r="E2131" i="2"/>
  <c r="D2133" i="2" l="1"/>
  <c r="E2132" i="2"/>
  <c r="D2134" i="2" l="1"/>
  <c r="E2133" i="2"/>
  <c r="D2135" i="2" l="1"/>
  <c r="E2134" i="2"/>
  <c r="D2136" i="2" l="1"/>
  <c r="E2135" i="2"/>
  <c r="D2137" i="2" l="1"/>
  <c r="E2136" i="2"/>
  <c r="D2138" i="2" l="1"/>
  <c r="E2137" i="2"/>
  <c r="D2139" i="2" l="1"/>
  <c r="E2138" i="2"/>
  <c r="D2140" i="2" l="1"/>
  <c r="E2139" i="2"/>
  <c r="D2141" i="2" l="1"/>
  <c r="E2140" i="2"/>
  <c r="D2142" i="2" l="1"/>
  <c r="E2141" i="2"/>
  <c r="D2143" i="2" l="1"/>
  <c r="E2142" i="2"/>
  <c r="D2144" i="2" l="1"/>
  <c r="E2143" i="2"/>
  <c r="D2145" i="2" l="1"/>
  <c r="E2144" i="2"/>
  <c r="D2146" i="2" l="1"/>
  <c r="E2145" i="2"/>
  <c r="D2147" i="2" l="1"/>
  <c r="E2146" i="2"/>
  <c r="D2148" i="2" l="1"/>
  <c r="E2147" i="2"/>
  <c r="D2149" i="2" l="1"/>
  <c r="E2148" i="2"/>
  <c r="D2150" i="2" l="1"/>
  <c r="E2149" i="2"/>
  <c r="D2151" i="2" l="1"/>
  <c r="E2150" i="2"/>
  <c r="D2152" i="2" l="1"/>
  <c r="E2151" i="2"/>
  <c r="D2153" i="2" l="1"/>
  <c r="E2152" i="2"/>
  <c r="D2154" i="2" l="1"/>
  <c r="E2153" i="2"/>
  <c r="D2155" i="2" l="1"/>
  <c r="E2154" i="2"/>
  <c r="D2156" i="2" l="1"/>
  <c r="E2155" i="2"/>
  <c r="D2157" i="2" l="1"/>
  <c r="E2156" i="2"/>
  <c r="D2158" i="2" l="1"/>
  <c r="E2157" i="2"/>
  <c r="D2159" i="2" l="1"/>
  <c r="E2158" i="2"/>
  <c r="D2160" i="2" l="1"/>
  <c r="E2159" i="2"/>
  <c r="D2161" i="2" l="1"/>
  <c r="E2160" i="2"/>
  <c r="D2162" i="2" l="1"/>
  <c r="E2161" i="2"/>
  <c r="D2163" i="2" l="1"/>
  <c r="E2162" i="2"/>
  <c r="D2164" i="2" l="1"/>
  <c r="E2163" i="2"/>
  <c r="D2165" i="2" l="1"/>
  <c r="E2164" i="2"/>
  <c r="D2166" i="2" l="1"/>
  <c r="E2165" i="2"/>
  <c r="D2167" i="2" l="1"/>
  <c r="E2166" i="2"/>
  <c r="D2168" i="2" l="1"/>
  <c r="E2167" i="2"/>
  <c r="D2169" i="2" l="1"/>
  <c r="E2168" i="2"/>
  <c r="D2170" i="2" l="1"/>
  <c r="E2169" i="2"/>
  <c r="D2171" i="2" l="1"/>
  <c r="E2170" i="2"/>
  <c r="D2172" i="2" l="1"/>
  <c r="E2171" i="2"/>
  <c r="D2173" i="2" l="1"/>
  <c r="E2172" i="2"/>
  <c r="D2174" i="2" l="1"/>
  <c r="E2173" i="2"/>
  <c r="D2175" i="2" l="1"/>
  <c r="E2174" i="2"/>
  <c r="D2176" i="2" l="1"/>
  <c r="E2175" i="2"/>
  <c r="D2177" i="2" l="1"/>
  <c r="E2176" i="2"/>
  <c r="D2178" i="2" l="1"/>
  <c r="E2177" i="2"/>
  <c r="D2179" i="2" l="1"/>
  <c r="E2178" i="2"/>
  <c r="D2180" i="2" l="1"/>
  <c r="E2179" i="2"/>
  <c r="D2181" i="2" l="1"/>
  <c r="E2180" i="2"/>
  <c r="D2182" i="2" l="1"/>
  <c r="E2181" i="2"/>
  <c r="D2183" i="2" l="1"/>
  <c r="E2182" i="2"/>
  <c r="D2184" i="2" l="1"/>
  <c r="E2183" i="2"/>
  <c r="D2185" i="2" l="1"/>
  <c r="E2184" i="2"/>
  <c r="D2186" i="2" l="1"/>
  <c r="E2185" i="2"/>
  <c r="D2187" i="2" l="1"/>
  <c r="E2186" i="2"/>
  <c r="D2188" i="2" l="1"/>
  <c r="E2187" i="2"/>
  <c r="D2189" i="2" l="1"/>
  <c r="E2188" i="2"/>
  <c r="D2190" i="2" l="1"/>
  <c r="E2189" i="2"/>
  <c r="D2191" i="2" l="1"/>
  <c r="E2190" i="2"/>
  <c r="D2192" i="2" l="1"/>
  <c r="E2191" i="2"/>
  <c r="D2193" i="2" l="1"/>
  <c r="E2192" i="2"/>
  <c r="D2194" i="2" l="1"/>
  <c r="E2193" i="2"/>
  <c r="D2195" i="2" l="1"/>
  <c r="E2194" i="2"/>
  <c r="D2196" i="2" l="1"/>
  <c r="E2195" i="2"/>
  <c r="D2197" i="2" l="1"/>
  <c r="E2196" i="2"/>
  <c r="D2198" i="2" l="1"/>
  <c r="E2197" i="2"/>
  <c r="D2199" i="2" l="1"/>
  <c r="E2198" i="2"/>
  <c r="D2200" i="2" l="1"/>
  <c r="E2199" i="2"/>
  <c r="D2201" i="2" l="1"/>
  <c r="E2200" i="2"/>
  <c r="D2202" i="2" l="1"/>
  <c r="E2201" i="2"/>
  <c r="D2203" i="2" l="1"/>
  <c r="E2202" i="2"/>
  <c r="D2204" i="2" l="1"/>
  <c r="E2203" i="2"/>
  <c r="D2205" i="2" l="1"/>
  <c r="E2204" i="2"/>
  <c r="D2206" i="2" l="1"/>
  <c r="E2205" i="2"/>
  <c r="D2207" i="2" l="1"/>
  <c r="E2206" i="2"/>
  <c r="D2208" i="2" l="1"/>
  <c r="E2207" i="2"/>
  <c r="D2209" i="2" l="1"/>
  <c r="E2208" i="2"/>
  <c r="D2210" i="2" l="1"/>
  <c r="E2209" i="2"/>
  <c r="D2211" i="2" l="1"/>
  <c r="E2210" i="2"/>
  <c r="D2212" i="2" l="1"/>
  <c r="E2211" i="2"/>
  <c r="D2213" i="2" l="1"/>
  <c r="E2212" i="2"/>
  <c r="D2214" i="2" l="1"/>
  <c r="E2213" i="2"/>
  <c r="D2215" i="2" l="1"/>
  <c r="E2214" i="2"/>
  <c r="D2216" i="2" l="1"/>
  <c r="E2215" i="2"/>
  <c r="D2217" i="2" l="1"/>
  <c r="E2216" i="2"/>
  <c r="D2218" i="2" l="1"/>
  <c r="E2217" i="2"/>
  <c r="D2219" i="2" l="1"/>
  <c r="E2218" i="2"/>
  <c r="D2220" i="2" l="1"/>
  <c r="E2219" i="2"/>
  <c r="D2221" i="2" l="1"/>
  <c r="E2220" i="2"/>
  <c r="D2222" i="2" l="1"/>
  <c r="E2221" i="2"/>
  <c r="D2223" i="2" l="1"/>
  <c r="E2222" i="2"/>
  <c r="D2224" i="2" l="1"/>
  <c r="E2223" i="2"/>
  <c r="D2225" i="2" l="1"/>
  <c r="E2224" i="2"/>
  <c r="D2226" i="2" l="1"/>
  <c r="E2225" i="2"/>
  <c r="D2227" i="2" l="1"/>
  <c r="E2226" i="2"/>
  <c r="D2228" i="2" l="1"/>
  <c r="E2227" i="2"/>
  <c r="D2229" i="2" l="1"/>
  <c r="E2228" i="2"/>
  <c r="D2230" i="2" l="1"/>
  <c r="E2229" i="2"/>
  <c r="D2231" i="2" l="1"/>
  <c r="E2230" i="2"/>
  <c r="D2232" i="2" l="1"/>
  <c r="E2231" i="2"/>
  <c r="D2233" i="2" l="1"/>
  <c r="E2232" i="2"/>
  <c r="D2234" i="2" l="1"/>
  <c r="E2233" i="2"/>
  <c r="D2235" i="2" l="1"/>
  <c r="E2234" i="2"/>
  <c r="D2236" i="2" l="1"/>
  <c r="E2235" i="2"/>
  <c r="D2237" i="2" l="1"/>
  <c r="E2236" i="2"/>
  <c r="D2238" i="2" l="1"/>
  <c r="E2237" i="2"/>
  <c r="D2239" i="2" l="1"/>
  <c r="E2238" i="2"/>
  <c r="D2240" i="2" l="1"/>
  <c r="E2239" i="2"/>
  <c r="D2241" i="2" l="1"/>
  <c r="E2240" i="2"/>
  <c r="D2242" i="2" l="1"/>
  <c r="E2241" i="2"/>
  <c r="D2243" i="2" l="1"/>
  <c r="E2242" i="2"/>
  <c r="D2244" i="2" l="1"/>
  <c r="E2243" i="2"/>
  <c r="D2245" i="2" l="1"/>
  <c r="E2244" i="2"/>
  <c r="D2246" i="2" l="1"/>
  <c r="E2245" i="2"/>
  <c r="D2247" i="2" l="1"/>
  <c r="E2246" i="2"/>
  <c r="D2248" i="2" l="1"/>
  <c r="E2247" i="2"/>
  <c r="D2249" i="2" l="1"/>
  <c r="E2248" i="2"/>
  <c r="D2250" i="2" l="1"/>
  <c r="E2249" i="2"/>
  <c r="D2251" i="2" l="1"/>
  <c r="E2250" i="2"/>
  <c r="D2252" i="2" l="1"/>
  <c r="E2251" i="2"/>
  <c r="D2253" i="2" l="1"/>
  <c r="E2252" i="2"/>
  <c r="D2254" i="2" l="1"/>
  <c r="E2253" i="2"/>
  <c r="D2255" i="2" l="1"/>
  <c r="E2254" i="2"/>
  <c r="D2256" i="2" l="1"/>
  <c r="E2255" i="2"/>
  <c r="D2257" i="2" l="1"/>
  <c r="E2256" i="2"/>
  <c r="D2258" i="2" l="1"/>
  <c r="E2257" i="2"/>
  <c r="D2259" i="2" l="1"/>
  <c r="E2258" i="2"/>
  <c r="D2260" i="2" l="1"/>
  <c r="E2259" i="2"/>
  <c r="D2261" i="2" l="1"/>
  <c r="E2260" i="2"/>
  <c r="D2262" i="2" l="1"/>
  <c r="E2261" i="2"/>
  <c r="D2263" i="2" l="1"/>
  <c r="E2262" i="2"/>
  <c r="D2264" i="2" l="1"/>
  <c r="E2263" i="2"/>
  <c r="D2265" i="2" l="1"/>
  <c r="E2264" i="2"/>
  <c r="D2266" i="2" l="1"/>
  <c r="E2265" i="2"/>
  <c r="D2267" i="2" l="1"/>
  <c r="E2266" i="2"/>
  <c r="D2268" i="2" l="1"/>
  <c r="E2267" i="2"/>
  <c r="D2269" i="2" l="1"/>
  <c r="E2268" i="2"/>
  <c r="D2270" i="2" l="1"/>
  <c r="E2269" i="2"/>
  <c r="D2271" i="2" l="1"/>
  <c r="E2270" i="2"/>
  <c r="D2272" i="2" l="1"/>
  <c r="E2271" i="2"/>
  <c r="D2273" i="2" l="1"/>
  <c r="E2272" i="2"/>
  <c r="D2274" i="2" l="1"/>
  <c r="E2273" i="2"/>
  <c r="D2275" i="2" l="1"/>
  <c r="E2274" i="2"/>
  <c r="D2276" i="2" l="1"/>
  <c r="E2275" i="2"/>
  <c r="D2277" i="2" l="1"/>
  <c r="E2276" i="2"/>
  <c r="D2278" i="2" l="1"/>
  <c r="E2277" i="2"/>
  <c r="D2279" i="2" l="1"/>
  <c r="E2278" i="2"/>
  <c r="D2280" i="2" l="1"/>
  <c r="E2279" i="2"/>
  <c r="D2281" i="2" l="1"/>
  <c r="E2280" i="2"/>
  <c r="D2282" i="2" l="1"/>
  <c r="E2281" i="2"/>
  <c r="D2283" i="2" l="1"/>
  <c r="E2282" i="2"/>
  <c r="D2284" i="2" l="1"/>
  <c r="E2283" i="2"/>
  <c r="D2285" i="2" l="1"/>
  <c r="E2284" i="2"/>
  <c r="D2286" i="2" l="1"/>
  <c r="E2285" i="2"/>
  <c r="D2287" i="2" l="1"/>
  <c r="E2286" i="2"/>
  <c r="D2288" i="2" l="1"/>
  <c r="E2287" i="2"/>
  <c r="D2289" i="2" l="1"/>
  <c r="E2288" i="2"/>
  <c r="D2290" i="2" l="1"/>
  <c r="E2289" i="2"/>
  <c r="D2291" i="2" l="1"/>
  <c r="E2290" i="2"/>
  <c r="D2292" i="2" l="1"/>
  <c r="E2291" i="2"/>
  <c r="D2293" i="2" l="1"/>
  <c r="E2292" i="2"/>
  <c r="D2294" i="2" l="1"/>
  <c r="E2293" i="2"/>
  <c r="D2295" i="2" l="1"/>
  <c r="E2294" i="2"/>
  <c r="D2296" i="2" l="1"/>
  <c r="E2295" i="2"/>
  <c r="D2297" i="2" l="1"/>
  <c r="E2296" i="2"/>
  <c r="D2298" i="2" l="1"/>
  <c r="E2297" i="2"/>
  <c r="D2299" i="2" l="1"/>
  <c r="E2298" i="2"/>
  <c r="D2300" i="2" l="1"/>
  <c r="E2299" i="2"/>
  <c r="D2301" i="2" l="1"/>
  <c r="E2300" i="2"/>
  <c r="D2302" i="2" l="1"/>
  <c r="E2301" i="2"/>
  <c r="D2303" i="2" l="1"/>
  <c r="E2302" i="2"/>
  <c r="D2304" i="2" l="1"/>
  <c r="E2303" i="2"/>
  <c r="D2305" i="2" l="1"/>
  <c r="E2304" i="2"/>
  <c r="D2306" i="2" l="1"/>
  <c r="E2305" i="2"/>
  <c r="D2307" i="2" l="1"/>
  <c r="E2306" i="2"/>
  <c r="D2308" i="2" l="1"/>
  <c r="E2307" i="2"/>
  <c r="D2309" i="2" l="1"/>
  <c r="E2308" i="2"/>
  <c r="D2310" i="2" l="1"/>
  <c r="E2309" i="2"/>
  <c r="D2311" i="2" l="1"/>
  <c r="E2310" i="2"/>
  <c r="D2312" i="2" l="1"/>
  <c r="E2311" i="2"/>
  <c r="D2313" i="2" l="1"/>
  <c r="E2312" i="2"/>
  <c r="D2314" i="2" l="1"/>
  <c r="E2313" i="2"/>
  <c r="D2315" i="2" l="1"/>
  <c r="E2314" i="2"/>
  <c r="D2316" i="2" l="1"/>
  <c r="E2315" i="2"/>
  <c r="D2317" i="2" l="1"/>
  <c r="E2316" i="2"/>
  <c r="D2318" i="2" l="1"/>
  <c r="E2317" i="2"/>
  <c r="D2319" i="2" l="1"/>
  <c r="E2318" i="2"/>
  <c r="D2320" i="2" l="1"/>
  <c r="E2319" i="2"/>
  <c r="D2321" i="2" l="1"/>
  <c r="E2320" i="2"/>
  <c r="D2322" i="2" l="1"/>
  <c r="E2321" i="2"/>
  <c r="D2323" i="2" l="1"/>
  <c r="E2322" i="2"/>
  <c r="D2324" i="2" l="1"/>
  <c r="E2323" i="2"/>
  <c r="D2325" i="2" l="1"/>
  <c r="E2324" i="2"/>
  <c r="D2326" i="2" l="1"/>
  <c r="E2325" i="2"/>
  <c r="D2327" i="2" l="1"/>
  <c r="E2326" i="2"/>
  <c r="D2328" i="2" l="1"/>
  <c r="E2327" i="2"/>
  <c r="D2329" i="2" l="1"/>
  <c r="E2328" i="2"/>
  <c r="D2330" i="2" l="1"/>
  <c r="E2329" i="2"/>
  <c r="D2331" i="2" l="1"/>
  <c r="E2330" i="2"/>
  <c r="D2332" i="2" l="1"/>
  <c r="E2331" i="2"/>
  <c r="D2333" i="2" l="1"/>
  <c r="E2332" i="2"/>
  <c r="D2334" i="2" l="1"/>
  <c r="E2333" i="2"/>
  <c r="D2335" i="2" l="1"/>
  <c r="E2334" i="2"/>
  <c r="D2336" i="2" l="1"/>
  <c r="E2335" i="2"/>
  <c r="D2337" i="2" l="1"/>
  <c r="E2336" i="2"/>
  <c r="D2338" i="2" l="1"/>
  <c r="E2337" i="2"/>
  <c r="D2339" i="2" l="1"/>
  <c r="E2338" i="2"/>
  <c r="D2340" i="2" l="1"/>
  <c r="E2339" i="2"/>
  <c r="D2341" i="2" l="1"/>
  <c r="E2340" i="2"/>
  <c r="D2342" i="2" l="1"/>
  <c r="E2341" i="2"/>
  <c r="D2343" i="2" l="1"/>
  <c r="E2342" i="2"/>
  <c r="D2344" i="2" l="1"/>
  <c r="E2343" i="2"/>
  <c r="D2345" i="2" l="1"/>
  <c r="E2344" i="2"/>
  <c r="D2346" i="2" l="1"/>
  <c r="E2345" i="2"/>
  <c r="D2347" i="2" l="1"/>
  <c r="E2346" i="2"/>
  <c r="D2348" i="2" l="1"/>
  <c r="E2347" i="2"/>
  <c r="D2349" i="2" l="1"/>
  <c r="E2348" i="2"/>
  <c r="D2350" i="2" l="1"/>
  <c r="E2349" i="2"/>
  <c r="D2351" i="2" l="1"/>
  <c r="E2350" i="2"/>
  <c r="D2352" i="2" l="1"/>
  <c r="E2351" i="2"/>
  <c r="D2353" i="2" l="1"/>
  <c r="E2352" i="2"/>
  <c r="D2354" i="2" l="1"/>
  <c r="E2353" i="2"/>
  <c r="D2355" i="2" l="1"/>
  <c r="E2354" i="2"/>
  <c r="D2356" i="2" l="1"/>
  <c r="E2355" i="2"/>
  <c r="D2357" i="2" l="1"/>
  <c r="E2356" i="2"/>
  <c r="D2358" i="2" l="1"/>
  <c r="E2357" i="2"/>
  <c r="D2359" i="2" l="1"/>
  <c r="E2358" i="2"/>
  <c r="D2360" i="2" l="1"/>
  <c r="E2359" i="2"/>
  <c r="D2361" i="2" l="1"/>
  <c r="E2360" i="2"/>
  <c r="D2362" i="2" l="1"/>
  <c r="E2361" i="2"/>
  <c r="D2363" i="2" l="1"/>
  <c r="E2362" i="2"/>
  <c r="D2364" i="2" l="1"/>
  <c r="E2363" i="2"/>
  <c r="D2365" i="2" l="1"/>
  <c r="E2364" i="2"/>
  <c r="D2366" i="2" l="1"/>
  <c r="E2365" i="2"/>
  <c r="D2367" i="2" l="1"/>
  <c r="E2366" i="2"/>
  <c r="D2368" i="2" l="1"/>
  <c r="E2367" i="2"/>
  <c r="D2369" i="2" l="1"/>
  <c r="E2368" i="2"/>
  <c r="D2370" i="2" l="1"/>
  <c r="E2369" i="2"/>
  <c r="D2371" i="2" l="1"/>
  <c r="E2370" i="2"/>
  <c r="D2372" i="2" l="1"/>
  <c r="E2371" i="2"/>
  <c r="D2373" i="2" l="1"/>
  <c r="E2372" i="2"/>
  <c r="D2374" i="2" l="1"/>
  <c r="E2373" i="2"/>
  <c r="D2375" i="2" l="1"/>
  <c r="E2374" i="2"/>
  <c r="D2376" i="2" l="1"/>
  <c r="E2375" i="2"/>
  <c r="D2377" i="2" l="1"/>
  <c r="E2376" i="2"/>
  <c r="D2378" i="2" l="1"/>
  <c r="E2377" i="2"/>
  <c r="D2379" i="2" l="1"/>
  <c r="E2378" i="2"/>
  <c r="D2380" i="2" l="1"/>
  <c r="E2379" i="2"/>
  <c r="D2381" i="2" l="1"/>
  <c r="E2380" i="2"/>
  <c r="D2382" i="2" l="1"/>
  <c r="E2381" i="2"/>
  <c r="D2383" i="2" l="1"/>
  <c r="E2382" i="2"/>
  <c r="D2384" i="2" l="1"/>
  <c r="E2383" i="2"/>
  <c r="D2385" i="2" l="1"/>
  <c r="E2384" i="2"/>
  <c r="D2386" i="2" l="1"/>
  <c r="E2385" i="2"/>
  <c r="D2387" i="2" l="1"/>
  <c r="E2386" i="2"/>
  <c r="D2388" i="2" l="1"/>
  <c r="E2387" i="2"/>
  <c r="D2389" i="2" l="1"/>
  <c r="E2388" i="2"/>
  <c r="D2390" i="2" l="1"/>
  <c r="E2389" i="2"/>
  <c r="D2391" i="2" l="1"/>
  <c r="E2390" i="2"/>
  <c r="D2392" i="2" l="1"/>
  <c r="E2391" i="2"/>
  <c r="D2393" i="2" l="1"/>
  <c r="E2392" i="2"/>
  <c r="D2394" i="2" l="1"/>
  <c r="E2393" i="2"/>
  <c r="D2395" i="2" l="1"/>
  <c r="E2394" i="2"/>
  <c r="D2396" i="2" l="1"/>
  <c r="E2395" i="2"/>
  <c r="D2397" i="2" l="1"/>
  <c r="E2396" i="2"/>
  <c r="D2398" i="2" l="1"/>
  <c r="E2397" i="2"/>
  <c r="D2399" i="2" l="1"/>
  <c r="E2398" i="2"/>
  <c r="D2400" i="2" l="1"/>
  <c r="E2399" i="2"/>
  <c r="D2401" i="2" l="1"/>
  <c r="E2400" i="2"/>
  <c r="D2402" i="2" l="1"/>
  <c r="E2401" i="2"/>
  <c r="D2403" i="2" l="1"/>
  <c r="E2402" i="2"/>
  <c r="D2404" i="2" l="1"/>
  <c r="E2403" i="2"/>
  <c r="D2405" i="2" l="1"/>
  <c r="E2404" i="2"/>
  <c r="D2406" i="2" l="1"/>
  <c r="E2405" i="2"/>
  <c r="D2407" i="2" l="1"/>
  <c r="E2406" i="2"/>
  <c r="D2408" i="2" l="1"/>
  <c r="E2407" i="2"/>
  <c r="D2409" i="2" l="1"/>
  <c r="E2408" i="2"/>
  <c r="D2410" i="2" l="1"/>
  <c r="E2409" i="2"/>
  <c r="D2411" i="2" l="1"/>
  <c r="E2410" i="2"/>
  <c r="D2412" i="2" l="1"/>
  <c r="E2411" i="2"/>
  <c r="D2413" i="2" l="1"/>
  <c r="E2412" i="2"/>
  <c r="D2414" i="2" l="1"/>
  <c r="E2413" i="2"/>
  <c r="D2415" i="2" l="1"/>
  <c r="E2414" i="2"/>
  <c r="D2416" i="2" l="1"/>
  <c r="E2415" i="2"/>
  <c r="D2417" i="2" l="1"/>
  <c r="E2416" i="2"/>
  <c r="D2418" i="2" l="1"/>
  <c r="E2417" i="2"/>
  <c r="D2419" i="2" l="1"/>
  <c r="E2418" i="2"/>
  <c r="D2420" i="2" l="1"/>
  <c r="E2419" i="2"/>
  <c r="D2421" i="2" l="1"/>
  <c r="E2420" i="2"/>
  <c r="D2422" i="2" l="1"/>
  <c r="E2421" i="2"/>
  <c r="D2423" i="2" l="1"/>
  <c r="E2422" i="2"/>
  <c r="D2424" i="2" l="1"/>
  <c r="E2423" i="2"/>
  <c r="D2425" i="2" l="1"/>
  <c r="E2424" i="2"/>
  <c r="D2426" i="2" l="1"/>
  <c r="E2425" i="2"/>
  <c r="D2427" i="2" l="1"/>
  <c r="E2426" i="2"/>
  <c r="D2428" i="2" l="1"/>
  <c r="E2427" i="2"/>
  <c r="D2429" i="2" l="1"/>
  <c r="E2428" i="2"/>
  <c r="D2430" i="2" l="1"/>
  <c r="E2429" i="2"/>
  <c r="D2431" i="2" l="1"/>
  <c r="E2430" i="2"/>
  <c r="D2432" i="2" l="1"/>
  <c r="E2431" i="2"/>
  <c r="D2433" i="2" l="1"/>
  <c r="E2432" i="2"/>
  <c r="D2434" i="2" l="1"/>
  <c r="E2433" i="2"/>
  <c r="D2435" i="2" l="1"/>
  <c r="E2434" i="2"/>
  <c r="D2436" i="2" l="1"/>
  <c r="E2435" i="2"/>
  <c r="D2437" i="2" l="1"/>
  <c r="E2436" i="2"/>
  <c r="D2438" i="2" l="1"/>
  <c r="E2437" i="2"/>
  <c r="D2439" i="2" l="1"/>
  <c r="E2438" i="2"/>
  <c r="D2440" i="2" l="1"/>
  <c r="E2439" i="2"/>
  <c r="D2441" i="2" l="1"/>
  <c r="E2440" i="2"/>
  <c r="D2442" i="2" l="1"/>
  <c r="E2441" i="2"/>
  <c r="D2443" i="2" l="1"/>
  <c r="E2442" i="2"/>
  <c r="D2444" i="2" l="1"/>
  <c r="E2443" i="2"/>
  <c r="D2445" i="2" l="1"/>
  <c r="E2444" i="2"/>
  <c r="D2446" i="2" l="1"/>
  <c r="E2445" i="2"/>
  <c r="D2447" i="2" l="1"/>
  <c r="E2446" i="2"/>
  <c r="D2448" i="2" l="1"/>
  <c r="E2447" i="2"/>
  <c r="D2449" i="2" l="1"/>
  <c r="E2448" i="2"/>
  <c r="D2450" i="2" l="1"/>
  <c r="E2449" i="2"/>
  <c r="D2451" i="2" l="1"/>
  <c r="E2450" i="2"/>
  <c r="D2452" i="2" l="1"/>
  <c r="E2451" i="2"/>
  <c r="D2453" i="2" l="1"/>
  <c r="E2452" i="2"/>
  <c r="D2454" i="2" l="1"/>
  <c r="E2453" i="2"/>
  <c r="D2455" i="2" l="1"/>
  <c r="E2454" i="2"/>
  <c r="D2456" i="2" l="1"/>
  <c r="E2455" i="2"/>
  <c r="D2457" i="2" l="1"/>
  <c r="E2456" i="2"/>
  <c r="D2458" i="2" l="1"/>
  <c r="E2457" i="2"/>
  <c r="D2459" i="2" l="1"/>
  <c r="E2458" i="2"/>
  <c r="D2460" i="2" l="1"/>
  <c r="E2459" i="2"/>
  <c r="D2461" i="2" l="1"/>
  <c r="E2460" i="2"/>
  <c r="D2462" i="2" l="1"/>
  <c r="E2461" i="2"/>
  <c r="D2463" i="2" l="1"/>
  <c r="E2462" i="2"/>
  <c r="D2464" i="2" l="1"/>
  <c r="E2463" i="2"/>
  <c r="D2465" i="2" l="1"/>
  <c r="E2464" i="2"/>
  <c r="D2466" i="2" l="1"/>
  <c r="E2465" i="2"/>
  <c r="D2467" i="2" l="1"/>
  <c r="E2466" i="2"/>
  <c r="D2468" i="2" l="1"/>
  <c r="E2467" i="2"/>
  <c r="D2469" i="2" l="1"/>
  <c r="E2468" i="2"/>
  <c r="D2470" i="2" l="1"/>
  <c r="E2469" i="2"/>
  <c r="D2471" i="2" l="1"/>
  <c r="E2470" i="2"/>
  <c r="D2472" i="2" l="1"/>
  <c r="E2471" i="2"/>
  <c r="D2473" i="2" l="1"/>
  <c r="E2472" i="2"/>
  <c r="D2474" i="2" l="1"/>
  <c r="E2473" i="2"/>
  <c r="D2475" i="2" l="1"/>
  <c r="E2474" i="2"/>
  <c r="D2476" i="2" l="1"/>
  <c r="E2475" i="2"/>
  <c r="D2477" i="2" l="1"/>
  <c r="E2476" i="2"/>
  <c r="D2478" i="2" l="1"/>
  <c r="E2477" i="2"/>
  <c r="D2479" i="2" l="1"/>
  <c r="E2478" i="2"/>
  <c r="D2480" i="2" l="1"/>
  <c r="E2479" i="2"/>
  <c r="D2481" i="2" l="1"/>
  <c r="E2480" i="2"/>
  <c r="D2482" i="2" l="1"/>
  <c r="E2481" i="2"/>
  <c r="D2483" i="2" l="1"/>
  <c r="E2482" i="2"/>
  <c r="D2484" i="2" l="1"/>
  <c r="E2483" i="2"/>
  <c r="D2485" i="2" l="1"/>
  <c r="E2484" i="2"/>
  <c r="D2486" i="2" l="1"/>
  <c r="E2485" i="2"/>
  <c r="D2487" i="2" l="1"/>
  <c r="E2486" i="2"/>
  <c r="D2488" i="2" l="1"/>
  <c r="E2487" i="2"/>
  <c r="D2489" i="2" l="1"/>
  <c r="E2488" i="2"/>
  <c r="D2490" i="2" l="1"/>
  <c r="E2489" i="2"/>
  <c r="D2491" i="2" l="1"/>
  <c r="E2490" i="2"/>
  <c r="D2492" i="2" l="1"/>
  <c r="E2491" i="2"/>
  <c r="D2493" i="2" l="1"/>
  <c r="E2492" i="2"/>
  <c r="D2494" i="2" l="1"/>
  <c r="E2493" i="2"/>
  <c r="D2495" i="2" l="1"/>
  <c r="E2494" i="2"/>
  <c r="D2496" i="2" l="1"/>
  <c r="E2495" i="2"/>
  <c r="D2497" i="2" l="1"/>
  <c r="E2496" i="2"/>
  <c r="D2498" i="2" l="1"/>
  <c r="E2497" i="2"/>
  <c r="D2499" i="2" l="1"/>
  <c r="E2498" i="2"/>
  <c r="D2500" i="2" l="1"/>
  <c r="E2499" i="2"/>
  <c r="D2501" i="2" l="1"/>
  <c r="E2500" i="2"/>
  <c r="D2502" i="2" l="1"/>
  <c r="E2501" i="2"/>
  <c r="D2503" i="2" l="1"/>
  <c r="E2502" i="2"/>
  <c r="D2504" i="2" l="1"/>
  <c r="E2503" i="2"/>
  <c r="D2505" i="2" l="1"/>
  <c r="E2504" i="2"/>
  <c r="D2506" i="2" l="1"/>
  <c r="E2505" i="2"/>
  <c r="D2507" i="2" l="1"/>
  <c r="E2506" i="2"/>
  <c r="D2508" i="2" l="1"/>
  <c r="E2507" i="2"/>
  <c r="D2509" i="2" l="1"/>
  <c r="E2508" i="2"/>
  <c r="D2510" i="2" l="1"/>
  <c r="E2509" i="2"/>
  <c r="D2511" i="2" l="1"/>
  <c r="E2510" i="2"/>
  <c r="D2512" i="2" l="1"/>
  <c r="E2511" i="2"/>
  <c r="D2513" i="2" l="1"/>
  <c r="E2512" i="2"/>
  <c r="D2514" i="2" l="1"/>
  <c r="E2513" i="2"/>
  <c r="D2515" i="2" l="1"/>
  <c r="E2514" i="2"/>
  <c r="D2516" i="2" l="1"/>
  <c r="E2515" i="2"/>
  <c r="D2517" i="2" l="1"/>
  <c r="E2516" i="2"/>
  <c r="D2518" i="2" l="1"/>
  <c r="E2517" i="2"/>
  <c r="D2519" i="2" l="1"/>
  <c r="E2518" i="2"/>
  <c r="D2520" i="2" l="1"/>
  <c r="E2519" i="2"/>
  <c r="D2521" i="2" l="1"/>
  <c r="E2520" i="2"/>
  <c r="D2522" i="2" l="1"/>
  <c r="E2521" i="2"/>
  <c r="D2523" i="2" l="1"/>
  <c r="E2522" i="2"/>
  <c r="D2524" i="2" l="1"/>
  <c r="E2523" i="2"/>
  <c r="D2525" i="2" l="1"/>
  <c r="E2524" i="2"/>
  <c r="D2526" i="2" l="1"/>
  <c r="E2525" i="2"/>
  <c r="D2527" i="2" l="1"/>
  <c r="E2526" i="2"/>
  <c r="D2528" i="2" l="1"/>
  <c r="E2527" i="2"/>
  <c r="D2529" i="2" l="1"/>
  <c r="E2528" i="2"/>
  <c r="D2530" i="2" l="1"/>
  <c r="E2529" i="2"/>
  <c r="D2531" i="2" l="1"/>
  <c r="E2530" i="2"/>
  <c r="D2532" i="2" l="1"/>
  <c r="E2531" i="2"/>
  <c r="D2533" i="2" l="1"/>
  <c r="E2532" i="2"/>
  <c r="D2534" i="2" l="1"/>
  <c r="E2533" i="2"/>
  <c r="D2535" i="2" l="1"/>
  <c r="E2534" i="2"/>
  <c r="D2536" i="2" l="1"/>
  <c r="E2535" i="2"/>
  <c r="D2537" i="2" l="1"/>
  <c r="E2536" i="2"/>
  <c r="D2538" i="2" l="1"/>
  <c r="E2537" i="2"/>
  <c r="D2539" i="2" l="1"/>
  <c r="E2538" i="2"/>
  <c r="D2540" i="2" l="1"/>
  <c r="E2539" i="2"/>
  <c r="D2541" i="2" l="1"/>
  <c r="E2540" i="2"/>
  <c r="D2542" i="2" l="1"/>
  <c r="E2541" i="2"/>
  <c r="D2543" i="2" l="1"/>
  <c r="E2542" i="2"/>
  <c r="D2544" i="2" l="1"/>
  <c r="E2543" i="2"/>
  <c r="D2545" i="2" l="1"/>
  <c r="E2544" i="2"/>
  <c r="D2546" i="2" l="1"/>
  <c r="E2545" i="2"/>
  <c r="D2547" i="2" l="1"/>
  <c r="E2546" i="2"/>
  <c r="D2548" i="2" l="1"/>
  <c r="E2547" i="2"/>
  <c r="D2549" i="2" l="1"/>
  <c r="E2549" i="2" s="1"/>
  <c r="H5" i="2" s="1"/>
  <c r="E254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738FD9-3442-4DC4-B7E1-5AE738FEF9AC}" keepAlive="1" name="Query - IRS_returns_2015-25" description="Connection to the 'IRS_returns_2015-25' query in the workbook." type="5" refreshedVersion="8" background="1" saveData="1">
    <dbPr connection="Provider=Microsoft.Mashup.OleDb.1;Data Source=$Workbook$;Location=IRS_returns_2015-25;Extended Properties=&quot;&quot;" command="SELECT * FROM [IRS_returns_2015-25]"/>
  </connection>
</connections>
</file>

<file path=xl/sharedStrings.xml><?xml version="1.0" encoding="utf-8"?>
<sst xmlns="http://schemas.openxmlformats.org/spreadsheetml/2006/main" count="10" uniqueCount="10">
  <si>
    <t>date</t>
  </si>
  <si>
    <t>IRSrtn</t>
  </si>
  <si>
    <t>e</t>
  </si>
  <si>
    <t>LL_i</t>
  </si>
  <si>
    <r>
      <t xml:space="preserve">  σ</t>
    </r>
    <r>
      <rPr>
        <vertAlign val="superscript"/>
        <sz val="11"/>
        <color theme="1"/>
        <rFont val="Times New Roman"/>
        <family val="1"/>
      </rPr>
      <t>2</t>
    </r>
  </si>
  <si>
    <t>ω</t>
  </si>
  <si>
    <t>α</t>
  </si>
  <si>
    <t>β</t>
  </si>
  <si>
    <t>LLF</t>
  </si>
  <si>
    <t>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</si>
</sst>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2" fontId="0" fillId="0" borderId="0" xfId="0" applyNumberFormat="1"/>
    <xf numFmtId="0" fontId="1" fillId="2" borderId="0" xfId="0" applyFont="1" applyFill="1"/>
    <xf numFmtId="0" fontId="3" fillId="2" borderId="0" xfId="0" applyFont="1" applyFill="1" applyAlignment="1">
      <alignment horizontal="center"/>
    </xf>
    <xf numFmtId="0" fontId="1" fillId="0" borderId="0" xfId="0" applyNumberFormat="1" applyFont="1"/>
  </cellXfs>
  <cellStyles count="1">
    <cellStyle name="Normal" xfId="0" builtinId="0"/>
  </cellStyles>
  <dxfs count="6">
    <dxf>
      <font>
        <strike val="0"/>
        <outline val="0"/>
        <shadow val="0"/>
        <u val="no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sz val="11"/>
        <color theme="1"/>
        <name val="Times New Roman"/>
        <family val="1"/>
        <scheme val="none"/>
      </font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81A9C5-DFFB-439A-98C8-E975EF0F9DD7}" autoFormatId="16" applyNumberFormats="0" applyBorderFormats="0" applyFontFormats="0" applyPatternFormats="0" applyAlignmentFormats="0" applyWidthHeightFormats="0">
  <queryTableRefresh nextId="7" unboundColumnsRight="4">
    <queryTableFields count="6">
      <queryTableField id="1" name="date" tableColumnId="1"/>
      <queryTableField id="2" name="IRSrtn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DC0684-E236-48BC-BBF3-53B419799581}" name="IRS_returns_2015_25" displayName="IRS_returns_2015_25" ref="A1:F2549" tableType="queryTable" totalsRowShown="0">
  <autoFilter ref="A1:F2549" xr:uid="{BDDC0684-E236-48BC-BBF3-53B419799581}"/>
  <tableColumns count="6">
    <tableColumn id="1" xr3:uid="{CE9DE0A6-3CC2-4357-9650-734B47AC3549}" uniqueName="1" name="date" queryTableFieldId="1" dataDxfId="5"/>
    <tableColumn id="2" xr3:uid="{075489B7-489E-426D-A31A-3EF733B38602}" uniqueName="2" name="IRSrtn" queryTableFieldId="2" dataDxfId="4"/>
    <tableColumn id="3" xr3:uid="{3D9AA11D-00FD-44EA-8BBA-796A4CBF5300}" uniqueName="3" name="e" queryTableFieldId="3" dataDxfId="3">
      <calculatedColumnFormula>IRS_returns_2015_25[[#This Row],[IRSrtn]]-AVERAGE($B$2:$B$2600)</calculatedColumnFormula>
    </tableColumn>
    <tableColumn id="4" xr3:uid="{28A8C566-AE4E-4ECC-816D-E4DC460DB7AA}" uniqueName="4" name="  σ2" queryTableFieldId="4" dataDxfId="2">
      <calculatedColumnFormula>w+a*C1^2+b*D1</calculatedColumnFormula>
    </tableColumn>
    <tableColumn id="5" xr3:uid="{C4BDB72B-4884-4953-993B-DDA8AF071C4E}" uniqueName="5" name="LL_i" queryTableFieldId="5" dataDxfId="1">
      <calculatedColumnFormula>-0.5*(LN(2*PI())+LN(D2)+C2^2/D2)</calculatedColumnFormula>
    </tableColumn>
    <tableColumn id="6" xr3:uid="{EBE6DB1A-8286-4FD8-9C80-D15F72347B91}" uniqueName="6" name="σ" queryTableFieldId="6" dataDxfId="0">
      <calculatedColumnFormula>SQRT(IRS_returns_2015_25[[#This Row],[  σ2]])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257F-49FF-41B1-9C5D-379611294DAC}">
  <dimension ref="A1:J2549"/>
  <sheetViews>
    <sheetView tabSelected="1" workbookViewId="0">
      <selection activeCell="F3" sqref="F3"/>
    </sheetView>
  </sheetViews>
  <sheetFormatPr defaultRowHeight="14.4" x14ac:dyDescent="0.3"/>
  <cols>
    <col min="1" max="1" width="10.33203125" style="1" bestFit="1" customWidth="1"/>
    <col min="2" max="2" width="12.6640625" style="1" bestFit="1" customWidth="1"/>
    <col min="3" max="3" width="8.88671875" style="1"/>
    <col min="4" max="4" width="9.21875" style="1" bestFit="1" customWidth="1"/>
    <col min="5" max="5" width="8.88671875" style="1"/>
  </cols>
  <sheetData>
    <row r="1" spans="1:10" ht="17.39999999999999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9</v>
      </c>
      <c r="H1" s="3" t="s">
        <v>5</v>
      </c>
      <c r="I1" s="3" t="s">
        <v>6</v>
      </c>
      <c r="J1" s="3" t="s">
        <v>7</v>
      </c>
    </row>
    <row r="2" spans="1:10" x14ac:dyDescent="0.3">
      <c r="A2" s="2">
        <v>42009</v>
      </c>
      <c r="B2" s="1">
        <v>-0.19486378211976962</v>
      </c>
      <c r="C2" s="1">
        <f>IRS_returns_2015_25[[#This Row],[IRSrtn]]-AVERAGE($B$2:$B$2600)</f>
        <v>-0.20064027618638541</v>
      </c>
      <c r="D2" s="1">
        <f>_xlfn.VAR.P(C1:C252)</f>
        <v>5.0876555015247114</v>
      </c>
      <c r="E2" s="1">
        <f t="shared" ref="E2:E65" si="0">-0.5*(LN(2*PI())+LN(D2)+C2^2/D2)</f>
        <v>-1.7363033849189526</v>
      </c>
      <c r="F2" s="7">
        <f>SQRT(IRS_returns_2015_25[[#This Row],[  σ2]])</f>
        <v>2.2555831843504932</v>
      </c>
      <c r="H2" s="4">
        <v>1.3452644548261408</v>
      </c>
      <c r="I2" s="4">
        <v>0.24364976875099678</v>
      </c>
      <c r="J2" s="4">
        <v>0.66571671332313176</v>
      </c>
    </row>
    <row r="3" spans="1:10" x14ac:dyDescent="0.3">
      <c r="A3" s="2">
        <v>42010</v>
      </c>
      <c r="B3" s="1">
        <v>3.8895526500741351</v>
      </c>
      <c r="C3" s="1">
        <f>IRS_returns_2015_25[[#This Row],[IRSrtn]]-AVERAGE($B$2:$B$2600)</f>
        <v>3.8837761560075195</v>
      </c>
      <c r="D3" s="1">
        <f>w+a*C2^2+b*D2</f>
        <v>4.7420102457145594</v>
      </c>
      <c r="E3" s="1">
        <f t="shared" si="0"/>
        <v>-3.2876040124113395</v>
      </c>
      <c r="F3" s="7">
        <f>SQRT(IRS_returns_2015_25[[#This Row],[  σ2]])</f>
        <v>2.1776157249878958</v>
      </c>
    </row>
    <row r="4" spans="1:10" x14ac:dyDescent="0.3">
      <c r="A4" s="2">
        <v>42011</v>
      </c>
      <c r="B4" s="1">
        <v>0.6234539913259951</v>
      </c>
      <c r="C4" s="1">
        <f>IRS_returns_2015_25[[#This Row],[IRSrtn]]-AVERAGE($B$2:$B$2600)</f>
        <v>0.61767749725937926</v>
      </c>
      <c r="D4" s="1">
        <f>w+a*C3^2+b*D3</f>
        <v>8.1772441451360898</v>
      </c>
      <c r="E4" s="1">
        <f t="shared" si="0"/>
        <v>-1.9929446177591292</v>
      </c>
      <c r="F4" s="7">
        <f>SQRT(IRS_returns_2015_25[[#This Row],[  σ2]])</f>
        <v>2.8595881076015282</v>
      </c>
      <c r="H4" s="6" t="s">
        <v>8</v>
      </c>
    </row>
    <row r="5" spans="1:10" x14ac:dyDescent="0.3">
      <c r="A5" s="2">
        <v>42012</v>
      </c>
      <c r="B5" s="1">
        <v>-2.453728806420008</v>
      </c>
      <c r="C5" s="1">
        <f>IRS_returns_2015_25[[#This Row],[IRSrtn]]-AVERAGE($B$2:$B$2600)</f>
        <v>-2.4595053004866236</v>
      </c>
      <c r="D5" s="1">
        <f>w+a*C4^2+b*D4</f>
        <v>6.881951148729283</v>
      </c>
      <c r="E5" s="1">
        <f t="shared" si="0"/>
        <v>-2.3228846436967876</v>
      </c>
      <c r="F5" s="7">
        <f>SQRT(IRS_returns_2015_25[[#This Row],[  σ2]])</f>
        <v>2.6233473175943143</v>
      </c>
      <c r="H5" s="5">
        <f>-SUM(E:E)</f>
        <v>6516.0463045521428</v>
      </c>
    </row>
    <row r="6" spans="1:10" x14ac:dyDescent="0.3">
      <c r="A6" s="2">
        <v>42013</v>
      </c>
      <c r="B6" s="1">
        <v>-0.70310259215955462</v>
      </c>
      <c r="C6" s="1">
        <f>IRS_returns_2015_25[[#This Row],[IRSrtn]]-AVERAGE($B$2:$B$2600)</f>
        <v>-0.70887908622617046</v>
      </c>
      <c r="D6" s="1">
        <f>w+a*C5^2+b*D5</f>
        <v>7.4005723305734934</v>
      </c>
      <c r="E6" s="1">
        <f t="shared" si="0"/>
        <v>-1.953667925556873</v>
      </c>
      <c r="F6" s="7">
        <f>SQRT(IRS_returns_2015_25[[#This Row],[  σ2]])</f>
        <v>2.7203992961647181</v>
      </c>
    </row>
    <row r="7" spans="1:10" x14ac:dyDescent="0.3">
      <c r="A7" s="2">
        <v>42016</v>
      </c>
      <c r="B7" s="1">
        <v>1.6539796445291799</v>
      </c>
      <c r="C7" s="1">
        <f>IRS_returns_2015_25[[#This Row],[IRSrtn]]-AVERAGE($B$2:$B$2600)</f>
        <v>1.648203150462564</v>
      </c>
      <c r="D7" s="1">
        <f>w+a*C6^2+b*D6</f>
        <v>6.3943854812640701</v>
      </c>
      <c r="E7" s="1">
        <f t="shared" si="0"/>
        <v>-2.059067364279684</v>
      </c>
      <c r="F7" s="7">
        <f>SQRT(IRS_returns_2015_25[[#This Row],[  σ2]])</f>
        <v>2.5287122179607686</v>
      </c>
    </row>
    <row r="8" spans="1:10" x14ac:dyDescent="0.3">
      <c r="A8" s="2">
        <v>42017</v>
      </c>
      <c r="B8" s="1">
        <v>-1.1421523721930615</v>
      </c>
      <c r="C8" s="1">
        <f>IRS_returns_2015_25[[#This Row],[IRSrtn]]-AVERAGE($B$2:$B$2600)</f>
        <v>-1.1479288662596774</v>
      </c>
      <c r="D8" s="1">
        <f>w+a*C7^2+b*D7</f>
        <v>6.2640062767081606</v>
      </c>
      <c r="E8" s="1">
        <f t="shared" si="0"/>
        <v>-1.9415320513647365</v>
      </c>
      <c r="F8" s="7">
        <f>SQRT(IRS_returns_2015_25[[#This Row],[  σ2]])</f>
        <v>2.502799687691398</v>
      </c>
    </row>
    <row r="9" spans="1:10" x14ac:dyDescent="0.3">
      <c r="A9" s="2">
        <v>42018</v>
      </c>
      <c r="B9" s="1">
        <v>-1.8680025151566859</v>
      </c>
      <c r="C9" s="1">
        <f>IRS_returns_2015_25[[#This Row],[IRSrtn]]-AVERAGE($B$2:$B$2600)</f>
        <v>-1.8737790092233018</v>
      </c>
      <c r="D9" s="1">
        <f>w+a*C8^2+b*D8</f>
        <v>5.8363853380329527</v>
      </c>
      <c r="E9" s="1">
        <f t="shared" si="0"/>
        <v>-2.1017839401549381</v>
      </c>
      <c r="F9" s="7">
        <f>SQRT(IRS_returns_2015_25[[#This Row],[  σ2]])</f>
        <v>2.4158612000760624</v>
      </c>
    </row>
    <row r="10" spans="1:10" x14ac:dyDescent="0.3">
      <c r="A10" s="2">
        <v>42020</v>
      </c>
      <c r="B10" s="1">
        <v>-0.52151802429474259</v>
      </c>
      <c r="C10" s="1">
        <f>IRS_returns_2015_25[[#This Row],[IRSrtn]]-AVERAGE($B$2:$B$2600)</f>
        <v>-0.52729451836135843</v>
      </c>
      <c r="D10" s="1">
        <f>w+a*C9^2+b*D9</f>
        <v>6.086109698300092</v>
      </c>
      <c r="E10" s="1">
        <f t="shared" si="0"/>
        <v>-1.8447852087052972</v>
      </c>
      <c r="F10" s="7">
        <f>SQRT(IRS_returns_2015_25[[#This Row],[  σ2]])</f>
        <v>2.4670041950309067</v>
      </c>
    </row>
    <row r="11" spans="1:10" x14ac:dyDescent="0.3">
      <c r="A11" s="2">
        <v>42024</v>
      </c>
      <c r="B11" s="1">
        <v>-0.26176402711559632</v>
      </c>
      <c r="C11" s="1">
        <f>IRS_returns_2015_25[[#This Row],[IRSrtn]]-AVERAGE($B$2:$B$2600)</f>
        <v>-0.26754052118221211</v>
      </c>
      <c r="D11" s="1">
        <f>w+a*C10^2+b*D10</f>
        <v>5.4646336621968929</v>
      </c>
      <c r="E11" s="1">
        <f t="shared" si="0"/>
        <v>-1.7746362736922645</v>
      </c>
      <c r="F11" s="7">
        <f>SQRT(IRS_returns_2015_25[[#This Row],[  σ2]])</f>
        <v>2.3376555910135464</v>
      </c>
    </row>
    <row r="12" spans="1:10" x14ac:dyDescent="0.3">
      <c r="A12" s="2">
        <v>42025</v>
      </c>
      <c r="B12" s="1">
        <v>4.045490651654049</v>
      </c>
      <c r="C12" s="1">
        <f>IRS_returns_2015_25[[#This Row],[IRSrtn]]-AVERAGE($B$2:$B$2600)</f>
        <v>4.0397141575874329</v>
      </c>
      <c r="D12" s="1">
        <f>w+a*C11^2+b*D11</f>
        <v>5.00060236214658</v>
      </c>
      <c r="E12" s="1">
        <f t="shared" si="0"/>
        <v>-3.3554501907350032</v>
      </c>
      <c r="F12" s="7">
        <f>SQRT(IRS_returns_2015_25[[#This Row],[  σ2]])</f>
        <v>2.2362026657140404</v>
      </c>
    </row>
    <row r="13" spans="1:10" x14ac:dyDescent="0.3">
      <c r="A13" s="2">
        <v>42026</v>
      </c>
      <c r="B13" s="1">
        <v>6.2908967098795898E-2</v>
      </c>
      <c r="C13" s="1">
        <f>IRS_returns_2015_25[[#This Row],[IRSrtn]]-AVERAGE($B$2:$B$2600)</f>
        <v>5.7132473032180102E-2</v>
      </c>
      <c r="D13" s="1">
        <f>w+a*C12^2+b*D12</f>
        <v>8.6504403744073528</v>
      </c>
      <c r="E13" s="1">
        <f t="shared" si="0"/>
        <v>-1.9979323160178235</v>
      </c>
      <c r="F13" s="7">
        <f>SQRT(IRS_returns_2015_25[[#This Row],[  σ2]])</f>
        <v>2.9411630989129711</v>
      </c>
    </row>
    <row r="14" spans="1:10" x14ac:dyDescent="0.3">
      <c r="A14" s="2">
        <v>42027</v>
      </c>
      <c r="B14" s="1">
        <v>-1.3295575295606099</v>
      </c>
      <c r="C14" s="1">
        <f>IRS_returns_2015_25[[#This Row],[IRSrtn]]-AVERAGE($B$2:$B$2600)</f>
        <v>-1.3353340236272258</v>
      </c>
      <c r="D14" s="1">
        <f>w+a*C13^2+b*D13</f>
        <v>7.1048024916295285</v>
      </c>
      <c r="E14" s="1">
        <f t="shared" si="0"/>
        <v>-2.0248107509181472</v>
      </c>
      <c r="F14" s="7">
        <f>SQRT(IRS_returns_2015_25[[#This Row],[  σ2]])</f>
        <v>2.6654835380526229</v>
      </c>
    </row>
    <row r="15" spans="1:10" x14ac:dyDescent="0.3">
      <c r="A15" s="2">
        <v>42030</v>
      </c>
      <c r="B15" s="1">
        <v>0.3816777309071373</v>
      </c>
      <c r="C15" s="1">
        <f>IRS_returns_2015_25[[#This Row],[IRSrtn]]-AVERAGE($B$2:$B$2600)</f>
        <v>0.37590123684052151</v>
      </c>
      <c r="D15" s="1">
        <f>w+a*C14^2+b*D14</f>
        <v>6.5095062520217795</v>
      </c>
      <c r="E15" s="1">
        <f t="shared" si="0"/>
        <v>-1.8664238289749624</v>
      </c>
      <c r="F15" s="7">
        <f>SQRT(IRS_returns_2015_25[[#This Row],[  σ2]])</f>
        <v>2.5513734050549677</v>
      </c>
    </row>
    <row r="16" spans="1:10" x14ac:dyDescent="0.3">
      <c r="A16" s="2">
        <v>42032</v>
      </c>
      <c r="B16" s="1">
        <v>-1.9231254191772518</v>
      </c>
      <c r="C16" s="1">
        <f>IRS_returns_2015_25[[#This Row],[IRSrtn]]-AVERAGE($B$2:$B$2600)</f>
        <v>-1.9289019132438676</v>
      </c>
      <c r="D16" s="1">
        <f>w+a*C15^2+b*D15</f>
        <v>5.7131796985190304</v>
      </c>
      <c r="E16" s="1">
        <f t="shared" si="0"/>
        <v>-2.1159474015359532</v>
      </c>
      <c r="F16" s="7">
        <f>SQRT(IRS_returns_2015_25[[#This Row],[  σ2]])</f>
        <v>2.3902258676784145</v>
      </c>
    </row>
    <row r="17" spans="1:6" x14ac:dyDescent="0.3">
      <c r="A17" s="2">
        <v>42033</v>
      </c>
      <c r="B17" s="1">
        <v>-0.51914163533246516</v>
      </c>
      <c r="C17" s="1">
        <f>IRS_returns_2015_25[[#This Row],[IRSrtn]]-AVERAGE($B$2:$B$2600)</f>
        <v>-0.524918129399081</v>
      </c>
      <c r="D17" s="1">
        <f>w+a*C16^2+b*D16</f>
        <v>6.0551622462258026</v>
      </c>
      <c r="E17" s="1">
        <f t="shared" si="0"/>
        <v>-1.8421465271274586</v>
      </c>
      <c r="F17" s="7">
        <f>SQRT(IRS_returns_2015_25[[#This Row],[  σ2]])</f>
        <v>2.4607239272672996</v>
      </c>
    </row>
    <row r="18" spans="1:6" x14ac:dyDescent="0.3">
      <c r="A18" s="2">
        <v>42034</v>
      </c>
      <c r="B18" s="1">
        <v>0.45439977844035084</v>
      </c>
      <c r="C18" s="1">
        <f>IRS_returns_2015_25[[#This Row],[IRSrtn]]-AVERAGE($B$2:$B$2600)</f>
        <v>0.44862328437373505</v>
      </c>
      <c r="D18" s="1">
        <f>w+a*C17^2+b*D17</f>
        <v>5.4434221880263909</v>
      </c>
      <c r="E18" s="1">
        <f t="shared" si="0"/>
        <v>-1.78462929826872</v>
      </c>
      <c r="F18" s="7">
        <f>SQRT(IRS_returns_2015_25[[#This Row],[  σ2]])</f>
        <v>2.3331142681031274</v>
      </c>
    </row>
    <row r="19" spans="1:6" x14ac:dyDescent="0.3">
      <c r="A19" s="2">
        <v>42037</v>
      </c>
      <c r="B19" s="1">
        <v>-0.51949340290677881</v>
      </c>
      <c r="C19" s="1">
        <f>IRS_returns_2015_25[[#This Row],[IRSrtn]]-AVERAGE($B$2:$B$2600)</f>
        <v>-0.52526989697339466</v>
      </c>
      <c r="D19" s="1">
        <f>w+a*C18^2+b*D18</f>
        <v>5.0180792302423738</v>
      </c>
      <c r="E19" s="1">
        <f t="shared" si="0"/>
        <v>-1.7529535933641296</v>
      </c>
      <c r="F19" s="7">
        <f>SQRT(IRS_returns_2015_25[[#This Row],[  σ2]])</f>
        <v>2.2401069684821691</v>
      </c>
    </row>
    <row r="20" spans="1:6" x14ac:dyDescent="0.3">
      <c r="A20" s="2">
        <v>42038</v>
      </c>
      <c r="B20" s="1">
        <v>0.32498669240688116</v>
      </c>
      <c r="C20" s="1">
        <f>IRS_returns_2015_25[[#This Row],[IRSrtn]]-AVERAGE($B$2:$B$2600)</f>
        <v>0.31921019834026537</v>
      </c>
      <c r="D20" s="1">
        <f>w+a*C19^2+b*D19</f>
        <v>4.7531087007905857</v>
      </c>
      <c r="E20" s="1">
        <f t="shared" si="0"/>
        <v>-1.7090567571405426</v>
      </c>
      <c r="F20" s="7">
        <f>SQRT(IRS_returns_2015_25[[#This Row],[  σ2]])</f>
        <v>2.1801625399934257</v>
      </c>
    </row>
    <row r="21" spans="1:6" x14ac:dyDescent="0.3">
      <c r="A21" s="2">
        <v>42039</v>
      </c>
      <c r="B21" s="1">
        <v>0.90440845814807602</v>
      </c>
      <c r="C21" s="1">
        <f>IRS_returns_2015_25[[#This Row],[IRSrtn]]-AVERAGE($B$2:$B$2600)</f>
        <v>0.89863196408146018</v>
      </c>
      <c r="D21" s="1">
        <f>w+a*C20^2+b*D20</f>
        <v>4.5343150870948863</v>
      </c>
      <c r="E21" s="1">
        <f t="shared" si="0"/>
        <v>-1.7638231170925929</v>
      </c>
      <c r="F21" s="7">
        <f>SQRT(IRS_returns_2015_25[[#This Row],[  σ2]])</f>
        <v>2.1293931264787362</v>
      </c>
    </row>
    <row r="22" spans="1:6" x14ac:dyDescent="0.3">
      <c r="A22" s="2">
        <v>42040</v>
      </c>
      <c r="B22" s="1">
        <v>1.4048683950851792</v>
      </c>
      <c r="C22" s="1">
        <f>IRS_returns_2015_25[[#This Row],[IRSrtn]]-AVERAGE($B$2:$B$2600)</f>
        <v>1.3990919010185634</v>
      </c>
      <c r="D22" s="1">
        <f>w+a*C21^2+b*D21</f>
        <v>4.5605905815193637</v>
      </c>
      <c r="E22" s="1">
        <f t="shared" si="0"/>
        <v>-1.8922703719815892</v>
      </c>
      <c r="F22" s="7">
        <f>SQRT(IRS_returns_2015_25[[#This Row],[  σ2]])</f>
        <v>2.1355539284970924</v>
      </c>
    </row>
    <row r="23" spans="1:6" x14ac:dyDescent="0.3">
      <c r="A23" s="2">
        <v>42041</v>
      </c>
      <c r="B23" s="1">
        <v>-1.469193774034272</v>
      </c>
      <c r="C23" s="1">
        <f>IRS_returns_2015_25[[#This Row],[IRSrtn]]-AVERAGE($B$2:$B$2600)</f>
        <v>-1.4749702681008878</v>
      </c>
      <c r="D23" s="1">
        <f>w+a*C22^2+b*D22</f>
        <v>4.8582600525447326</v>
      </c>
      <c r="E23" s="1">
        <f t="shared" si="0"/>
        <v>-1.9331795818195763</v>
      </c>
      <c r="F23" s="7">
        <f>SQRT(IRS_returns_2015_25[[#This Row],[  σ2]])</f>
        <v>2.2041461050812248</v>
      </c>
    </row>
    <row r="24" spans="1:6" x14ac:dyDescent="0.3">
      <c r="A24" s="2">
        <v>42044</v>
      </c>
      <c r="B24" s="1">
        <v>-0.45147640774301223</v>
      </c>
      <c r="C24" s="1">
        <f>IRS_returns_2015_25[[#This Row],[IRSrtn]]-AVERAGE($B$2:$B$2600)</f>
        <v>-0.45725290180962802</v>
      </c>
      <c r="D24" s="1">
        <f>w+a*C23^2+b*D23</f>
        <v>5.1095585275270432</v>
      </c>
      <c r="E24" s="1">
        <f t="shared" si="0"/>
        <v>-1.7549547509162398</v>
      </c>
      <c r="F24" s="7">
        <f>SQRT(IRS_returns_2015_25[[#This Row],[  σ2]])</f>
        <v>2.260433261020339</v>
      </c>
    </row>
    <row r="25" spans="1:6" x14ac:dyDescent="0.3">
      <c r="A25" s="2">
        <v>42045</v>
      </c>
      <c r="B25" s="1">
        <v>1.4120895842061554</v>
      </c>
      <c r="C25" s="1">
        <f>IRS_returns_2015_25[[#This Row],[IRSrtn]]-AVERAGE($B$2:$B$2600)</f>
        <v>1.4063130901395395</v>
      </c>
      <c r="D25" s="1">
        <f>w+a*C24^2+b*D24</f>
        <v>4.7977253106344104</v>
      </c>
      <c r="E25" s="1">
        <f t="shared" si="0"/>
        <v>-1.909119299512519</v>
      </c>
      <c r="F25" s="7">
        <f>SQRT(IRS_returns_2015_25[[#This Row],[  σ2]])</f>
        <v>2.1903710440549586</v>
      </c>
    </row>
    <row r="26" spans="1:6" x14ac:dyDescent="0.3">
      <c r="A26" s="2">
        <v>42046</v>
      </c>
      <c r="B26" s="1">
        <v>1.3924340333987928</v>
      </c>
      <c r="C26" s="1">
        <f>IRS_returns_2015_25[[#This Row],[IRSrtn]]-AVERAGE($B$2:$B$2600)</f>
        <v>1.3866575393321769</v>
      </c>
      <c r="D26" s="1">
        <f>w+a*C25^2+b*D25</f>
        <v>5.021060549755755</v>
      </c>
      <c r="E26" s="1">
        <f t="shared" si="0"/>
        <v>-1.917234519056221</v>
      </c>
      <c r="F26" s="7">
        <f>SQRT(IRS_returns_2015_25[[#This Row],[  σ2]])</f>
        <v>2.2407723110025604</v>
      </c>
    </row>
    <row r="27" spans="1:6" x14ac:dyDescent="0.3">
      <c r="A27" s="2">
        <v>42047</v>
      </c>
      <c r="B27" s="1">
        <v>2.5443538366651364</v>
      </c>
      <c r="C27" s="1">
        <f>IRS_returns_2015_25[[#This Row],[IRSrtn]]-AVERAGE($B$2:$B$2600)</f>
        <v>2.5385773425985207</v>
      </c>
      <c r="D27" s="1">
        <f>w+a*C26^2+b*D26</f>
        <v>5.1563628181183576</v>
      </c>
      <c r="E27" s="1">
        <f t="shared" si="0"/>
        <v>-2.3639496695129036</v>
      </c>
      <c r="F27" s="7">
        <f>SQRT(IRS_returns_2015_25[[#This Row],[  σ2]])</f>
        <v>2.270762607169309</v>
      </c>
    </row>
    <row r="28" spans="1:6" x14ac:dyDescent="0.3">
      <c r="A28" s="2">
        <v>42048</v>
      </c>
      <c r="B28" s="1">
        <v>0.30589901020081633</v>
      </c>
      <c r="C28" s="1">
        <f>IRS_returns_2015_25[[#This Row],[IRSrtn]]-AVERAGE($B$2:$B$2600)</f>
        <v>0.30012251613420055</v>
      </c>
      <c r="D28" s="1">
        <f>w+a*C27^2+b*D27</f>
        <v>6.3481118228692086</v>
      </c>
      <c r="E28" s="1">
        <f t="shared" si="0"/>
        <v>-1.8501117552611888</v>
      </c>
      <c r="F28" s="7">
        <f>SQRT(IRS_returns_2015_25[[#This Row],[  σ2]])</f>
        <v>2.5195459556970197</v>
      </c>
    </row>
    <row r="29" spans="1:6" x14ac:dyDescent="0.3">
      <c r="A29" s="2">
        <v>42052</v>
      </c>
      <c r="B29" s="1">
        <v>1.5156483212857008</v>
      </c>
      <c r="C29" s="1">
        <f>IRS_returns_2015_25[[#This Row],[IRSrtn]]-AVERAGE($B$2:$B$2600)</f>
        <v>1.509871827219085</v>
      </c>
      <c r="D29" s="1">
        <f>w+a*C28^2+b*D28</f>
        <v>5.5932549868158272</v>
      </c>
      <c r="E29" s="1">
        <f t="shared" si="0"/>
        <v>-1.9835104932847543</v>
      </c>
      <c r="F29" s="7">
        <f>SQRT(IRS_returns_2015_25[[#This Row],[  σ2]])</f>
        <v>2.3650063396988656</v>
      </c>
    </row>
    <row r="30" spans="1:6" x14ac:dyDescent="0.3">
      <c r="A30" s="2">
        <v>42053</v>
      </c>
      <c r="B30" s="1">
        <v>2.0250793173099968</v>
      </c>
      <c r="C30" s="1">
        <f>IRS_returns_2015_25[[#This Row],[IRSrtn]]-AVERAGE($B$2:$B$2600)</f>
        <v>2.0193028232433812</v>
      </c>
      <c r="D30" s="1">
        <f>w+a*C29^2+b*D29</f>
        <v>5.6242393107686208</v>
      </c>
      <c r="E30" s="1">
        <f t="shared" si="0"/>
        <v>-2.1449823096841838</v>
      </c>
      <c r="F30" s="7">
        <f>SQRT(IRS_returns_2015_25[[#This Row],[  σ2]])</f>
        <v>2.3715478723333039</v>
      </c>
    </row>
    <row r="31" spans="1:6" x14ac:dyDescent="0.3">
      <c r="A31" s="2">
        <v>42054</v>
      </c>
      <c r="B31" s="1">
        <v>-2.2057570043692909</v>
      </c>
      <c r="C31" s="1">
        <f>IRS_returns_2015_25[[#This Row],[IRSrtn]]-AVERAGE($B$2:$B$2600)</f>
        <v>-2.2115334984359065</v>
      </c>
      <c r="D31" s="1">
        <f>w+a*C30^2+b*D30</f>
        <v>6.0829169360723068</v>
      </c>
      <c r="E31" s="1">
        <f t="shared" si="0"/>
        <v>-2.2236983920070976</v>
      </c>
      <c r="F31" s="7">
        <f>SQRT(IRS_returns_2015_25[[#This Row],[  σ2]])</f>
        <v>2.4663570171555267</v>
      </c>
    </row>
    <row r="32" spans="1:6" x14ac:dyDescent="0.3">
      <c r="A32" s="2">
        <v>42055</v>
      </c>
      <c r="B32" s="1">
        <v>0.78054935761575628</v>
      </c>
      <c r="C32" s="1">
        <f>IRS_returns_2015_25[[#This Row],[IRSrtn]]-AVERAGE($B$2:$B$2600)</f>
        <v>0.77477286354914043</v>
      </c>
      <c r="D32" s="1">
        <f>w+a*C31^2+b*D31</f>
        <v>6.5864258069572594</v>
      </c>
      <c r="E32" s="1">
        <f t="shared" si="0"/>
        <v>-1.9070128988026886</v>
      </c>
      <c r="F32" s="7">
        <f>SQRT(IRS_returns_2015_25[[#This Row],[  σ2]])</f>
        <v>2.5664032822137015</v>
      </c>
    </row>
    <row r="33" spans="1:6" x14ac:dyDescent="0.3">
      <c r="A33" s="2">
        <v>42058</v>
      </c>
      <c r="B33" s="1">
        <v>0.59630136097852393</v>
      </c>
      <c r="C33" s="1">
        <f>IRS_returns_2015_25[[#This Row],[IRSrtn]]-AVERAGE($B$2:$B$2600)</f>
        <v>0.59052486691190809</v>
      </c>
      <c r="D33" s="1">
        <f>w+a*C32^2+b*D32</f>
        <v>5.8762145708038016</v>
      </c>
      <c r="E33" s="1">
        <f t="shared" si="0"/>
        <v>-1.8340670513820581</v>
      </c>
      <c r="F33" s="7">
        <f>SQRT(IRS_returns_2015_25[[#This Row],[  σ2]])</f>
        <v>2.4240904625867001</v>
      </c>
    </row>
    <row r="34" spans="1:6" x14ac:dyDescent="0.3">
      <c r="A34" s="2">
        <v>42059</v>
      </c>
      <c r="B34" s="1">
        <v>1.240780462284885</v>
      </c>
      <c r="C34" s="1">
        <f>IRS_returns_2015_25[[#This Row],[IRSrtn]]-AVERAGE($B$2:$B$2600)</f>
        <v>1.2350039682182692</v>
      </c>
      <c r="D34" s="1">
        <f>w+a*C33^2+b*D33</f>
        <v>5.3421241600753104</v>
      </c>
      <c r="E34" s="1">
        <f t="shared" si="0"/>
        <v>-1.8995056732038906</v>
      </c>
      <c r="F34" s="7">
        <f>SQRT(IRS_returns_2015_25[[#This Row],[  σ2]])</f>
        <v>2.3113035629434986</v>
      </c>
    </row>
    <row r="35" spans="1:6" x14ac:dyDescent="0.3">
      <c r="A35" s="2">
        <v>42060</v>
      </c>
      <c r="B35" s="1">
        <v>1.1675622576204248</v>
      </c>
      <c r="C35" s="1">
        <f>IRS_returns_2015_25[[#This Row],[IRSrtn]]-AVERAGE($B$2:$B$2600)</f>
        <v>1.1617857635538089</v>
      </c>
      <c r="D35" s="1">
        <f>w+a*C34^2+b*D34</f>
        <v>5.2732288995156429</v>
      </c>
      <c r="E35" s="1">
        <f t="shared" si="0"/>
        <v>-1.8782409626414061</v>
      </c>
      <c r="F35" s="7">
        <f>SQRT(IRS_returns_2015_25[[#This Row],[  σ2]])</f>
        <v>2.2963512143214597</v>
      </c>
    </row>
    <row r="36" spans="1:6" x14ac:dyDescent="0.3">
      <c r="A36" s="2">
        <v>42061</v>
      </c>
      <c r="B36" s="1">
        <v>-0.64046768063916737</v>
      </c>
      <c r="C36" s="1">
        <f>IRS_returns_2015_25[[#This Row],[IRSrtn]]-AVERAGE($B$2:$B$2600)</f>
        <v>-0.64624417470578321</v>
      </c>
      <c r="D36" s="1">
        <f>w+a*C35^2+b*D35</f>
        <v>5.1846064062653561</v>
      </c>
      <c r="E36" s="1">
        <f t="shared" si="0"/>
        <v>-1.7820616053968439</v>
      </c>
      <c r="F36" s="7">
        <f>SQRT(IRS_returns_2015_25[[#This Row],[  σ2]])</f>
        <v>2.276973079828867</v>
      </c>
    </row>
    <row r="37" spans="1:6" x14ac:dyDescent="0.3">
      <c r="A37" s="2">
        <v>42062</v>
      </c>
      <c r="B37" s="1">
        <v>-0.82112100781301933</v>
      </c>
      <c r="C37" s="1">
        <f>IRS_returns_2015_25[[#This Row],[IRSrtn]]-AVERAGE($B$2:$B$2600)</f>
        <v>-0.82689750187963518</v>
      </c>
      <c r="D37" s="1">
        <f>w+a*C36^2+b*D36</f>
        <v>4.8984994180008652</v>
      </c>
      <c r="E37" s="1">
        <f t="shared" si="0"/>
        <v>-1.7831957404857883</v>
      </c>
      <c r="F37" s="7">
        <f>SQRT(IRS_returns_2015_25[[#This Row],[  σ2]])</f>
        <v>2.2132553892402171</v>
      </c>
    </row>
    <row r="38" spans="1:6" x14ac:dyDescent="0.3">
      <c r="A38" s="2">
        <v>42065</v>
      </c>
      <c r="B38" s="1">
        <v>-2.2633357828468537</v>
      </c>
      <c r="C38" s="1">
        <f>IRS_returns_2015_25[[#This Row],[IRSrtn]]-AVERAGE($B$2:$B$2600)</f>
        <v>-2.2691122769134693</v>
      </c>
      <c r="D38" s="1">
        <f>w+a*C37^2+b*D37</f>
        <v>4.7728752264387442</v>
      </c>
      <c r="E38" s="1">
        <f t="shared" si="0"/>
        <v>-2.2398017439157867</v>
      </c>
      <c r="F38" s="7">
        <f>SQRT(IRS_returns_2015_25[[#This Row],[  σ2]])</f>
        <v>2.184691105497238</v>
      </c>
    </row>
    <row r="39" spans="1:6" x14ac:dyDescent="0.3">
      <c r="A39" s="2">
        <v>42066</v>
      </c>
      <c r="B39" s="1">
        <v>-0.36211214145018822</v>
      </c>
      <c r="C39" s="1">
        <f>IRS_returns_2015_25[[#This Row],[IRSrtn]]-AVERAGE($B$2:$B$2600)</f>
        <v>-0.36788863551680401</v>
      </c>
      <c r="D39" s="1">
        <f>w+a*C38^2+b*D38</f>
        <v>5.7771683764757498</v>
      </c>
      <c r="E39" s="1">
        <f t="shared" si="0"/>
        <v>-1.807608892486988</v>
      </c>
      <c r="F39" s="7">
        <f>SQRT(IRS_returns_2015_25[[#This Row],[  σ2]])</f>
        <v>2.4035740838334378</v>
      </c>
    </row>
    <row r="40" spans="1:6" x14ac:dyDescent="0.3">
      <c r="A40" s="2">
        <v>42067</v>
      </c>
      <c r="B40" s="1">
        <v>0.78290650343912915</v>
      </c>
      <c r="C40" s="1">
        <f>IRS_returns_2015_25[[#This Row],[IRSrtn]]-AVERAGE($B$2:$B$2600)</f>
        <v>0.77713000937251331</v>
      </c>
      <c r="D40" s="1">
        <f>w+a*C39^2+b*D39</f>
        <v>5.2241980574600957</v>
      </c>
      <c r="E40" s="1">
        <f t="shared" si="0"/>
        <v>-1.8033905018955219</v>
      </c>
      <c r="F40" s="7">
        <f>SQRT(IRS_returns_2015_25[[#This Row],[  σ2]])</f>
        <v>2.2856504670356088</v>
      </c>
    </row>
    <row r="41" spans="1:6" x14ac:dyDescent="0.3">
      <c r="A41" s="2">
        <v>42068</v>
      </c>
      <c r="B41" s="1">
        <v>3.6517596047092482</v>
      </c>
      <c r="C41" s="1">
        <f>IRS_returns_2015_25[[#This Row],[IRSrtn]]-AVERAGE($B$2:$B$2600)</f>
        <v>3.6459831106426326</v>
      </c>
      <c r="D41" s="1">
        <f>w+a*C40^2+b*D40</f>
        <v>4.970248076419125</v>
      </c>
      <c r="E41" s="1">
        <f t="shared" si="0"/>
        <v>-3.0579500045407748</v>
      </c>
      <c r="F41" s="7">
        <f>SQRT(IRS_returns_2015_25[[#This Row],[  σ2]])</f>
        <v>2.2294053190075429</v>
      </c>
    </row>
    <row r="42" spans="1:6" x14ac:dyDescent="0.3">
      <c r="A42" s="2">
        <v>42069</v>
      </c>
      <c r="B42" s="1">
        <v>-0.11574010037098681</v>
      </c>
      <c r="C42" s="1">
        <f>IRS_returns_2015_25[[#This Row],[IRSrtn]]-AVERAGE($B$2:$B$2600)</f>
        <v>-0.1215165944376026</v>
      </c>
      <c r="D42" s="1">
        <f>w+a*C41^2+b*D41</f>
        <v>7.8929250308421057</v>
      </c>
      <c r="E42" s="1">
        <f t="shared" si="0"/>
        <v>-1.9528573420331523</v>
      </c>
      <c r="F42" s="7">
        <f>SQRT(IRS_returns_2015_25[[#This Row],[  σ2]])</f>
        <v>2.8094350020675165</v>
      </c>
    </row>
    <row r="43" spans="1:6" x14ac:dyDescent="0.3">
      <c r="A43" s="2">
        <v>42072</v>
      </c>
      <c r="B43" s="1">
        <v>3.1911488816376732</v>
      </c>
      <c r="C43" s="1">
        <f>IRS_returns_2015_25[[#This Row],[IRSrtn]]-AVERAGE($B$2:$B$2600)</f>
        <v>3.1853723875710576</v>
      </c>
      <c r="D43" s="1">
        <f>w+a*C42^2+b*D42</f>
        <v>6.6033143662351703</v>
      </c>
      <c r="E43" s="1">
        <f t="shared" si="0"/>
        <v>-2.6310201724609348</v>
      </c>
      <c r="F43" s="7">
        <f>SQRT(IRS_returns_2015_25[[#This Row],[  σ2]])</f>
        <v>2.5696914924237833</v>
      </c>
    </row>
    <row r="44" spans="1:6" x14ac:dyDescent="0.3">
      <c r="A44" s="2">
        <v>42073</v>
      </c>
      <c r="B44" s="1">
        <v>-1.8681542055757561</v>
      </c>
      <c r="C44" s="1">
        <f>IRS_returns_2015_25[[#This Row],[IRSrtn]]-AVERAGE($B$2:$B$2600)</f>
        <v>-1.8739306996423719</v>
      </c>
      <c r="D44" s="1">
        <f>w+a*C43^2+b*D43</f>
        <v>8.2134172647185473</v>
      </c>
      <c r="E44" s="1">
        <f t="shared" si="0"/>
        <v>-2.1855962240391689</v>
      </c>
      <c r="F44" s="7">
        <f>SQRT(IRS_returns_2015_25[[#This Row],[  σ2]])</f>
        <v>2.8659060111452623</v>
      </c>
    </row>
    <row r="45" spans="1:6" x14ac:dyDescent="0.3">
      <c r="A45" s="2">
        <v>42074</v>
      </c>
      <c r="B45" s="1">
        <v>3.7571011975150448</v>
      </c>
      <c r="C45" s="1">
        <f>IRS_returns_2015_25[[#This Row],[IRSrtn]]-AVERAGE($B$2:$B$2600)</f>
        <v>3.7513247034484292</v>
      </c>
      <c r="D45" s="1">
        <f>w+a*C44^2+b*D44</f>
        <v>7.6686780928579701</v>
      </c>
      <c r="E45" s="1">
        <f t="shared" si="0"/>
        <v>-2.8550375697328794</v>
      </c>
      <c r="F45" s="7">
        <f>SQRT(IRS_returns_2015_25[[#This Row],[  σ2]])</f>
        <v>2.7692378180391026</v>
      </c>
    </row>
    <row r="46" spans="1:6" x14ac:dyDescent="0.3">
      <c r="A46" s="2">
        <v>42075</v>
      </c>
      <c r="B46" s="1">
        <v>3.0354586535858541</v>
      </c>
      <c r="C46" s="1">
        <f>IRS_returns_2015_25[[#This Row],[IRSrtn]]-AVERAGE($B$2:$B$2600)</f>
        <v>3.0296821595192385</v>
      </c>
      <c r="D46" s="1">
        <f>w+a*C45^2+b*D45</f>
        <v>9.8791776586302653</v>
      </c>
      <c r="E46" s="1">
        <f t="shared" si="0"/>
        <v>-2.5287148128005761</v>
      </c>
      <c r="F46" s="7">
        <f>SQRT(IRS_returns_2015_25[[#This Row],[  σ2]])</f>
        <v>3.1431159155574053</v>
      </c>
    </row>
    <row r="47" spans="1:6" x14ac:dyDescent="0.3">
      <c r="A47" s="2">
        <v>42076</v>
      </c>
      <c r="B47" s="1">
        <v>-5.3395208086781665E-2</v>
      </c>
      <c r="C47" s="1">
        <f>IRS_returns_2015_25[[#This Row],[IRSrtn]]-AVERAGE($B$2:$B$2600)</f>
        <v>-5.9171702153397461E-2</v>
      </c>
      <c r="D47" s="1">
        <f>w+a*C46^2+b*D46</f>
        <v>10.158453025541544</v>
      </c>
      <c r="E47" s="1">
        <f t="shared" si="0"/>
        <v>-2.0782639516856114</v>
      </c>
      <c r="F47" s="7">
        <f>SQRT(IRS_returns_2015_25[[#This Row],[  σ2]])</f>
        <v>3.1872328163379504</v>
      </c>
    </row>
    <row r="48" spans="1:6" x14ac:dyDescent="0.3">
      <c r="A48" s="2">
        <v>42079</v>
      </c>
      <c r="B48" s="1">
        <v>2.5838449353772663</v>
      </c>
      <c r="C48" s="1">
        <f>IRS_returns_2015_25[[#This Row],[IRSrtn]]-AVERAGE($B$2:$B$2600)</f>
        <v>2.5780684413106507</v>
      </c>
      <c r="D48" s="1">
        <f>w+a*C47^2+b*D47</f>
        <v>8.1087695040177117</v>
      </c>
      <c r="E48" s="1">
        <f t="shared" si="0"/>
        <v>-2.3752417759930289</v>
      </c>
      <c r="F48" s="7">
        <f>SQRT(IRS_returns_2015_25[[#This Row],[  σ2]])</f>
        <v>2.8475901221941529</v>
      </c>
    </row>
    <row r="49" spans="1:6" x14ac:dyDescent="0.3">
      <c r="A49" s="2">
        <v>42080</v>
      </c>
      <c r="B49" s="1">
        <v>4.1300767435315855</v>
      </c>
      <c r="C49" s="1">
        <f>IRS_returns_2015_25[[#This Row],[IRSrtn]]-AVERAGE($B$2:$B$2600)</f>
        <v>4.1243002494649694</v>
      </c>
      <c r="D49" s="1">
        <f>w+a*C48^2+b*D48</f>
        <v>8.3628106489349108</v>
      </c>
      <c r="E49" s="1">
        <f t="shared" si="0"/>
        <v>-2.9978295828432433</v>
      </c>
      <c r="F49" s="7">
        <f>SQRT(IRS_returns_2015_25[[#This Row],[  σ2]])</f>
        <v>2.8918524597452948</v>
      </c>
    </row>
    <row r="50" spans="1:6" x14ac:dyDescent="0.3">
      <c r="A50" s="2">
        <v>42081</v>
      </c>
      <c r="B50" s="1">
        <v>5.2541301829989173</v>
      </c>
      <c r="C50" s="1">
        <f>IRS_returns_2015_25[[#This Row],[IRSrtn]]-AVERAGE($B$2:$B$2600)</f>
        <v>5.2483536889323013</v>
      </c>
      <c r="D50" s="1">
        <f>w+a*C49^2+b*D49</f>
        <v>11.056973913923404</v>
      </c>
      <c r="E50" s="1">
        <f t="shared" si="0"/>
        <v>-3.3660729639984543</v>
      </c>
      <c r="F50" s="7">
        <f>SQRT(IRS_returns_2015_25[[#This Row],[  σ2]])</f>
        <v>3.3252028380120517</v>
      </c>
    </row>
    <row r="51" spans="1:6" x14ac:dyDescent="0.3">
      <c r="A51" s="2">
        <v>42082</v>
      </c>
      <c r="B51" s="1">
        <v>-3.2758151328140528</v>
      </c>
      <c r="C51" s="1">
        <f>IRS_returns_2015_25[[#This Row],[IRSrtn]]-AVERAGE($B$2:$B$2600)</f>
        <v>-3.2815916268806684</v>
      </c>
      <c r="D51" s="1">
        <f>w+a*C50^2+b*D50</f>
        <v>15.41746240491109</v>
      </c>
      <c r="E51" s="1">
        <f t="shared" si="0"/>
        <v>-2.6359306942529335</v>
      </c>
      <c r="F51" s="7">
        <f>SQRT(IRS_returns_2015_25[[#This Row],[  σ2]])</f>
        <v>3.9265076601110929</v>
      </c>
    </row>
    <row r="52" spans="1:6" x14ac:dyDescent="0.3">
      <c r="A52" s="2">
        <v>42083</v>
      </c>
      <c r="B52" s="1">
        <v>1.8438015852134892</v>
      </c>
      <c r="C52" s="1">
        <f>IRS_returns_2015_25[[#This Row],[IRSrtn]]-AVERAGE($B$2:$B$2600)</f>
        <v>1.8380250911468734</v>
      </c>
      <c r="D52" s="1">
        <f>w+a*C51^2+b*D51</f>
        <v>14.232753109029833</v>
      </c>
      <c r="E52" s="1">
        <f t="shared" si="0"/>
        <v>-2.3653932210124675</v>
      </c>
      <c r="F52" s="7">
        <f>SQRT(IRS_returns_2015_25[[#This Row],[  σ2]])</f>
        <v>3.7726321194929455</v>
      </c>
    </row>
    <row r="53" spans="1:6" x14ac:dyDescent="0.3">
      <c r="A53" s="2">
        <v>42086</v>
      </c>
      <c r="B53" s="1">
        <v>-3.3238566680218185</v>
      </c>
      <c r="C53" s="1">
        <f>IRS_returns_2015_25[[#This Row],[IRSrtn]]-AVERAGE($B$2:$B$2600)</f>
        <v>-3.3296331620884341</v>
      </c>
      <c r="D53" s="1">
        <f>w+a*C52^2+b*D52</f>
        <v>11.643376918696944</v>
      </c>
      <c r="E53" s="1">
        <f t="shared" si="0"/>
        <v>-2.6223915510634033</v>
      </c>
      <c r="F53" s="7">
        <f>SQRT(IRS_returns_2015_25[[#This Row],[  σ2]])</f>
        <v>3.412239282157238</v>
      </c>
    </row>
    <row r="54" spans="1:6" x14ac:dyDescent="0.3">
      <c r="A54" s="2">
        <v>42087</v>
      </c>
      <c r="B54" s="1">
        <v>0.79209004774476455</v>
      </c>
      <c r="C54" s="1">
        <f>IRS_returns_2015_25[[#This Row],[IRSrtn]]-AVERAGE($B$2:$B$2600)</f>
        <v>0.7863135536781487</v>
      </c>
      <c r="D54" s="1">
        <f>w+a*C53^2+b*D53</f>
        <v>11.797667751998709</v>
      </c>
      <c r="E54" s="1">
        <f t="shared" si="0"/>
        <v>-2.1790933308901121</v>
      </c>
      <c r="F54" s="7">
        <f>SQRT(IRS_returns_2015_25[[#This Row],[  σ2]])</f>
        <v>3.4347733188667209</v>
      </c>
    </row>
    <row r="55" spans="1:6" x14ac:dyDescent="0.3">
      <c r="A55" s="2">
        <v>42088</v>
      </c>
      <c r="B55" s="1">
        <v>-0.29630040675705516</v>
      </c>
      <c r="C55" s="1">
        <f>IRS_returns_2015_25[[#This Row],[IRSrtn]]-AVERAGE($B$2:$B$2600)</f>
        <v>-0.30207690082367095</v>
      </c>
      <c r="D55" s="1">
        <f>w+a*C54^2+b*D54</f>
        <v>9.3498150285809629</v>
      </c>
      <c r="E55" s="1">
        <f t="shared" si="0"/>
        <v>-2.0414966131977286</v>
      </c>
      <c r="F55" s="7">
        <f>SQRT(IRS_returns_2015_25[[#This Row],[  σ2]])</f>
        <v>3.0577467240732945</v>
      </c>
    </row>
    <row r="56" spans="1:6" x14ac:dyDescent="0.3">
      <c r="A56" s="2">
        <v>42089</v>
      </c>
      <c r="B56" s="1">
        <v>-4.5013865212340409</v>
      </c>
      <c r="C56" s="1">
        <f>IRS_returns_2015_25[[#This Row],[IRSrtn]]-AVERAGE($B$2:$B$2600)</f>
        <v>-4.507163015300657</v>
      </c>
      <c r="D56" s="1">
        <f>w+a*C55^2+b*D55</f>
        <v>7.5918257378505434</v>
      </c>
      <c r="E56" s="1">
        <f t="shared" si="0"/>
        <v>-3.2703950786204725</v>
      </c>
      <c r="F56" s="7">
        <f>SQRT(IRS_returns_2015_25[[#This Row],[  σ2]])</f>
        <v>2.7553267932952243</v>
      </c>
    </row>
    <row r="57" spans="1:6" x14ac:dyDescent="0.3">
      <c r="A57" s="2">
        <v>42090</v>
      </c>
      <c r="B57" s="1">
        <v>2.7049298780668085</v>
      </c>
      <c r="C57" s="1">
        <f>IRS_returns_2015_25[[#This Row],[IRSrtn]]-AVERAGE($B$2:$B$2600)</f>
        <v>2.6991533840001929</v>
      </c>
      <c r="D57" s="1">
        <f>w+a*C56^2+b*D56</f>
        <v>11.348897454926112</v>
      </c>
      <c r="E57" s="1">
        <f t="shared" si="0"/>
        <v>-2.4544740206290112</v>
      </c>
      <c r="F57" s="7">
        <f>SQRT(IRS_returns_2015_25[[#This Row],[  σ2]])</f>
        <v>3.3688124695396913</v>
      </c>
    </row>
    <row r="58" spans="1:6" x14ac:dyDescent="0.3">
      <c r="A58" s="2">
        <v>42093</v>
      </c>
      <c r="B58" s="1">
        <v>-0.40363096889222128</v>
      </c>
      <c r="C58" s="1">
        <f>IRS_returns_2015_25[[#This Row],[IRSrtn]]-AVERAGE($B$2:$B$2600)</f>
        <v>-0.40940746295883707</v>
      </c>
      <c r="D58" s="1">
        <f>w+a*C57^2+b*D57</f>
        <v>10.675508257113755</v>
      </c>
      <c r="E58" s="1">
        <f t="shared" si="0"/>
        <v>-2.1107650392573905</v>
      </c>
      <c r="F58" s="7">
        <f>SQRT(IRS_returns_2015_25[[#This Row],[  σ2]])</f>
        <v>3.2673396298997988</v>
      </c>
    </row>
    <row r="59" spans="1:6" x14ac:dyDescent="0.3">
      <c r="A59" s="2">
        <v>42094</v>
      </c>
      <c r="B59" s="1">
        <v>-0.35452135909705973</v>
      </c>
      <c r="C59" s="1">
        <f>IRS_returns_2015_25[[#This Row],[IRSrtn]]-AVERAGE($B$2:$B$2600)</f>
        <v>-0.36029785316367552</v>
      </c>
      <c r="D59" s="1">
        <f>w+a*C58^2+b*D58</f>
        <v>8.4929679518376702</v>
      </c>
      <c r="E59" s="1">
        <f t="shared" si="0"/>
        <v>-1.9962002660637488</v>
      </c>
      <c r="F59" s="7">
        <f>SQRT(IRS_returns_2015_25[[#This Row],[  σ2]])</f>
        <v>2.9142697115808738</v>
      </c>
    </row>
    <row r="60" spans="1:6" x14ac:dyDescent="0.3">
      <c r="A60" s="2">
        <v>42095</v>
      </c>
      <c r="B60" s="1">
        <v>0.3039441881200311</v>
      </c>
      <c r="C60" s="1">
        <f>IRS_returns_2015_25[[#This Row],[IRSrtn]]-AVERAGE($B$2:$B$2600)</f>
        <v>0.29816769405341531</v>
      </c>
      <c r="D60" s="1">
        <f>w+a*C59^2+b*D59</f>
        <v>7.0308044494632949</v>
      </c>
      <c r="E60" s="1">
        <f t="shared" si="0"/>
        <v>-1.9004115593034614</v>
      </c>
      <c r="F60" s="7">
        <f>SQRT(IRS_returns_2015_25[[#This Row],[  σ2]])</f>
        <v>2.6515664143036837</v>
      </c>
    </row>
    <row r="61" spans="1:6" x14ac:dyDescent="0.3">
      <c r="A61" s="2">
        <v>42096</v>
      </c>
      <c r="B61" s="1">
        <v>-0.10119689261207654</v>
      </c>
      <c r="C61" s="1">
        <f>IRS_returns_2015_25[[#This Row],[IRSrtn]]-AVERAGE($B$2:$B$2600)</f>
        <v>-0.10697338667869233</v>
      </c>
      <c r="D61" s="1">
        <f>w+a*C60^2+b*D60</f>
        <v>6.0474499175923393</v>
      </c>
      <c r="E61" s="1">
        <f t="shared" si="0"/>
        <v>-1.8197030007027857</v>
      </c>
      <c r="F61" s="7">
        <f>SQRT(IRS_returns_2015_25[[#This Row],[  σ2]])</f>
        <v>2.4591563426493117</v>
      </c>
    </row>
    <row r="62" spans="1:6" x14ac:dyDescent="0.3">
      <c r="A62" s="2">
        <v>42100</v>
      </c>
      <c r="B62" s="1">
        <v>0.65604171234459052</v>
      </c>
      <c r="C62" s="1">
        <f>IRS_returns_2015_25[[#This Row],[IRSrtn]]-AVERAGE($B$2:$B$2600)</f>
        <v>0.65026521827797468</v>
      </c>
      <c r="D62" s="1">
        <f>w+a*C61^2+b*D61</f>
        <v>5.3739410966804257</v>
      </c>
      <c r="E62" s="1">
        <f t="shared" si="0"/>
        <v>-1.7990614635178133</v>
      </c>
      <c r="F62" s="7">
        <f>SQRT(IRS_returns_2015_25[[#This Row],[  σ2]])</f>
        <v>2.3181762436623377</v>
      </c>
    </row>
    <row r="63" spans="1:6" x14ac:dyDescent="0.3">
      <c r="A63" s="2">
        <v>42101</v>
      </c>
      <c r="B63" s="1">
        <v>-0.75736397702508285</v>
      </c>
      <c r="C63" s="1">
        <f>IRS_returns_2015_25[[#This Row],[IRSrtn]]-AVERAGE($B$2:$B$2600)</f>
        <v>-0.76314047109169869</v>
      </c>
      <c r="D63" s="1">
        <f>w+a*C62^2+b*D62</f>
        <v>5.0258129102198659</v>
      </c>
      <c r="E63" s="1">
        <f t="shared" si="0"/>
        <v>-1.7841713620996598</v>
      </c>
      <c r="F63" s="7">
        <f>SQRT(IRS_returns_2015_25[[#This Row],[  σ2]])</f>
        <v>2.2418324893309638</v>
      </c>
    </row>
    <row r="64" spans="1:6" x14ac:dyDescent="0.3">
      <c r="A64" s="2">
        <v>42102</v>
      </c>
      <c r="B64" s="1">
        <v>-0.35544431617422489</v>
      </c>
      <c r="C64" s="1">
        <f>IRS_returns_2015_25[[#This Row],[IRSrtn]]-AVERAGE($B$2:$B$2600)</f>
        <v>-0.36122081024084068</v>
      </c>
      <c r="D64" s="1">
        <f>w+a*C63^2+b*D63</f>
        <v>4.8329296827193886</v>
      </c>
      <c r="E64" s="1">
        <f t="shared" si="0"/>
        <v>-1.7201640622866678</v>
      </c>
      <c r="F64" s="7">
        <f>SQRT(IRS_returns_2015_25[[#This Row],[  σ2]])</f>
        <v>2.1983925224398368</v>
      </c>
    </row>
    <row r="65" spans="1:6" x14ac:dyDescent="0.3">
      <c r="A65" s="2">
        <v>42103</v>
      </c>
      <c r="B65" s="1">
        <v>-1.8480917175653477</v>
      </c>
      <c r="C65" s="1">
        <f>IRS_returns_2015_25[[#This Row],[IRSrtn]]-AVERAGE($B$2:$B$2600)</f>
        <v>-1.8538682116319636</v>
      </c>
      <c r="D65" s="1">
        <f>w+a*C64^2+b*D64</f>
        <v>4.5944180561838621</v>
      </c>
      <c r="E65" s="1">
        <f t="shared" si="0"/>
        <v>-2.0553816363610538</v>
      </c>
      <c r="F65" s="7">
        <f>SQRT(IRS_returns_2015_25[[#This Row],[  σ2]])</f>
        <v>2.1434593665810096</v>
      </c>
    </row>
    <row r="66" spans="1:6" x14ac:dyDescent="0.3">
      <c r="A66" s="2">
        <v>42104</v>
      </c>
      <c r="B66" s="1">
        <v>1.6953905234523337</v>
      </c>
      <c r="C66" s="1">
        <f>IRS_returns_2015_25[[#This Row],[IRSrtn]]-AVERAGE($B$2:$B$2600)</f>
        <v>1.6896140293857178</v>
      </c>
      <c r="D66" s="1">
        <f>w+a*C65^2+b*D65</f>
        <v>5.2412275309355572</v>
      </c>
      <c r="E66" s="1">
        <f t="shared" ref="E66:E129" si="1">-0.5*(LN(2*PI())+LN(D66)+C66^2/D66)</f>
        <v>-2.0195567578523996</v>
      </c>
      <c r="F66" s="7">
        <f>SQRT(IRS_returns_2015_25[[#This Row],[  σ2]])</f>
        <v>2.2893727374404449</v>
      </c>
    </row>
    <row r="67" spans="1:6" x14ac:dyDescent="0.3">
      <c r="A67" s="2">
        <v>42107</v>
      </c>
      <c r="B67" s="1">
        <v>-1.5400570706177508</v>
      </c>
      <c r="C67" s="1">
        <f>IRS_returns_2015_25[[#This Row],[IRSrtn]]-AVERAGE($B$2:$B$2600)</f>
        <v>-1.5458335646843666</v>
      </c>
      <c r="D67" s="1">
        <f>w+a*C66^2+b*D66</f>
        <v>5.5300075005462173</v>
      </c>
      <c r="E67" s="1">
        <f t="shared" si="1"/>
        <v>-1.9900908197371079</v>
      </c>
      <c r="F67" s="7">
        <f>SQRT(IRS_returns_2015_25[[#This Row],[  σ2]])</f>
        <v>2.3515967980387744</v>
      </c>
    </row>
    <row r="68" spans="1:6" x14ac:dyDescent="0.3">
      <c r="A68" s="2">
        <v>42108</v>
      </c>
      <c r="B68" s="1">
        <v>1.8960321559298166</v>
      </c>
      <c r="C68" s="1">
        <f>IRS_returns_2015_25[[#This Row],[IRSrtn]]-AVERAGE($B$2:$B$2600)</f>
        <v>1.8902556618632007</v>
      </c>
      <c r="D68" s="1">
        <f>w+a*C67^2+b*D67</f>
        <v>5.6089087036236602</v>
      </c>
      <c r="E68" s="1">
        <f t="shared" si="1"/>
        <v>-2.0996337020403626</v>
      </c>
      <c r="F68" s="7">
        <f>SQRT(IRS_returns_2015_25[[#This Row],[  σ2]])</f>
        <v>2.368313472415267</v>
      </c>
    </row>
    <row r="69" spans="1:6" x14ac:dyDescent="0.3">
      <c r="A69" s="2">
        <v>42109</v>
      </c>
      <c r="B69" s="1">
        <v>-4.3045236263824282</v>
      </c>
      <c r="C69" s="1">
        <f>IRS_returns_2015_25[[#This Row],[IRSrtn]]-AVERAGE($B$2:$B$2600)</f>
        <v>-4.3103001204490443</v>
      </c>
      <c r="D69" s="1">
        <f>w+a*C68^2+b*D68</f>
        <v>5.9497855407986471</v>
      </c>
      <c r="E69" s="1">
        <f t="shared" si="1"/>
        <v>-3.3719066078152471</v>
      </c>
      <c r="F69" s="7">
        <f>SQRT(IRS_returns_2015_25[[#This Row],[  σ2]])</f>
        <v>2.439218223283568</v>
      </c>
    </row>
    <row r="70" spans="1:6" x14ac:dyDescent="0.3">
      <c r="A70" s="2">
        <v>42110</v>
      </c>
      <c r="B70" s="1">
        <v>-2.8488942825979802</v>
      </c>
      <c r="C70" s="1">
        <f>IRS_returns_2015_25[[#This Row],[IRSrtn]]-AVERAGE($B$2:$B$2600)</f>
        <v>-2.8546707766645958</v>
      </c>
      <c r="D70" s="1">
        <f>w+a*C69^2+b*D69</f>
        <v>9.8328289525420107</v>
      </c>
      <c r="E70" s="1">
        <f t="shared" si="1"/>
        <v>-2.4761864458648253</v>
      </c>
      <c r="F70" s="7">
        <f>SQRT(IRS_returns_2015_25[[#This Row],[  σ2]])</f>
        <v>3.1357341967300116</v>
      </c>
    </row>
    <row r="71" spans="1:6" x14ac:dyDescent="0.3">
      <c r="A71" s="2">
        <v>42111</v>
      </c>
      <c r="B71" s="1">
        <v>-2.6520865630502488</v>
      </c>
      <c r="C71" s="1">
        <f>IRS_returns_2015_25[[#This Row],[IRSrtn]]-AVERAGE($B$2:$B$2600)</f>
        <v>-2.6578630571168644</v>
      </c>
      <c r="D71" s="1">
        <f>w+a*C70^2+b*D70</f>
        <v>9.8766803817909814</v>
      </c>
      <c r="E71" s="1">
        <f t="shared" si="1"/>
        <v>-2.4216487461318752</v>
      </c>
      <c r="F71" s="7">
        <f>SQRT(IRS_returns_2015_25[[#This Row],[  σ2]])</f>
        <v>3.1427186291157185</v>
      </c>
    </row>
    <row r="72" spans="1:6" x14ac:dyDescent="0.3">
      <c r="A72" s="2">
        <v>42114</v>
      </c>
      <c r="B72" s="1">
        <v>2.214911349623927</v>
      </c>
      <c r="C72" s="1">
        <f>IRS_returns_2015_25[[#This Row],[IRSrtn]]-AVERAGE($B$2:$B$2600)</f>
        <v>2.2091348555573114</v>
      </c>
      <c r="D72" s="1">
        <f>w+a*C71^2+b*D71</f>
        <v>9.641535132341243</v>
      </c>
      <c r="E72" s="1">
        <f t="shared" si="1"/>
        <v>-2.3050647918148712</v>
      </c>
      <c r="F72" s="7">
        <f>SQRT(IRS_returns_2015_25[[#This Row],[  σ2]])</f>
        <v>3.1050821458282298</v>
      </c>
    </row>
    <row r="73" spans="1:6" x14ac:dyDescent="0.3">
      <c r="A73" s="2">
        <v>42115</v>
      </c>
      <c r="B73" s="1">
        <v>-0.32912629658108372</v>
      </c>
      <c r="C73" s="1">
        <f>IRS_returns_2015_25[[#This Row],[IRSrtn]]-AVERAGE($B$2:$B$2600)</f>
        <v>-0.33490279064769951</v>
      </c>
      <c r="D73" s="1">
        <f>w+a*C72^2+b*D72</f>
        <v>8.9528738507245258</v>
      </c>
      <c r="E73" s="1">
        <f t="shared" si="1"/>
        <v>-2.0211897275916799</v>
      </c>
      <c r="F73" s="7">
        <f>SQRT(IRS_returns_2015_25[[#This Row],[  σ2]])</f>
        <v>2.9921353329561358</v>
      </c>
    </row>
    <row r="74" spans="1:6" x14ac:dyDescent="0.3">
      <c r="A74" s="2">
        <v>42116</v>
      </c>
      <c r="B74" s="1">
        <v>0.92974689522282716</v>
      </c>
      <c r="C74" s="1">
        <f>IRS_returns_2015_25[[#This Row],[IRSrtn]]-AVERAGE($B$2:$B$2600)</f>
        <v>0.92397040115621132</v>
      </c>
      <c r="D74" s="1">
        <f>w+a*C73^2+b*D73</f>
        <v>7.3326699381533107</v>
      </c>
      <c r="E74" s="1">
        <f t="shared" si="1"/>
        <v>-1.9733219187895941</v>
      </c>
      <c r="F74" s="7">
        <f>SQRT(IRS_returns_2015_25[[#This Row],[  σ2]])</f>
        <v>2.7078903113223238</v>
      </c>
    </row>
    <row r="75" spans="1:6" x14ac:dyDescent="0.3">
      <c r="A75" s="2">
        <v>42117</v>
      </c>
      <c r="B75" s="1">
        <v>1.8339077615266319</v>
      </c>
      <c r="C75" s="1">
        <f>IRS_returns_2015_25[[#This Row],[IRSrtn]]-AVERAGE($B$2:$B$2600)</f>
        <v>1.8281312674600161</v>
      </c>
      <c r="D75" s="1">
        <f>w+a*C74^2+b*D74</f>
        <v>6.4347543837988361</v>
      </c>
      <c r="E75" s="1">
        <f t="shared" si="1"/>
        <v>-2.1094839080877832</v>
      </c>
      <c r="F75" s="7">
        <f>SQRT(IRS_returns_2015_25[[#This Row],[  σ2]])</f>
        <v>2.5366817663630643</v>
      </c>
    </row>
    <row r="76" spans="1:6" x14ac:dyDescent="0.3">
      <c r="A76" s="2">
        <v>42118</v>
      </c>
      <c r="B76" s="1">
        <v>-5.344627306023142E-2</v>
      </c>
      <c r="C76" s="1">
        <f>IRS_returns_2015_25[[#This Row],[IRSrtn]]-AVERAGE($B$2:$B$2600)</f>
        <v>-5.9222767126847216E-2</v>
      </c>
      <c r="D76" s="1">
        <f>w+a*C75^2+b*D75</f>
        <v>6.4432810982053415</v>
      </c>
      <c r="E76" s="1">
        <f t="shared" si="1"/>
        <v>-1.8507296520798149</v>
      </c>
      <c r="F76" s="7">
        <f>SQRT(IRS_returns_2015_25[[#This Row],[  σ2]])</f>
        <v>2.5383618926790841</v>
      </c>
    </row>
    <row r="77" spans="1:6" x14ac:dyDescent="0.3">
      <c r="A77" s="2">
        <v>42121</v>
      </c>
      <c r="B77" s="1">
        <v>1.0109070796369579</v>
      </c>
      <c r="C77" s="1">
        <f>IRS_returns_2015_25[[#This Row],[IRSrtn]]-AVERAGE($B$2:$B$2600)</f>
        <v>1.0051305855703421</v>
      </c>
      <c r="D77" s="1">
        <f>w+a*C76^2+b*D76</f>
        <v>5.6355189321814034</v>
      </c>
      <c r="E77" s="1">
        <f t="shared" si="1"/>
        <v>-1.8731188613983842</v>
      </c>
      <c r="F77" s="7">
        <f>SQRT(IRS_returns_2015_25[[#This Row],[  σ2]])</f>
        <v>2.3739247949716948</v>
      </c>
    </row>
    <row r="78" spans="1:6" x14ac:dyDescent="0.3">
      <c r="A78" s="2">
        <v>42122</v>
      </c>
      <c r="B78" s="1">
        <v>-0.79723901146184772</v>
      </c>
      <c r="C78" s="1">
        <f>IRS_returns_2015_25[[#This Row],[IRSrtn]]-AVERAGE($B$2:$B$2600)</f>
        <v>-0.80301550552846357</v>
      </c>
      <c r="D78" s="1">
        <f>w+a*C77^2+b*D77</f>
        <v>5.3430799105252875</v>
      </c>
      <c r="E78" s="1">
        <f t="shared" si="1"/>
        <v>-1.8171825603756968</v>
      </c>
      <c r="F78" s="7">
        <f>SQRT(IRS_returns_2015_25[[#This Row],[  σ2]])</f>
        <v>2.3115103094135852</v>
      </c>
    </row>
    <row r="79" spans="1:6" x14ac:dyDescent="0.3">
      <c r="A79" s="2">
        <v>42123</v>
      </c>
      <c r="B79" s="1">
        <v>-1.1808920235228282</v>
      </c>
      <c r="C79" s="1">
        <f>IRS_returns_2015_25[[#This Row],[IRSrtn]]-AVERAGE($B$2:$B$2600)</f>
        <v>-1.186668517589444</v>
      </c>
      <c r="D79" s="1">
        <f>w+a*C78^2+b*D78</f>
        <v>5.0593556830180182</v>
      </c>
      <c r="E79" s="1">
        <f t="shared" si="1"/>
        <v>-1.8687242597225744</v>
      </c>
      <c r="F79" s="7">
        <f>SQRT(IRS_returns_2015_25[[#This Row],[  σ2]])</f>
        <v>2.2493011543628429</v>
      </c>
    </row>
    <row r="80" spans="1:6" x14ac:dyDescent="0.3">
      <c r="A80" s="2">
        <v>42124</v>
      </c>
      <c r="B80" s="1">
        <v>-2.1835051178517251</v>
      </c>
      <c r="C80" s="1">
        <f>IRS_returns_2015_25[[#This Row],[IRSrtn]]-AVERAGE($B$2:$B$2600)</f>
        <v>-2.1892816119183407</v>
      </c>
      <c r="D80" s="1">
        <f>w+a*C79^2+b*D79</f>
        <v>5.0564653518928129</v>
      </c>
      <c r="E80" s="1">
        <f t="shared" si="1"/>
        <v>-2.2032155038443464</v>
      </c>
      <c r="F80" s="7">
        <f>SQRT(IRS_returns_2015_25[[#This Row],[  σ2]])</f>
        <v>2.248658567211308</v>
      </c>
    </row>
    <row r="81" spans="1:6" x14ac:dyDescent="0.3">
      <c r="A81" s="2">
        <v>42125</v>
      </c>
      <c r="B81" s="1">
        <v>1.0976935940490762</v>
      </c>
      <c r="C81" s="1">
        <f>IRS_returns_2015_25[[#This Row],[IRSrtn]]-AVERAGE($B$2:$B$2600)</f>
        <v>1.0919170999824603</v>
      </c>
      <c r="D81" s="1">
        <f>w+a*C80^2+b*D80</f>
        <v>5.8792400778762275</v>
      </c>
      <c r="E81" s="1">
        <f t="shared" si="1"/>
        <v>-1.9060500001060112</v>
      </c>
      <c r="F81" s="7">
        <f>SQRT(IRS_returns_2015_25[[#This Row],[  σ2]])</f>
        <v>2.4247144322324283</v>
      </c>
    </row>
    <row r="82" spans="1:6" x14ac:dyDescent="0.3">
      <c r="A82" s="2">
        <v>42128</v>
      </c>
      <c r="B82" s="1">
        <v>1.5168320878335084</v>
      </c>
      <c r="C82" s="1">
        <f>IRS_returns_2015_25[[#This Row],[IRSrtn]]-AVERAGE($B$2:$B$2600)</f>
        <v>1.5110555937668926</v>
      </c>
      <c r="D82" s="1">
        <f>w+a*C81^2+b*D81</f>
        <v>5.5496723021487817</v>
      </c>
      <c r="E82" s="1">
        <f t="shared" si="1"/>
        <v>-1.9815218325709729</v>
      </c>
      <c r="F82" s="7">
        <f>SQRT(IRS_returns_2015_25[[#This Row],[  σ2]])</f>
        <v>2.3557742468557512</v>
      </c>
    </row>
    <row r="83" spans="1:6" x14ac:dyDescent="0.3">
      <c r="A83" s="2">
        <v>42129</v>
      </c>
      <c r="B83" s="1">
        <v>1.4411908002330165</v>
      </c>
      <c r="C83" s="1">
        <f>IRS_returns_2015_25[[#This Row],[IRSrtn]]-AVERAGE($B$2:$B$2600)</f>
        <v>1.4354143061664006</v>
      </c>
      <c r="D83" s="1">
        <f>w+a*C82^2+b*D82</f>
        <v>5.5960968984909591</v>
      </c>
      <c r="E83" s="1">
        <f t="shared" si="1"/>
        <v>-1.9640670858346223</v>
      </c>
      <c r="F83" s="7">
        <f>SQRT(IRS_returns_2015_25[[#This Row],[  σ2]])</f>
        <v>2.3656070887810086</v>
      </c>
    </row>
    <row r="84" spans="1:6" x14ac:dyDescent="0.3">
      <c r="A84" s="2">
        <v>42130</v>
      </c>
      <c r="B84" s="1">
        <v>-0.69131934074104784</v>
      </c>
      <c r="C84" s="1">
        <f>IRS_returns_2015_25[[#This Row],[IRSrtn]]-AVERAGE($B$2:$B$2600)</f>
        <v>-0.69709583480766368</v>
      </c>
      <c r="D84" s="1">
        <f>w+a*C83^2+b*D83</f>
        <v>5.5726991402826638</v>
      </c>
      <c r="E84" s="1">
        <f t="shared" si="1"/>
        <v>-1.8214785846641477</v>
      </c>
      <c r="F84" s="7">
        <f>SQRT(IRS_returns_2015_25[[#This Row],[  σ2]])</f>
        <v>2.3606565062038705</v>
      </c>
    </row>
    <row r="85" spans="1:6" x14ac:dyDescent="0.3">
      <c r="A85" s="2">
        <v>42131</v>
      </c>
      <c r="B85" s="1">
        <v>-0.32069467619022518</v>
      </c>
      <c r="C85" s="1">
        <f>IRS_returns_2015_25[[#This Row],[IRSrtn]]-AVERAGE($B$2:$B$2600)</f>
        <v>-0.32647117025684097</v>
      </c>
      <c r="D85" s="1">
        <f>w+a*C84^2+b*D84</f>
        <v>5.1735032136581092</v>
      </c>
      <c r="E85" s="1">
        <f t="shared" si="1"/>
        <v>-1.7510144596539936</v>
      </c>
      <c r="F85" s="7">
        <f>SQRT(IRS_returns_2015_25[[#This Row],[  σ2]])</f>
        <v>2.2745336255281234</v>
      </c>
    </row>
    <row r="86" spans="1:6" x14ac:dyDescent="0.3">
      <c r="A86" s="2">
        <v>42132</v>
      </c>
      <c r="B86" s="1">
        <v>-0.59059945376782608</v>
      </c>
      <c r="C86" s="1">
        <f>IRS_returns_2015_25[[#This Row],[IRSrtn]]-AVERAGE($B$2:$B$2600)</f>
        <v>-0.59637594783444192</v>
      </c>
      <c r="D86" s="1">
        <f>w+a*C85^2+b*D85</f>
        <v>4.8153210374453774</v>
      </c>
      <c r="E86" s="1">
        <f t="shared" si="1"/>
        <v>-1.7417703757427423</v>
      </c>
      <c r="F86" s="7">
        <f>SQRT(IRS_returns_2015_25[[#This Row],[  σ2]])</f>
        <v>2.1943839767564328</v>
      </c>
    </row>
    <row r="87" spans="1:6" x14ac:dyDescent="0.3">
      <c r="A87" s="2">
        <v>42135</v>
      </c>
      <c r="B87" s="1">
        <v>-0.3776530832495073</v>
      </c>
      <c r="C87" s="1">
        <f>IRS_returns_2015_25[[#This Row],[IRSrtn]]-AVERAGE($B$2:$B$2600)</f>
        <v>-0.38342957731612309</v>
      </c>
      <c r="D87" s="1">
        <f>w+a*C86^2+b*D86</f>
        <v>4.6375616668900221</v>
      </c>
      <c r="E87" s="1">
        <f t="shared" si="1"/>
        <v>-1.7018837083358938</v>
      </c>
      <c r="F87" s="7">
        <f>SQRT(IRS_returns_2015_25[[#This Row],[  σ2]])</f>
        <v>2.1534998646134209</v>
      </c>
    </row>
    <row r="88" spans="1:6" x14ac:dyDescent="0.3">
      <c r="A88" s="2">
        <v>42136</v>
      </c>
      <c r="B88" s="1">
        <v>1.1821732583621625</v>
      </c>
      <c r="C88" s="1">
        <f>IRS_returns_2015_25[[#This Row],[IRSrtn]]-AVERAGE($B$2:$B$2600)</f>
        <v>1.1763967642955466</v>
      </c>
      <c r="D88" s="1">
        <f>w+a*C87^2+b*D87</f>
        <v>4.4683877259050631</v>
      </c>
      <c r="E88" s="1">
        <f t="shared" si="1"/>
        <v>-1.8223079188736586</v>
      </c>
      <c r="F88" s="7">
        <f>SQRT(IRS_returns_2015_25[[#This Row],[  σ2]])</f>
        <v>2.1138561270590444</v>
      </c>
    </row>
    <row r="89" spans="1:6" x14ac:dyDescent="0.3">
      <c r="A89" s="2">
        <v>42137</v>
      </c>
      <c r="B89" s="1">
        <v>0.4264434670527173</v>
      </c>
      <c r="C89" s="1">
        <f>IRS_returns_2015_25[[#This Row],[IRSrtn]]-AVERAGE($B$2:$B$2600)</f>
        <v>0.42066697298610151</v>
      </c>
      <c r="D89" s="1">
        <f>w+a*C88^2+b*D88</f>
        <v>4.6571340379489472</v>
      </c>
      <c r="E89" s="1">
        <f t="shared" si="1"/>
        <v>-1.7071375403860622</v>
      </c>
      <c r="F89" s="7">
        <f>SQRT(IRS_returns_2015_25[[#This Row],[  σ2]])</f>
        <v>2.1580393967555245</v>
      </c>
    </row>
    <row r="90" spans="1:6" x14ac:dyDescent="0.3">
      <c r="A90" s="2">
        <v>42138</v>
      </c>
      <c r="B90" s="1">
        <v>-0.15971002408798896</v>
      </c>
      <c r="C90" s="1">
        <f>IRS_returns_2015_25[[#This Row],[IRSrtn]]-AVERAGE($B$2:$B$2600)</f>
        <v>-0.16548651815460474</v>
      </c>
      <c r="D90" s="1">
        <f>w+a*C89^2+b*D89</f>
        <v>4.4887128542344117</v>
      </c>
      <c r="E90" s="1">
        <f t="shared" si="1"/>
        <v>-1.6727720455869763</v>
      </c>
      <c r="F90" s="7">
        <f>SQRT(IRS_returns_2015_25[[#This Row],[  σ2]])</f>
        <v>2.1186582674500416</v>
      </c>
    </row>
    <row r="91" spans="1:6" x14ac:dyDescent="0.3">
      <c r="A91" s="2">
        <v>42139</v>
      </c>
      <c r="B91" s="1">
        <v>-0.15995948811933225</v>
      </c>
      <c r="C91" s="1">
        <f>IRS_returns_2015_25[[#This Row],[IRSrtn]]-AVERAGE($B$2:$B$2600)</f>
        <v>-0.16573598218594804</v>
      </c>
      <c r="D91" s="1">
        <f>w+a*C90^2+b*D90</f>
        <v>4.3401481640363269</v>
      </c>
      <c r="E91" s="1">
        <f t="shared" si="1"/>
        <v>-1.6560572325582119</v>
      </c>
      <c r="F91" s="7">
        <f>SQRT(IRS_returns_2015_25[[#This Row],[  σ2]])</f>
        <v>2.0833022258031422</v>
      </c>
    </row>
    <row r="92" spans="1:6" x14ac:dyDescent="0.3">
      <c r="A92" s="2">
        <v>42142</v>
      </c>
      <c r="B92" s="1">
        <v>-0.16022179511487877</v>
      </c>
      <c r="C92" s="1">
        <f>IRS_returns_2015_25[[#This Row],[IRSrtn]]-AVERAGE($B$2:$B$2600)</f>
        <v>-0.16599828918149456</v>
      </c>
      <c r="D92" s="1">
        <f>w+a*C91^2+b*D91</f>
        <v>4.241266299079296</v>
      </c>
      <c r="E92" s="1">
        <f t="shared" si="1"/>
        <v>-1.6446179643964027</v>
      </c>
      <c r="F92" s="7">
        <f>SQRT(IRS_returns_2015_25[[#This Row],[  σ2]])</f>
        <v>2.0594334898411493</v>
      </c>
    </row>
    <row r="93" spans="1:6" x14ac:dyDescent="0.3">
      <c r="A93" s="2">
        <v>42143</v>
      </c>
      <c r="B93" s="1">
        <v>-1.1287254180926798</v>
      </c>
      <c r="C93" s="1">
        <f>IRS_returns_2015_25[[#This Row],[IRSrtn]]-AVERAGE($B$2:$B$2600)</f>
        <v>-1.1345019121592956</v>
      </c>
      <c r="D93" s="1">
        <f>w+a*C92^2+b*D92</f>
        <v>4.1754601904147313</v>
      </c>
      <c r="E93" s="1">
        <f t="shared" si="1"/>
        <v>-1.7876768978724638</v>
      </c>
      <c r="F93" s="7">
        <f>SQRT(IRS_returns_2015_25[[#This Row],[  σ2]])</f>
        <v>2.0433942816829873</v>
      </c>
    </row>
    <row r="94" spans="1:6" x14ac:dyDescent="0.3">
      <c r="A94" s="2">
        <v>42144</v>
      </c>
      <c r="B94" s="1">
        <v>-0.92315869040389131</v>
      </c>
      <c r="C94" s="1">
        <f>IRS_returns_2015_25[[#This Row],[IRSrtn]]-AVERAGE($B$2:$B$2600)</f>
        <v>-0.92893518447050716</v>
      </c>
      <c r="D94" s="1">
        <f>w+a*C93^2+b*D93</f>
        <v>4.4385383882963465</v>
      </c>
      <c r="E94" s="1">
        <f t="shared" si="1"/>
        <v>-1.7613088390571778</v>
      </c>
      <c r="F94" s="7">
        <f>SQRT(IRS_returns_2015_25[[#This Row],[  σ2]])</f>
        <v>2.1067838969140489</v>
      </c>
    </row>
    <row r="95" spans="1:6" x14ac:dyDescent="0.3">
      <c r="A95" s="2">
        <v>42145</v>
      </c>
      <c r="B95" s="1">
        <v>-1.5393475259033895</v>
      </c>
      <c r="C95" s="1">
        <f>IRS_returns_2015_25[[#This Row],[IRSrtn]]-AVERAGE($B$2:$B$2600)</f>
        <v>-1.5451240199700054</v>
      </c>
      <c r="D95" s="1">
        <f>w+a*C94^2+b*D94</f>
        <v>4.5103240416650099</v>
      </c>
      <c r="E95" s="1">
        <f t="shared" si="1"/>
        <v>-1.9367834231688426</v>
      </c>
      <c r="F95" s="7">
        <f>SQRT(IRS_returns_2015_25[[#This Row],[  σ2]])</f>
        <v>2.1237523494195387</v>
      </c>
    </row>
    <row r="96" spans="1:6" x14ac:dyDescent="0.3">
      <c r="A96" s="2">
        <v>42146</v>
      </c>
      <c r="B96" s="1">
        <v>0.11072887665553033</v>
      </c>
      <c r="C96" s="1">
        <f>IRS_returns_2015_25[[#This Row],[IRSrtn]]-AVERAGE($B$2:$B$2600)</f>
        <v>0.10495238258891454</v>
      </c>
      <c r="D96" s="1">
        <f>w+a*C95^2+b*D95</f>
        <v>4.9295540167464571</v>
      </c>
      <c r="E96" s="1">
        <f t="shared" si="1"/>
        <v>-1.7176800349120556</v>
      </c>
      <c r="F96" s="7">
        <f>SQRT(IRS_returns_2015_25[[#This Row],[  σ2]])</f>
        <v>2.220259898468298</v>
      </c>
    </row>
    <row r="97" spans="1:6" x14ac:dyDescent="0.3">
      <c r="A97" s="2">
        <v>42150</v>
      </c>
      <c r="B97" s="1">
        <v>0.11063756925655532</v>
      </c>
      <c r="C97" s="1">
        <f>IRS_returns_2015_25[[#This Row],[IRSrtn]]-AVERAGE($B$2:$B$2600)</f>
        <v>0.10486107518993953</v>
      </c>
      <c r="D97" s="1">
        <f>w+a*C96^2+b*D96</f>
        <v>4.6296347558424182</v>
      </c>
      <c r="E97" s="1">
        <f t="shared" si="1"/>
        <v>-1.6863650724391235</v>
      </c>
      <c r="F97" s="7">
        <f>SQRT(IRS_returns_2015_25[[#This Row],[  σ2]])</f>
        <v>2.1516586057835521</v>
      </c>
    </row>
    <row r="98" spans="1:6" x14ac:dyDescent="0.3">
      <c r="A98" s="2">
        <v>42151</v>
      </c>
      <c r="B98" s="1">
        <v>-0.27679877307562606</v>
      </c>
      <c r="C98" s="1">
        <f>IRS_returns_2015_25[[#This Row],[IRSrtn]]-AVERAGE($B$2:$B$2600)</f>
        <v>-0.28257526714224185</v>
      </c>
      <c r="D98" s="1">
        <f>w+a*C97^2+b*D97</f>
        <v>4.4299688234854928</v>
      </c>
      <c r="E98" s="1">
        <f t="shared" si="1"/>
        <v>-1.6721471476850092</v>
      </c>
      <c r="F98" s="7">
        <f>SQRT(IRS_returns_2015_25[[#This Row],[  σ2]])</f>
        <v>2.1047491117673607</v>
      </c>
    </row>
    <row r="99" spans="1:6" x14ac:dyDescent="0.3">
      <c r="A99" s="2">
        <v>42152</v>
      </c>
      <c r="B99" s="1">
        <v>-0.22196192285419691</v>
      </c>
      <c r="C99" s="1">
        <f>IRS_returns_2015_25[[#This Row],[IRSrtn]]-AVERAGE($B$2:$B$2600)</f>
        <v>-0.2277384169208127</v>
      </c>
      <c r="D99" s="1">
        <f>w+a*C98^2+b*D98</f>
        <v>4.3138238772928563</v>
      </c>
      <c r="E99" s="1">
        <f t="shared" si="1"/>
        <v>-1.6558623569968596</v>
      </c>
      <c r="F99" s="7">
        <f>SQRT(IRS_returns_2015_25[[#This Row],[  σ2]])</f>
        <v>2.0769746934647171</v>
      </c>
    </row>
    <row r="100" spans="1:6" x14ac:dyDescent="0.3">
      <c r="A100" s="2">
        <v>42153</v>
      </c>
      <c r="B100" s="1">
        <v>0.16652386686426546</v>
      </c>
      <c r="C100" s="1">
        <f>IRS_returns_2015_25[[#This Row],[IRSrtn]]-AVERAGE($B$2:$B$2600)</f>
        <v>0.16074737279764967</v>
      </c>
      <c r="D100" s="1">
        <f>w+a*C99^2+b*D99</f>
        <v>4.2296859515195697</v>
      </c>
      <c r="E100" s="1">
        <f t="shared" si="1"/>
        <v>-1.6430569737392726</v>
      </c>
      <c r="F100" s="7">
        <f>SQRT(IRS_returns_2015_25[[#This Row],[  σ2]])</f>
        <v>2.0566200309049725</v>
      </c>
    </row>
    <row r="101" spans="1:6" x14ac:dyDescent="0.3">
      <c r="A101" s="2">
        <v>42156</v>
      </c>
      <c r="B101" s="1">
        <v>-0.44470857884868487</v>
      </c>
      <c r="C101" s="1">
        <f>IRS_returns_2015_25[[#This Row],[IRSrtn]]-AVERAGE($B$2:$B$2600)</f>
        <v>-0.45048507291530065</v>
      </c>
      <c r="D101" s="1">
        <f>w+a*C100^2+b*D100</f>
        <v>4.1673329261422802</v>
      </c>
      <c r="E101" s="1">
        <f t="shared" si="1"/>
        <v>-1.6569251784965005</v>
      </c>
      <c r="F101" s="7">
        <f>SQRT(IRS_returns_2015_25[[#This Row],[  σ2]])</f>
        <v>2.0414046453709958</v>
      </c>
    </row>
    <row r="102" spans="1:6" x14ac:dyDescent="0.3">
      <c r="A102" s="2">
        <v>42157</v>
      </c>
      <c r="B102" s="1">
        <v>3.8792206086922576</v>
      </c>
      <c r="C102" s="1">
        <f>IRS_returns_2015_25[[#This Row],[IRSrtn]]-AVERAGE($B$2:$B$2600)</f>
        <v>3.873444114625642</v>
      </c>
      <c r="D102" s="1">
        <f>w+a*C101^2+b*D101</f>
        <v>4.1689731383559536</v>
      </c>
      <c r="E102" s="1">
        <f t="shared" si="1"/>
        <v>-3.4322056466638173</v>
      </c>
      <c r="F102" s="7">
        <f>SQRT(IRS_returns_2015_25[[#This Row],[  σ2]])</f>
        <v>2.0418063420304957</v>
      </c>
    </row>
    <row r="103" spans="1:6" x14ac:dyDescent="0.3">
      <c r="A103" s="2">
        <v>42159</v>
      </c>
      <c r="B103" s="1">
        <v>2.1209763614963073</v>
      </c>
      <c r="C103" s="1">
        <f>IRS_returns_2015_25[[#This Row],[IRSrtn]]-AVERAGE($B$2:$B$2600)</f>
        <v>2.1151998674296917</v>
      </c>
      <c r="D103" s="1">
        <f>w+a*C102^2+b*D102</f>
        <v>7.7762357430334834</v>
      </c>
      <c r="E103" s="1">
        <f t="shared" si="1"/>
        <v>-2.2321505765238925</v>
      </c>
      <c r="F103" s="7">
        <f>SQRT(IRS_returns_2015_25[[#This Row],[  σ2]])</f>
        <v>2.788590278802801</v>
      </c>
    </row>
    <row r="104" spans="1:6" x14ac:dyDescent="0.3">
      <c r="A104" s="2">
        <v>42160</v>
      </c>
      <c r="B104" s="1">
        <v>-1.7999385335169649</v>
      </c>
      <c r="C104" s="1">
        <f>IRS_returns_2015_25[[#This Row],[IRSrtn]]-AVERAGE($B$2:$B$2600)</f>
        <v>-1.8057150275835807</v>
      </c>
      <c r="D104" s="1">
        <f>w+a*C103^2+b*D103</f>
        <v>7.6121407933308021</v>
      </c>
      <c r="E104" s="1">
        <f t="shared" si="1"/>
        <v>-2.1479822255412238</v>
      </c>
      <c r="F104" s="7">
        <f>SQRT(IRS_returns_2015_25[[#This Row],[  σ2]])</f>
        <v>2.7590108360299714</v>
      </c>
    </row>
    <row r="105" spans="1:6" x14ac:dyDescent="0.3">
      <c r="A105" s="2">
        <v>42163</v>
      </c>
      <c r="B105" s="1">
        <v>-0.64309750464657256</v>
      </c>
      <c r="C105" s="1">
        <f>IRS_returns_2015_25[[#This Row],[IRSrtn]]-AVERAGE($B$2:$B$2600)</f>
        <v>-0.6488739987131884</v>
      </c>
      <c r="D105" s="1">
        <f>w+a*C104^2+b*D104</f>
        <v>7.2072398883821469</v>
      </c>
      <c r="E105" s="1">
        <f t="shared" si="1"/>
        <v>-1.9356909054017439</v>
      </c>
      <c r="F105" s="7">
        <f>SQRT(IRS_returns_2015_25[[#This Row],[  σ2]])</f>
        <v>2.6846303075809428</v>
      </c>
    </row>
    <row r="106" spans="1:6" x14ac:dyDescent="0.3">
      <c r="A106" s="2">
        <v>42164</v>
      </c>
      <c r="B106" s="1">
        <v>2.075085925256781</v>
      </c>
      <c r="C106" s="1">
        <f>IRS_returns_2015_25[[#This Row],[IRSrtn]]-AVERAGE($B$2:$B$2600)</f>
        <v>2.0693094311901654</v>
      </c>
      <c r="D106" s="1">
        <f>w+a*C105^2+b*D105</f>
        <v>6.2458301867278863</v>
      </c>
      <c r="E106" s="1">
        <f t="shared" si="1"/>
        <v>-2.177687591045455</v>
      </c>
      <c r="F106" s="7">
        <f>SQRT(IRS_returns_2015_25[[#This Row],[  σ2]])</f>
        <v>2.499165898200415</v>
      </c>
    </row>
    <row r="107" spans="1:6" x14ac:dyDescent="0.3">
      <c r="A107" s="2">
        <v>42165</v>
      </c>
      <c r="B107" s="1">
        <v>-0.36929706782786731</v>
      </c>
      <c r="C107" s="1">
        <f>IRS_returns_2015_25[[#This Row],[IRSrtn]]-AVERAGE($B$2:$B$2600)</f>
        <v>-0.3750735618944831</v>
      </c>
      <c r="D107" s="1">
        <f>w+a*C106^2+b*D106</f>
        <v>6.5465364253295597</v>
      </c>
      <c r="E107" s="1">
        <f t="shared" si="1"/>
        <v>-1.8691512195335174</v>
      </c>
      <c r="F107" s="7">
        <f>SQRT(IRS_returns_2015_25[[#This Row],[  σ2]])</f>
        <v>2.5586200236317937</v>
      </c>
    </row>
    <row r="108" spans="1:6" x14ac:dyDescent="0.3">
      <c r="A108" s="2">
        <v>42166</v>
      </c>
      <c r="B108" s="1">
        <v>-0.90256712888407975</v>
      </c>
      <c r="C108" s="1">
        <f>IRS_returns_2015_25[[#This Row],[IRSrtn]]-AVERAGE($B$2:$B$2600)</f>
        <v>-0.9083436229506956</v>
      </c>
      <c r="D108" s="1">
        <f>w+a*C107^2+b*D107</f>
        <v>5.7376798600997176</v>
      </c>
      <c r="E108" s="1">
        <f t="shared" si="1"/>
        <v>-1.8643668464271654</v>
      </c>
      <c r="F108" s="7">
        <f>SQRT(IRS_returns_2015_25[[#This Row],[  σ2]])</f>
        <v>2.3953454573609454</v>
      </c>
    </row>
    <row r="109" spans="1:6" x14ac:dyDescent="0.3">
      <c r="A109" s="2">
        <v>42167</v>
      </c>
      <c r="B109" s="1">
        <v>-1.4504695574975912</v>
      </c>
      <c r="C109" s="1">
        <f>IRS_returns_2015_25[[#This Row],[IRSrtn]]-AVERAGE($B$2:$B$2600)</f>
        <v>-1.4562460515642071</v>
      </c>
      <c r="D109" s="1">
        <f>w+a*C108^2+b*D108</f>
        <v>5.365966367257835</v>
      </c>
      <c r="E109" s="1">
        <f t="shared" si="1"/>
        <v>-1.9565788862517182</v>
      </c>
      <c r="F109" s="7">
        <f>SQRT(IRS_returns_2015_25[[#This Row],[  σ2]])</f>
        <v>2.316455561252543</v>
      </c>
    </row>
    <row r="110" spans="1:6" x14ac:dyDescent="0.3">
      <c r="A110" s="2">
        <v>42170</v>
      </c>
      <c r="B110" s="1">
        <v>-1.526757163419612</v>
      </c>
      <c r="C110" s="1">
        <f>IRS_returns_2015_25[[#This Row],[IRSrtn]]-AVERAGE($B$2:$B$2600)</f>
        <v>-1.5325336574862278</v>
      </c>
      <c r="D110" s="1">
        <f>w+a*C109^2+b*D109</f>
        <v>5.4341744551416644</v>
      </c>
      <c r="E110" s="1">
        <f t="shared" si="1"/>
        <v>-1.9813931882155373</v>
      </c>
      <c r="F110" s="7">
        <f>SQRT(IRS_returns_2015_25[[#This Row],[  σ2]])</f>
        <v>2.3311315825456238</v>
      </c>
    </row>
    <row r="111" spans="1:6" x14ac:dyDescent="0.3">
      <c r="A111" s="2">
        <v>42171</v>
      </c>
      <c r="B111" s="1">
        <v>-1.1049712276682389</v>
      </c>
      <c r="C111" s="1">
        <f>IRS_returns_2015_25[[#This Row],[IRSrtn]]-AVERAGE($B$2:$B$2600)</f>
        <v>-1.1107477217348547</v>
      </c>
      <c r="D111" s="1">
        <f>w+a*C110^2+b*D110</f>
        <v>5.5351355351725173</v>
      </c>
      <c r="E111" s="1">
        <f t="shared" si="1"/>
        <v>-1.8859446437087923</v>
      </c>
      <c r="F111" s="7">
        <f>SQRT(IRS_returns_2015_25[[#This Row],[  σ2]])</f>
        <v>2.3526868757173185</v>
      </c>
    </row>
    <row r="112" spans="1:6" x14ac:dyDescent="0.3">
      <c r="A112" s="2">
        <v>42172</v>
      </c>
      <c r="B112" s="1">
        <v>-2.1904870604917193</v>
      </c>
      <c r="C112" s="1">
        <f>IRS_returns_2015_25[[#This Row],[IRSrtn]]-AVERAGE($B$2:$B$2600)</f>
        <v>-2.1962635545583349</v>
      </c>
      <c r="D112" s="1">
        <f>w+a*C111^2+b*D111</f>
        <v>5.3307021519446653</v>
      </c>
      <c r="E112" s="1">
        <f t="shared" si="1"/>
        <v>-2.2081132473248868</v>
      </c>
      <c r="F112" s="7">
        <f>SQRT(IRS_returns_2015_25[[#This Row],[  σ2]])</f>
        <v>2.3088313389991626</v>
      </c>
    </row>
    <row r="113" spans="1:6" x14ac:dyDescent="0.3">
      <c r="A113" s="2">
        <v>42173</v>
      </c>
      <c r="B113" s="1">
        <v>0.39672081845401053</v>
      </c>
      <c r="C113" s="1">
        <f>IRS_returns_2015_25[[#This Row],[IRSrtn]]-AVERAGE($B$2:$B$2600)</f>
        <v>0.39094432438739474</v>
      </c>
      <c r="D113" s="1">
        <f>w+a*C112^2+b*D112</f>
        <v>6.0692645635801394</v>
      </c>
      <c r="E113" s="1">
        <f t="shared" si="1"/>
        <v>-1.8331483549912442</v>
      </c>
      <c r="F113" s="7">
        <f>SQRT(IRS_returns_2015_25[[#This Row],[  σ2]])</f>
        <v>2.4635877422125927</v>
      </c>
    </row>
    <row r="114" spans="1:6" x14ac:dyDescent="0.3">
      <c r="A114" s="2">
        <v>42174</v>
      </c>
      <c r="B114" s="1">
        <v>0.84482952928652821</v>
      </c>
      <c r="C114" s="1">
        <f>IRS_returns_2015_25[[#This Row],[IRSrtn]]-AVERAGE($B$2:$B$2600)</f>
        <v>0.83905303521991237</v>
      </c>
      <c r="D114" s="1">
        <f>w+a*C113^2+b*D113</f>
        <v>5.422914125329136</v>
      </c>
      <c r="E114" s="1">
        <f t="shared" si="1"/>
        <v>-1.8291658710458136</v>
      </c>
      <c r="F114" s="7">
        <f>SQRT(IRS_returns_2015_25[[#This Row],[  σ2]])</f>
        <v>2.3287151232662908</v>
      </c>
    </row>
    <row r="115" spans="1:6" x14ac:dyDescent="0.3">
      <c r="A115" s="2">
        <v>42177</v>
      </c>
      <c r="B115" s="1">
        <v>7.6109042747701139</v>
      </c>
      <c r="C115" s="1">
        <f>IRS_returns_2015_25[[#This Row],[IRSrtn]]-AVERAGE($B$2:$B$2600)</f>
        <v>7.6051277807034978</v>
      </c>
      <c r="D115" s="1">
        <f>w+a*C114^2+b*D114</f>
        <v>5.1269208956761263</v>
      </c>
      <c r="E115" s="1">
        <f t="shared" si="1"/>
        <v>-7.3768056525608383</v>
      </c>
      <c r="F115" s="7">
        <f>SQRT(IRS_returns_2015_25[[#This Row],[  σ2]])</f>
        <v>2.2642704996700651</v>
      </c>
    </row>
    <row r="116" spans="1:6" x14ac:dyDescent="0.3">
      <c r="A116" s="2">
        <v>42178</v>
      </c>
      <c r="B116" s="1">
        <v>-0.6256620251265943</v>
      </c>
      <c r="C116" s="1">
        <f>IRS_returns_2015_25[[#This Row],[IRSrtn]]-AVERAGE($B$2:$B$2600)</f>
        <v>-0.63143851919321015</v>
      </c>
      <c r="D116" s="1">
        <f>w+a*C115^2+b*D115</f>
        <v>18.85054904783653</v>
      </c>
      <c r="E116" s="1">
        <f t="shared" si="1"/>
        <v>-2.3977852296810536</v>
      </c>
      <c r="F116" s="7">
        <f>SQRT(IRS_returns_2015_25[[#This Row],[  σ2]])</f>
        <v>4.3417218989516737</v>
      </c>
    </row>
    <row r="117" spans="1:6" x14ac:dyDescent="0.3">
      <c r="A117" s="2">
        <v>42179</v>
      </c>
      <c r="B117" s="1">
        <v>-2.1676796524746411</v>
      </c>
      <c r="C117" s="1">
        <f>IRS_returns_2015_25[[#This Row],[IRSrtn]]-AVERAGE($B$2:$B$2600)</f>
        <v>-2.1734561465412567</v>
      </c>
      <c r="D117" s="1">
        <f>w+a*C116^2+b*D116</f>
        <v>13.991536732233882</v>
      </c>
      <c r="E117" s="1">
        <f t="shared" si="1"/>
        <v>-2.4069780271668857</v>
      </c>
      <c r="F117" s="7">
        <f>SQRT(IRS_returns_2015_25[[#This Row],[  σ2]])</f>
        <v>3.7405262640748669</v>
      </c>
    </row>
    <row r="118" spans="1:6" x14ac:dyDescent="0.3">
      <c r="A118" s="2">
        <v>42180</v>
      </c>
      <c r="B118" s="1">
        <v>0.9574608065767265</v>
      </c>
      <c r="C118" s="1">
        <f>IRS_returns_2015_25[[#This Row],[IRSrtn]]-AVERAGE($B$2:$B$2600)</f>
        <v>0.95168431251011065</v>
      </c>
      <c r="D118" s="1">
        <f>w+a*C117^2+b*D117</f>
        <v>11.810644276590434</v>
      </c>
      <c r="E118" s="1">
        <f t="shared" si="1"/>
        <v>-2.1917817840899572</v>
      </c>
      <c r="F118" s="7">
        <f>SQRT(IRS_returns_2015_25[[#This Row],[  σ2]])</f>
        <v>3.4366617925816376</v>
      </c>
    </row>
    <row r="119" spans="1:6" x14ac:dyDescent="0.3">
      <c r="A119" s="2">
        <v>42181</v>
      </c>
      <c r="B119" s="1">
        <v>-0.7438887424089824</v>
      </c>
      <c r="C119" s="1">
        <f>IRS_returns_2015_25[[#This Row],[IRSrtn]]-AVERAGE($B$2:$B$2600)</f>
        <v>-0.74966523647559824</v>
      </c>
      <c r="D119" s="1">
        <f>w+a*C118^2+b*D118</f>
        <v>9.4284820788483152</v>
      </c>
      <c r="E119" s="1">
        <f t="shared" si="1"/>
        <v>-2.0706092963352916</v>
      </c>
      <c r="F119" s="7">
        <f>SQRT(IRS_returns_2015_25[[#This Row],[  σ2]])</f>
        <v>3.0705833450418365</v>
      </c>
    </row>
    <row r="120" spans="1:6" x14ac:dyDescent="0.3">
      <c r="A120" s="2">
        <v>42184</v>
      </c>
      <c r="B120" s="1">
        <v>-3.5834372526556191</v>
      </c>
      <c r="C120" s="1">
        <f>IRS_returns_2015_25[[#This Row],[IRSrtn]]-AVERAGE($B$2:$B$2600)</f>
        <v>-3.5892137467222347</v>
      </c>
      <c r="D120" s="1">
        <f>w+a*C119^2+b*D119</f>
        <v>7.7588932306275709</v>
      </c>
      <c r="E120" s="1">
        <f t="shared" si="1"/>
        <v>-2.7735318969898777</v>
      </c>
      <c r="F120" s="7">
        <f>SQRT(IRS_returns_2015_25[[#This Row],[  σ2]])</f>
        <v>2.7854789948279222</v>
      </c>
    </row>
    <row r="121" spans="1:6" x14ac:dyDescent="0.3">
      <c r="A121" s="2">
        <v>42185</v>
      </c>
      <c r="B121" s="1">
        <v>-0.77694540791424238</v>
      </c>
      <c r="C121" s="1">
        <f>IRS_returns_2015_25[[#This Row],[IRSrtn]]-AVERAGE($B$2:$B$2600)</f>
        <v>-0.78272190198085823</v>
      </c>
      <c r="D121" s="1">
        <f>w+a*C120^2+b*D120</f>
        <v>9.649296614924797</v>
      </c>
      <c r="E121" s="1">
        <f t="shared" si="1"/>
        <v>-2.0841270672783718</v>
      </c>
      <c r="F121" s="7">
        <f>SQRT(IRS_returns_2015_25[[#This Row],[  σ2]])</f>
        <v>3.1063316975050808</v>
      </c>
    </row>
    <row r="122" spans="1:6" x14ac:dyDescent="0.3">
      <c r="A122" s="2">
        <v>42186</v>
      </c>
      <c r="B122" s="1">
        <v>-0.27892294262610307</v>
      </c>
      <c r="C122" s="1">
        <f>IRS_returns_2015_25[[#This Row],[IRSrtn]]-AVERAGE($B$2:$B$2600)</f>
        <v>-0.28469943669271885</v>
      </c>
      <c r="D122" s="1">
        <f>w+a*C121^2+b*D121</f>
        <v>7.918235385271915</v>
      </c>
      <c r="E122" s="1">
        <f t="shared" si="1"/>
        <v>-1.9586408925013103</v>
      </c>
      <c r="F122" s="7">
        <f>SQRT(IRS_returns_2015_25[[#This Row],[  σ2]])</f>
        <v>2.8139359241588844</v>
      </c>
    </row>
    <row r="123" spans="1:6" x14ac:dyDescent="0.3">
      <c r="A123" s="2">
        <v>42187</v>
      </c>
      <c r="B123" s="1">
        <v>2.5373716125292045</v>
      </c>
      <c r="C123" s="1">
        <f>IRS_returns_2015_25[[#This Row],[IRSrtn]]-AVERAGE($B$2:$B$2600)</f>
        <v>2.5315951184625889</v>
      </c>
      <c r="D123" s="1">
        <f>w+a*C122^2+b*D122</f>
        <v>6.6363148229632092</v>
      </c>
      <c r="E123" s="1">
        <f t="shared" si="1"/>
        <v>-2.3480883837208997</v>
      </c>
      <c r="F123" s="7">
        <f>SQRT(IRS_returns_2015_25[[#This Row],[  σ2]])</f>
        <v>2.5761045830795011</v>
      </c>
    </row>
    <row r="124" spans="1:6" x14ac:dyDescent="0.3">
      <c r="A124" s="2">
        <v>42191</v>
      </c>
      <c r="B124" s="1">
        <v>-3.6609853453203556</v>
      </c>
      <c r="C124" s="1">
        <f>IRS_returns_2015_25[[#This Row],[IRSrtn]]-AVERAGE($B$2:$B$2600)</f>
        <v>-3.6667618393869712</v>
      </c>
      <c r="D124" s="1">
        <f>w+a*C123^2+b*D123</f>
        <v>7.3247151423255996</v>
      </c>
      <c r="E124" s="1">
        <f t="shared" si="1"/>
        <v>-2.832358517089371</v>
      </c>
      <c r="F124" s="7">
        <f>SQRT(IRS_returns_2015_25[[#This Row],[  σ2]])</f>
        <v>2.7064210947902398</v>
      </c>
    </row>
    <row r="125" spans="1:6" x14ac:dyDescent="0.3">
      <c r="A125" s="2">
        <v>42192</v>
      </c>
      <c r="B125" s="1">
        <v>-1.4225008454811228</v>
      </c>
      <c r="C125" s="1">
        <f>IRS_returns_2015_25[[#This Row],[IRSrtn]]-AVERAGE($B$2:$B$2600)</f>
        <v>-1.4282773395477386</v>
      </c>
      <c r="D125" s="1">
        <f>w+a*C124^2+b*D124</f>
        <v>9.4973555787675892</v>
      </c>
      <c r="E125" s="1">
        <f t="shared" si="1"/>
        <v>-2.1518422943738438</v>
      </c>
      <c r="F125" s="7">
        <f>SQRT(IRS_returns_2015_25[[#This Row],[  σ2]])</f>
        <v>3.0817779898570872</v>
      </c>
    </row>
    <row r="126" spans="1:6" x14ac:dyDescent="0.3">
      <c r="A126" s="2">
        <v>42193</v>
      </c>
      <c r="B126" s="1">
        <v>-3.5582473186409391</v>
      </c>
      <c r="C126" s="1">
        <f>IRS_returns_2015_25[[#This Row],[IRSrtn]]-AVERAGE($B$2:$B$2600)</f>
        <v>-3.5640238127075548</v>
      </c>
      <c r="D126" s="1">
        <f>w+a*C125^2+b*D125</f>
        <v>8.1648525153008222</v>
      </c>
      <c r="E126" s="1">
        <f t="shared" si="1"/>
        <v>-2.746720398997577</v>
      </c>
      <c r="F126" s="7">
        <f>SQRT(IRS_returns_2015_25[[#This Row],[  σ2]])</f>
        <v>2.8574206052488704</v>
      </c>
    </row>
    <row r="127" spans="1:6" x14ac:dyDescent="0.3">
      <c r="A127" s="2">
        <v>42194</v>
      </c>
      <c r="B127" s="1">
        <v>4.1296871468553764</v>
      </c>
      <c r="C127" s="1">
        <f>IRS_returns_2015_25[[#This Row],[IRSrtn]]-AVERAGE($B$2:$B$2600)</f>
        <v>4.1239106527887603</v>
      </c>
      <c r="D127" s="1">
        <f>w+a*C126^2+b*D126</f>
        <v>9.8756473456472236</v>
      </c>
      <c r="E127" s="1">
        <f t="shared" si="1"/>
        <v>-2.9250136691882536</v>
      </c>
      <c r="F127" s="7">
        <f>SQRT(IRS_returns_2015_25[[#This Row],[  σ2]])</f>
        <v>3.1425542709151775</v>
      </c>
    </row>
    <row r="128" spans="1:6" x14ac:dyDescent="0.3">
      <c r="A128" s="2">
        <v>42195</v>
      </c>
      <c r="B128" s="1">
        <v>1.245768610813025</v>
      </c>
      <c r="C128" s="1">
        <f>IRS_returns_2015_25[[#This Row],[IRSrtn]]-AVERAGE($B$2:$B$2600)</f>
        <v>1.2399921167464092</v>
      </c>
      <c r="D128" s="1">
        <f>w+a*C127^2+b*D127</f>
        <v>12.063311624878169</v>
      </c>
      <c r="E128" s="1">
        <f t="shared" si="1"/>
        <v>-2.227752524488849</v>
      </c>
      <c r="F128" s="7">
        <f>SQRT(IRS_returns_2015_25[[#This Row],[  σ2]])</f>
        <v>3.4732278394712561</v>
      </c>
    </row>
    <row r="129" spans="1:6" x14ac:dyDescent="0.3">
      <c r="A129" s="2">
        <v>42198</v>
      </c>
      <c r="B129" s="1">
        <v>1.1192058876085653</v>
      </c>
      <c r="C129" s="1">
        <f>IRS_returns_2015_25[[#This Row],[IRSrtn]]-AVERAGE($B$2:$B$2600)</f>
        <v>1.1134293935419495</v>
      </c>
      <c r="D129" s="1">
        <f>w+a*C128^2+b*D128</f>
        <v>9.7506437425122101</v>
      </c>
      <c r="E129" s="1">
        <f t="shared" si="1"/>
        <v>-2.1211766315240173</v>
      </c>
      <c r="F129" s="7">
        <f>SQRT(IRS_returns_2015_25[[#This Row],[  σ2]])</f>
        <v>3.1226020787977791</v>
      </c>
    </row>
    <row r="130" spans="1:6" x14ac:dyDescent="0.3">
      <c r="A130" s="2">
        <v>42199</v>
      </c>
      <c r="B130" s="1">
        <v>0.55493103292003632</v>
      </c>
      <c r="C130" s="1">
        <f>IRS_returns_2015_25[[#This Row],[IRSrtn]]-AVERAGE($B$2:$B$2600)</f>
        <v>0.54915453885342047</v>
      </c>
      <c r="D130" s="1">
        <f>w+a*C129^2+b*D129</f>
        <v>8.1384896729502945</v>
      </c>
      <c r="E130" s="1">
        <f t="shared" ref="E130:E193" si="2">-0.5*(LN(2*PI())+LN(D130)+C130^2/D130)</f>
        <v>-1.9857682795594707</v>
      </c>
      <c r="F130" s="7">
        <f>SQRT(IRS_returns_2015_25[[#This Row],[  σ2]])</f>
        <v>2.852803826580141</v>
      </c>
    </row>
    <row r="131" spans="1:6" x14ac:dyDescent="0.3">
      <c r="A131" s="2">
        <v>42200</v>
      </c>
      <c r="B131" s="1">
        <v>0.66188514940539456</v>
      </c>
      <c r="C131" s="1">
        <f>IRS_returns_2015_25[[#This Row],[IRSrtn]]-AVERAGE($B$2:$B$2600)</f>
        <v>0.65610865533877871</v>
      </c>
      <c r="D131" s="1">
        <f>w+a*C130^2+b*D130</f>
        <v>6.836670684471863</v>
      </c>
      <c r="E131" s="1">
        <f t="shared" si="2"/>
        <v>-1.9115720244321852</v>
      </c>
      <c r="F131" s="7">
        <f>SQRT(IRS_returns_2015_25[[#This Row],[  σ2]])</f>
        <v>2.6147027908486775</v>
      </c>
    </row>
    <row r="132" spans="1:6" x14ac:dyDescent="0.3">
      <c r="A132" s="2">
        <v>42201</v>
      </c>
      <c r="B132" s="1">
        <v>1.6358085824763613</v>
      </c>
      <c r="C132" s="1">
        <f>IRS_returns_2015_25[[#This Row],[IRSrtn]]-AVERAGE($B$2:$B$2600)</f>
        <v>1.6300320884097454</v>
      </c>
      <c r="D132" s="1">
        <f>w+a*C131^2+b*D131</f>
        <v>6.0014363964159045</v>
      </c>
      <c r="E132" s="1">
        <f t="shared" si="2"/>
        <v>-2.0363020095418882</v>
      </c>
      <c r="F132" s="7">
        <f>SQRT(IRS_returns_2015_25[[#This Row],[  σ2]])</f>
        <v>2.4497829284277217</v>
      </c>
    </row>
    <row r="133" spans="1:6" x14ac:dyDescent="0.3">
      <c r="A133" s="2">
        <v>42202</v>
      </c>
      <c r="B133" s="1">
        <v>0.27004694452945621</v>
      </c>
      <c r="C133" s="1">
        <f>IRS_returns_2015_25[[#This Row],[IRSrtn]]-AVERAGE($B$2:$B$2600)</f>
        <v>0.26427045046284042</v>
      </c>
      <c r="D133" s="1">
        <f>w+a*C132^2+b*D132</f>
        <v>5.9878995264789392</v>
      </c>
      <c r="E133" s="1">
        <f t="shared" si="2"/>
        <v>-1.8196405437445566</v>
      </c>
      <c r="F133" s="7">
        <f>SQRT(IRS_returns_2015_25[[#This Row],[  σ2]])</f>
        <v>2.4470184973716358</v>
      </c>
    </row>
    <row r="134" spans="1:6" x14ac:dyDescent="0.3">
      <c r="A134" s="2">
        <v>42205</v>
      </c>
      <c r="B134" s="1">
        <v>-4.6365851904861533</v>
      </c>
      <c r="C134" s="1">
        <f>IRS_returns_2015_25[[#This Row],[IRSrtn]]-AVERAGE($B$2:$B$2600)</f>
        <v>-4.6423616845527693</v>
      </c>
      <c r="D134" s="1">
        <f>w+a*C133^2+b*D133</f>
        <v>5.3485254720688538</v>
      </c>
      <c r="E134" s="1">
        <f t="shared" si="2"/>
        <v>-3.7720652052199521</v>
      </c>
      <c r="F134" s="7">
        <f>SQRT(IRS_returns_2015_25[[#This Row],[  σ2]])</f>
        <v>2.3126879322703386</v>
      </c>
    </row>
    <row r="135" spans="1:6" x14ac:dyDescent="0.3">
      <c r="A135" s="2">
        <v>42206</v>
      </c>
      <c r="B135" s="1">
        <v>0.22575154891613103</v>
      </c>
      <c r="C135" s="1">
        <f>IRS_returns_2015_25[[#This Row],[IRSrtn]]-AVERAGE($B$2:$B$2600)</f>
        <v>0.21997505484951524</v>
      </c>
      <c r="D135" s="1">
        <f>w+a*C134^2+b*D134</f>
        <v>10.156890607235001</v>
      </c>
      <c r="E135" s="1">
        <f t="shared" si="2"/>
        <v>-2.0803967882230956</v>
      </c>
      <c r="F135" s="7">
        <f>SQRT(IRS_returns_2015_25[[#This Row],[  σ2]])</f>
        <v>3.1869877011427263</v>
      </c>
    </row>
    <row r="136" spans="1:6" x14ac:dyDescent="0.3">
      <c r="A136" s="2">
        <v>42207</v>
      </c>
      <c r="B136" s="1">
        <v>-0.67874454027085918</v>
      </c>
      <c r="C136" s="1">
        <f>IRS_returns_2015_25[[#This Row],[IRSrtn]]-AVERAGE($B$2:$B$2600)</f>
        <v>-0.68452103433747502</v>
      </c>
      <c r="D136" s="1">
        <f>w+a*C135^2+b*D135</f>
        <v>8.1186662621491106</v>
      </c>
      <c r="E136" s="1">
        <f t="shared" si="2"/>
        <v>-1.9948789905727944</v>
      </c>
      <c r="F136" s="7">
        <f>SQRT(IRS_returns_2015_25[[#This Row],[  σ2]])</f>
        <v>2.849327335029991</v>
      </c>
    </row>
    <row r="137" spans="1:6" x14ac:dyDescent="0.3">
      <c r="A137" s="2">
        <v>42208</v>
      </c>
      <c r="B137" s="1">
        <v>-2.238260610660614</v>
      </c>
      <c r="C137" s="1">
        <f>IRS_returns_2015_25[[#This Row],[IRSrtn]]-AVERAGE($B$2:$B$2600)</f>
        <v>-2.2440371047272296</v>
      </c>
      <c r="D137" s="1">
        <f>w+a*C136^2+b*D136</f>
        <v>6.8641630152429682</v>
      </c>
      <c r="E137" s="1">
        <f t="shared" si="2"/>
        <v>-2.2489067000998748</v>
      </c>
      <c r="F137" s="7">
        <f>SQRT(IRS_returns_2015_25[[#This Row],[  σ2]])</f>
        <v>2.6199547735109796</v>
      </c>
    </row>
    <row r="138" spans="1:6" x14ac:dyDescent="0.3">
      <c r="A138" s="2">
        <v>42209</v>
      </c>
      <c r="B138" s="1">
        <v>-2.6464300243148831</v>
      </c>
      <c r="C138" s="1">
        <f>IRS_returns_2015_25[[#This Row],[IRSrtn]]-AVERAGE($B$2:$B$2600)</f>
        <v>-2.6522065183814987</v>
      </c>
      <c r="D138" s="1">
        <f>w+a*C137^2+b*D137</f>
        <v>7.1418002533458962</v>
      </c>
      <c r="E138" s="1">
        <f t="shared" si="2"/>
        <v>-2.3943878004048944</v>
      </c>
      <c r="F138" s="7">
        <f>SQRT(IRS_returns_2015_25[[#This Row],[  σ2]])</f>
        <v>2.6724146858872588</v>
      </c>
    </row>
    <row r="139" spans="1:6" x14ac:dyDescent="0.3">
      <c r="A139" s="2">
        <v>42212</v>
      </c>
      <c r="B139" s="1">
        <v>-0.77775421242880505</v>
      </c>
      <c r="C139" s="1">
        <f>IRS_returns_2015_25[[#This Row],[IRSrtn]]-AVERAGE($B$2:$B$2600)</f>
        <v>-0.78353070649542089</v>
      </c>
      <c r="D139" s="1">
        <f>w+a*C138^2+b*D138</f>
        <v>7.8135613077860828</v>
      </c>
      <c r="E139" s="1">
        <f t="shared" si="2"/>
        <v>-1.9861545265324261</v>
      </c>
      <c r="F139" s="7">
        <f>SQRT(IRS_returns_2015_25[[#This Row],[  σ2]])</f>
        <v>2.7952748179358111</v>
      </c>
    </row>
    <row r="140" spans="1:6" x14ac:dyDescent="0.3">
      <c r="A140" s="2">
        <v>42213</v>
      </c>
      <c r="B140" s="1">
        <v>1.1940507893487329</v>
      </c>
      <c r="C140" s="1">
        <f>IRS_returns_2015_25[[#This Row],[IRSrtn]]-AVERAGE($B$2:$B$2600)</f>
        <v>1.188274295282117</v>
      </c>
      <c r="D140" s="1">
        <f>w+a*C139^2+b*D139</f>
        <v>6.6964643636941785</v>
      </c>
      <c r="E140" s="1">
        <f t="shared" si="2"/>
        <v>-1.9751568295866855</v>
      </c>
      <c r="F140" s="7">
        <f>SQRT(IRS_returns_2015_25[[#This Row],[  σ2]])</f>
        <v>2.5877527632473276</v>
      </c>
    </row>
    <row r="141" spans="1:6" x14ac:dyDescent="0.3">
      <c r="A141" s="2">
        <v>42214</v>
      </c>
      <c r="B141" s="1">
        <v>0.82742986577977184</v>
      </c>
      <c r="C141" s="1">
        <f>IRS_returns_2015_25[[#This Row],[IRSrtn]]-AVERAGE($B$2:$B$2600)</f>
        <v>0.821653371713156</v>
      </c>
      <c r="D141" s="1">
        <f>w+a*C140^2+b*D140</f>
        <v>6.1472451522592788</v>
      </c>
      <c r="E141" s="1">
        <f t="shared" si="2"/>
        <v>-1.8818524884521413</v>
      </c>
      <c r="F141" s="7">
        <f>SQRT(IRS_returns_2015_25[[#This Row],[  σ2]])</f>
        <v>2.4793638604003405</v>
      </c>
    </row>
    <row r="142" spans="1:6" x14ac:dyDescent="0.3">
      <c r="A142" s="2">
        <v>42215</v>
      </c>
      <c r="B142" s="1">
        <v>-1.4823886916985884</v>
      </c>
      <c r="C142" s="1">
        <f>IRS_returns_2015_25[[#This Row],[IRSrtn]]-AVERAGE($B$2:$B$2600)</f>
        <v>-1.4881651857652043</v>
      </c>
      <c r="D142" s="1">
        <f>w+a*C141^2+b*D141</f>
        <v>5.6020797277005201</v>
      </c>
      <c r="E142" s="1">
        <f t="shared" si="2"/>
        <v>-1.9781694031299462</v>
      </c>
      <c r="F142" s="7">
        <f>SQRT(IRS_returns_2015_25[[#This Row],[  σ2]])</f>
        <v>2.3668712951279205</v>
      </c>
    </row>
    <row r="143" spans="1:6" x14ac:dyDescent="0.3">
      <c r="A143" s="2">
        <v>42216</v>
      </c>
      <c r="B143" s="1">
        <v>1.01040743075691</v>
      </c>
      <c r="C143" s="1">
        <f>IRS_returns_2015_25[[#This Row],[IRSrtn]]-AVERAGE($B$2:$B$2600)</f>
        <v>1.0046309366902941</v>
      </c>
      <c r="D143" s="1">
        <f>w+a*C142^2+b*D142</f>
        <v>5.6142580156359081</v>
      </c>
      <c r="E143" s="1">
        <f t="shared" si="2"/>
        <v>-1.8714789776266489</v>
      </c>
      <c r="F143" s="7">
        <f>SQRT(IRS_returns_2015_25[[#This Row],[  σ2]])</f>
        <v>2.3694425537741801</v>
      </c>
    </row>
    <row r="144" spans="1:6" x14ac:dyDescent="0.3">
      <c r="A144" s="2">
        <v>42219</v>
      </c>
      <c r="B144" s="1">
        <v>2.6839333040828972</v>
      </c>
      <c r="C144" s="1">
        <f>IRS_returns_2015_25[[#This Row],[IRSrtn]]-AVERAGE($B$2:$B$2600)</f>
        <v>2.6781568100162816</v>
      </c>
      <c r="D144" s="1">
        <f>w+a*C143^2+b*D143</f>
        <v>5.3286814960110025</v>
      </c>
      <c r="E144" s="1">
        <f t="shared" si="2"/>
        <v>-2.4285015789028526</v>
      </c>
      <c r="F144" s="7">
        <f>SQRT(IRS_returns_2015_25[[#This Row],[  σ2]])</f>
        <v>2.3083937047243483</v>
      </c>
    </row>
    <row r="145" spans="1:6" x14ac:dyDescent="0.3">
      <c r="A145" s="2">
        <v>42220</v>
      </c>
      <c r="B145" s="1">
        <v>-3.5152873077485491</v>
      </c>
      <c r="C145" s="1">
        <f>IRS_returns_2015_25[[#This Row],[IRSrtn]]-AVERAGE($B$2:$B$2600)</f>
        <v>-3.5210638018151648</v>
      </c>
      <c r="D145" s="1">
        <f>w+a*C144^2+b*D144</f>
        <v>6.6402405760576357</v>
      </c>
      <c r="E145" s="1">
        <f t="shared" si="2"/>
        <v>-2.7990548833466491</v>
      </c>
      <c r="F145" s="7">
        <f>SQRT(IRS_returns_2015_25[[#This Row],[  σ2]])</f>
        <v>2.5768664257306075</v>
      </c>
    </row>
    <row r="146" spans="1:6" x14ac:dyDescent="0.3">
      <c r="A146" s="2">
        <v>42221</v>
      </c>
      <c r="B146" s="1">
        <v>0.17871997515817029</v>
      </c>
      <c r="C146" s="1">
        <f>IRS_returns_2015_25[[#This Row],[IRSrtn]]-AVERAGE($B$2:$B$2600)</f>
        <v>0.1729434810915545</v>
      </c>
      <c r="D146" s="1">
        <f>w+a*C145^2+b*D145</f>
        <v>8.7865266905251431</v>
      </c>
      <c r="E146" s="1">
        <f t="shared" si="2"/>
        <v>-2.0072502846708589</v>
      </c>
      <c r="F146" s="7">
        <f>SQRT(IRS_returns_2015_25[[#This Row],[  σ2]])</f>
        <v>2.9642075990937515</v>
      </c>
    </row>
    <row r="147" spans="1:6" x14ac:dyDescent="0.3">
      <c r="A147" s="2">
        <v>42223</v>
      </c>
      <c r="B147" s="1">
        <v>3.0483044781272728</v>
      </c>
      <c r="C147" s="1">
        <f>IRS_returns_2015_25[[#This Row],[IRSrtn]]-AVERAGE($B$2:$B$2600)</f>
        <v>3.0425279840606572</v>
      </c>
      <c r="D147" s="1">
        <f>w+a*C146^2+b*D146</f>
        <v>7.2018895547724089</v>
      </c>
      <c r="E147" s="1">
        <f t="shared" si="2"/>
        <v>-2.548787177753399</v>
      </c>
      <c r="F147" s="7">
        <f>SQRT(IRS_returns_2015_25[[#This Row],[  σ2]])</f>
        <v>2.6836336476450002</v>
      </c>
    </row>
    <row r="148" spans="1:6" x14ac:dyDescent="0.3">
      <c r="A148" s="2">
        <v>42226</v>
      </c>
      <c r="B148" s="1">
        <v>3.3497348852090436</v>
      </c>
      <c r="C148" s="1">
        <f>IRS_returns_2015_25[[#This Row],[IRSrtn]]-AVERAGE($B$2:$B$2600)</f>
        <v>3.343958391142428</v>
      </c>
      <c r="D148" s="1">
        <f>w+a*C147^2+b*D147</f>
        <v>8.3951428907372971</v>
      </c>
      <c r="E148" s="1">
        <f t="shared" si="2"/>
        <v>-2.6487489527631114</v>
      </c>
      <c r="F148" s="7">
        <f>SQRT(IRS_returns_2015_25[[#This Row],[  σ2]])</f>
        <v>2.8974372971191795</v>
      </c>
    </row>
    <row r="149" spans="1:6" x14ac:dyDescent="0.3">
      <c r="A149" s="2">
        <v>42227</v>
      </c>
      <c r="B149" s="1">
        <v>-4.0450025776264109</v>
      </c>
      <c r="C149" s="1">
        <f>IRS_returns_2015_25[[#This Row],[IRSrtn]]-AVERAGE($B$2:$B$2600)</f>
        <v>-4.050779071693027</v>
      </c>
      <c r="D149" s="1">
        <f>w+a*C148^2+b*D148</f>
        <v>9.6585571659763474</v>
      </c>
      <c r="E149" s="1">
        <f t="shared" si="2"/>
        <v>-2.9023048894037959</v>
      </c>
      <c r="F149" s="7">
        <f>SQRT(IRS_returns_2015_25[[#This Row],[  σ2]])</f>
        <v>3.1078219327973646</v>
      </c>
    </row>
    <row r="150" spans="1:6" x14ac:dyDescent="0.3">
      <c r="A150" s="2">
        <v>42228</v>
      </c>
      <c r="B150" s="1">
        <v>-2.8901915394474287</v>
      </c>
      <c r="C150" s="1">
        <f>IRS_returns_2015_25[[#This Row],[IRSrtn]]-AVERAGE($B$2:$B$2600)</f>
        <v>-2.8959680335140443</v>
      </c>
      <c r="D150" s="1">
        <f>w+a*C149^2+b*D149</f>
        <v>11.773130413792163</v>
      </c>
      <c r="E150" s="1">
        <f t="shared" si="2"/>
        <v>-2.5080252171813355</v>
      </c>
      <c r="F150" s="7">
        <f>SQRT(IRS_returns_2015_25[[#This Row],[  σ2]])</f>
        <v>3.4311995590160831</v>
      </c>
    </row>
    <row r="151" spans="1:6" x14ac:dyDescent="0.3">
      <c r="A151" s="2">
        <v>42229</v>
      </c>
      <c r="B151" s="1">
        <v>2.3071224724814599</v>
      </c>
      <c r="C151" s="1">
        <f>IRS_returns_2015_25[[#This Row],[IRSrtn]]-AVERAGE($B$2:$B$2600)</f>
        <v>2.3013459784148442</v>
      </c>
      <c r="D151" s="1">
        <f>w+a*C150^2+b*D150</f>
        <v>11.22623480689953</v>
      </c>
      <c r="E151" s="1">
        <f t="shared" si="2"/>
        <v>-2.3639499162693975</v>
      </c>
      <c r="F151" s="7">
        <f>SQRT(IRS_returns_2015_25[[#This Row],[  σ2]])</f>
        <v>3.3505573874953298</v>
      </c>
    </row>
    <row r="152" spans="1:6" x14ac:dyDescent="0.3">
      <c r="A152" s="2">
        <v>42230</v>
      </c>
      <c r="B152" s="1">
        <v>-0.23421064336806019</v>
      </c>
      <c r="C152" s="1">
        <f>IRS_returns_2015_25[[#This Row],[IRSrtn]]-AVERAGE($B$2:$B$2600)</f>
        <v>-0.23998713743467598</v>
      </c>
      <c r="D152" s="1">
        <f>w+a*C151^2+b*D151</f>
        <v>10.109172869287633</v>
      </c>
      <c r="E152" s="1">
        <f t="shared" si="2"/>
        <v>-2.0785087338900681</v>
      </c>
      <c r="F152" s="7">
        <f>SQRT(IRS_returns_2015_25[[#This Row],[  σ2]])</f>
        <v>3.1794925490221915</v>
      </c>
    </row>
    <row r="153" spans="1:6" x14ac:dyDescent="0.3">
      <c r="A153" s="2">
        <v>42233</v>
      </c>
      <c r="B153" s="1">
        <v>0.70095330743291662</v>
      </c>
      <c r="C153" s="1">
        <f>IRS_returns_2015_25[[#This Row],[IRSrtn]]-AVERAGE($B$2:$B$2600)</f>
        <v>0.69517681336630077</v>
      </c>
      <c r="D153" s="1">
        <f>w+a*C152^2+b*D152</f>
        <v>8.0891425142027344</v>
      </c>
      <c r="E153" s="1">
        <f t="shared" si="2"/>
        <v>-1.9940714710201441</v>
      </c>
      <c r="F153" s="7">
        <f>SQRT(IRS_returns_2015_25[[#This Row],[  σ2]])</f>
        <v>2.8441417886952709</v>
      </c>
    </row>
    <row r="154" spans="1:6" x14ac:dyDescent="0.3">
      <c r="A154" s="2">
        <v>42234</v>
      </c>
      <c r="B154" s="1">
        <v>-0.93568065992406524</v>
      </c>
      <c r="C154" s="1">
        <f>IRS_returns_2015_25[[#This Row],[IRSrtn]]-AVERAGE($B$2:$B$2600)</f>
        <v>-0.94145715399068108</v>
      </c>
      <c r="D154" s="1">
        <f>w+a*C153^2+b*D153</f>
        <v>6.8480906420965422</v>
      </c>
      <c r="E154" s="1">
        <f t="shared" si="2"/>
        <v>-1.9456379743081209</v>
      </c>
      <c r="F154" s="7">
        <f>SQRT(IRS_returns_2015_25[[#This Row],[  σ2]])</f>
        <v>2.6168856761609862</v>
      </c>
    </row>
    <row r="155" spans="1:6" x14ac:dyDescent="0.3">
      <c r="A155" s="2">
        <v>42235</v>
      </c>
      <c r="B155" s="1">
        <v>-2.3782266032606802</v>
      </c>
      <c r="C155" s="1">
        <f>IRS_returns_2015_25[[#This Row],[IRSrtn]]-AVERAGE($B$2:$B$2600)</f>
        <v>-2.3840030973272959</v>
      </c>
      <c r="D155" s="1">
        <f>w+a*C154^2+b*D154</f>
        <v>6.1201097688687174</v>
      </c>
      <c r="E155" s="1">
        <f t="shared" si="2"/>
        <v>-2.2890560682754129</v>
      </c>
      <c r="F155" s="7">
        <f>SQRT(IRS_returns_2015_25[[#This Row],[  σ2]])</f>
        <v>2.4738855609887693</v>
      </c>
    </row>
    <row r="156" spans="1:6" x14ac:dyDescent="0.3">
      <c r="A156" s="2">
        <v>42236</v>
      </c>
      <c r="B156" s="1">
        <v>-4.3659011681516535</v>
      </c>
      <c r="C156" s="1">
        <f>IRS_returns_2015_25[[#This Row],[IRSrtn]]-AVERAGE($B$2:$B$2600)</f>
        <v>-4.3716776622182696</v>
      </c>
      <c r="D156" s="1">
        <f>w+a*C155^2+b*D155</f>
        <v>6.8043001536765795</v>
      </c>
      <c r="E156" s="1">
        <f t="shared" si="2"/>
        <v>-3.2820900104851201</v>
      </c>
      <c r="F156" s="7">
        <f>SQRT(IRS_returns_2015_25[[#This Row],[  σ2]])</f>
        <v>2.6085053486003398</v>
      </c>
    </row>
    <row r="157" spans="1:6" x14ac:dyDescent="0.3">
      <c r="A157" s="2">
        <v>42237</v>
      </c>
      <c r="B157" s="1">
        <v>-7.4349692640104603</v>
      </c>
      <c r="C157" s="1">
        <f>IRS_returns_2015_25[[#This Row],[IRSrtn]]-AVERAGE($B$2:$B$2600)</f>
        <v>-7.4407457580770764</v>
      </c>
      <c r="D157" s="1">
        <f>w+a*C156^2+b*D156</f>
        <v>10.531529324202003</v>
      </c>
      <c r="E157" s="1">
        <f t="shared" si="2"/>
        <v>-4.7246465674621074</v>
      </c>
      <c r="F157" s="7">
        <f>SQRT(IRS_returns_2015_25[[#This Row],[  σ2]])</f>
        <v>3.245231782816445</v>
      </c>
    </row>
    <row r="158" spans="1:6" x14ac:dyDescent="0.3">
      <c r="A158" s="2">
        <v>42240</v>
      </c>
      <c r="B158" s="1">
        <v>-3.865224770010256</v>
      </c>
      <c r="C158" s="1">
        <f>IRS_returns_2015_25[[#This Row],[IRSrtn]]-AVERAGE($B$2:$B$2600)</f>
        <v>-3.8710012640768716</v>
      </c>
      <c r="D158" s="1">
        <f>w+a*C157^2+b*D157</f>
        <v>21.845875270133718</v>
      </c>
      <c r="E158" s="1">
        <f t="shared" si="2"/>
        <v>-2.8039075277541561</v>
      </c>
      <c r="F158" s="7">
        <f>SQRT(IRS_returns_2015_25[[#This Row],[  σ2]])</f>
        <v>4.6739571318245652</v>
      </c>
    </row>
    <row r="159" spans="1:6" x14ac:dyDescent="0.3">
      <c r="A159" s="2">
        <v>42241</v>
      </c>
      <c r="B159" s="1">
        <v>0.84092528845327585</v>
      </c>
      <c r="C159" s="1">
        <f>IRS_returns_2015_25[[#This Row],[IRSrtn]]-AVERAGE($B$2:$B$2600)</f>
        <v>0.83514879438666001</v>
      </c>
      <c r="D159" s="1">
        <f>w+a*C158^2+b*D158</f>
        <v>19.539435438268093</v>
      </c>
      <c r="E159" s="1">
        <f t="shared" si="2"/>
        <v>-2.4230037518880057</v>
      </c>
      <c r="F159" s="7">
        <f>SQRT(IRS_returns_2015_25[[#This Row],[  σ2]])</f>
        <v>4.4203433620328738</v>
      </c>
    </row>
    <row r="160" spans="1:6" x14ac:dyDescent="0.3">
      <c r="A160" s="2">
        <v>42242</v>
      </c>
      <c r="B160" s="1">
        <v>1.9351109142598411</v>
      </c>
      <c r="C160" s="1">
        <f>IRS_returns_2015_25[[#This Row],[IRSrtn]]-AVERAGE($B$2:$B$2600)</f>
        <v>1.9293344201932252</v>
      </c>
      <c r="D160" s="1">
        <f>w+a*C159^2+b*D159</f>
        <v>14.522932454100161</v>
      </c>
      <c r="E160" s="1">
        <f t="shared" si="2"/>
        <v>-2.384956578331213</v>
      </c>
      <c r="F160" s="7">
        <f>SQRT(IRS_returns_2015_25[[#This Row],[  σ2]])</f>
        <v>3.8108965420357661</v>
      </c>
    </row>
    <row r="161" spans="1:6" x14ac:dyDescent="0.3">
      <c r="A161" s="2">
        <v>42243</v>
      </c>
      <c r="B161" s="1">
        <v>2.0325788876599304</v>
      </c>
      <c r="C161" s="1">
        <f>IRS_returns_2015_25[[#This Row],[IRSrtn]]-AVERAGE($B$2:$B$2600)</f>
        <v>2.0268023935933148</v>
      </c>
      <c r="D161" s="1">
        <f>w+a*C160^2+b*D160</f>
        <v>11.920368477647338</v>
      </c>
      <c r="E161" s="1">
        <f t="shared" si="2"/>
        <v>-2.3303699073121793</v>
      </c>
      <c r="F161" s="7">
        <f>SQRT(IRS_returns_2015_25[[#This Row],[  σ2]])</f>
        <v>3.4525886632565048</v>
      </c>
    </row>
    <row r="162" spans="1:6" x14ac:dyDescent="0.3">
      <c r="A162" s="2">
        <v>42244</v>
      </c>
      <c r="B162" s="1">
        <v>0.46839362467117063</v>
      </c>
      <c r="C162" s="1">
        <f>IRS_returns_2015_25[[#This Row],[IRSrtn]]-AVERAGE($B$2:$B$2600)</f>
        <v>0.46261713060455484</v>
      </c>
      <c r="D162" s="1">
        <f>w+a*C161^2+b*D161</f>
        <v>10.281748672644856</v>
      </c>
      <c r="E162" s="1">
        <f t="shared" si="2"/>
        <v>-2.0945312086870125</v>
      </c>
      <c r="F162" s="7">
        <f>SQRT(IRS_returns_2015_25[[#This Row],[  σ2]])</f>
        <v>3.2065165947870682</v>
      </c>
    </row>
    <row r="163" spans="1:6" x14ac:dyDescent="0.3">
      <c r="A163" s="2">
        <v>42247</v>
      </c>
      <c r="B163" s="1">
        <v>0.66533470542147199</v>
      </c>
      <c r="C163" s="1">
        <f>IRS_returns_2015_25[[#This Row],[IRSrtn]]-AVERAGE($B$2:$B$2600)</f>
        <v>0.65955821135485615</v>
      </c>
      <c r="D163" s="1">
        <f>w+a*C162^2+b*D162</f>
        <v>8.2421409985147722</v>
      </c>
      <c r="E163" s="1">
        <f t="shared" si="2"/>
        <v>-1.999958411081751</v>
      </c>
      <c r="F163" s="7">
        <f>SQRT(IRS_returns_2015_25[[#This Row],[  σ2]])</f>
        <v>2.8709129207474704</v>
      </c>
    </row>
    <row r="164" spans="1:6" x14ac:dyDescent="0.3">
      <c r="A164" s="2">
        <v>42248</v>
      </c>
      <c r="B164" s="1">
        <v>-2.077118650455434</v>
      </c>
      <c r="C164" s="1">
        <f>IRS_returns_2015_25[[#This Row],[IRSrtn]]-AVERAGE($B$2:$B$2600)</f>
        <v>-2.0828951445220496</v>
      </c>
      <c r="D164" s="1">
        <f>w+a*C163^2+b*D163</f>
        <v>6.9381872708804266</v>
      </c>
      <c r="E164" s="1">
        <f t="shared" si="2"/>
        <v>-2.2001090687097618</v>
      </c>
      <c r="F164" s="7">
        <f>SQRT(IRS_returns_2015_25[[#This Row],[  σ2]])</f>
        <v>2.6340439007124439</v>
      </c>
    </row>
    <row r="165" spans="1:6" x14ac:dyDescent="0.3">
      <c r="A165" s="2">
        <v>42249</v>
      </c>
      <c r="B165" s="1">
        <v>-1.5694728345745368</v>
      </c>
      <c r="C165" s="1">
        <f>IRS_returns_2015_25[[#This Row],[IRSrtn]]-AVERAGE($B$2:$B$2600)</f>
        <v>-1.5752493286411526</v>
      </c>
      <c r="D165" s="1">
        <f>w+a*C164^2+b*D164</f>
        <v>7.0211945523601704</v>
      </c>
      <c r="E165" s="1">
        <f t="shared" si="2"/>
        <v>-2.0701137834522374</v>
      </c>
      <c r="F165" s="7">
        <f>SQRT(IRS_returns_2015_25[[#This Row],[  σ2]])</f>
        <v>2.6497536776765065</v>
      </c>
    </row>
    <row r="166" spans="1:6" x14ac:dyDescent="0.3">
      <c r="A166" s="2">
        <v>42250</v>
      </c>
      <c r="B166" s="1">
        <v>0.95824978312570863</v>
      </c>
      <c r="C166" s="1">
        <f>IRS_returns_2015_25[[#This Row],[IRSrtn]]-AVERAGE($B$2:$B$2600)</f>
        <v>0.95247328905909279</v>
      </c>
      <c r="D166" s="1">
        <f>w+a*C165^2+b*D165</f>
        <v>6.6239860975071476</v>
      </c>
      <c r="E166" s="1">
        <f t="shared" si="2"/>
        <v>-1.9327660020055064</v>
      </c>
      <c r="F166" s="7">
        <f>SQRT(IRS_returns_2015_25[[#This Row],[  σ2]])</f>
        <v>2.5737105698790508</v>
      </c>
    </row>
    <row r="167" spans="1:6" x14ac:dyDescent="0.3">
      <c r="A167" s="2">
        <v>42251</v>
      </c>
      <c r="B167" s="1">
        <v>-1.9952351654984657</v>
      </c>
      <c r="C167" s="1">
        <f>IRS_returns_2015_25[[#This Row],[IRSrtn]]-AVERAGE($B$2:$B$2600)</f>
        <v>-2.0010116595650813</v>
      </c>
      <c r="D167" s="1">
        <f>w+a*C166^2+b*D166</f>
        <v>5.9760030864826854</v>
      </c>
      <c r="E167" s="1">
        <f t="shared" si="2"/>
        <v>-2.1478250235346752</v>
      </c>
      <c r="F167" s="7">
        <f>SQRT(IRS_returns_2015_25[[#This Row],[  σ2]])</f>
        <v>2.4445864857850061</v>
      </c>
    </row>
    <row r="168" spans="1:6" x14ac:dyDescent="0.3">
      <c r="A168" s="2">
        <v>42255</v>
      </c>
      <c r="B168" s="1">
        <v>1.4487964717793123</v>
      </c>
      <c r="C168" s="1">
        <f>IRS_returns_2015_25[[#This Row],[IRSrtn]]-AVERAGE($B$2:$B$2600)</f>
        <v>1.4430199777126964</v>
      </c>
      <c r="D168" s="1">
        <f>w+a*C167^2+b*D167</f>
        <v>6.299174875213212</v>
      </c>
      <c r="E168" s="1">
        <f t="shared" si="2"/>
        <v>-2.0044319401602286</v>
      </c>
      <c r="F168" s="7">
        <f>SQRT(IRS_returns_2015_25[[#This Row],[  σ2]])</f>
        <v>2.5098157054280326</v>
      </c>
    </row>
    <row r="169" spans="1:6" x14ac:dyDescent="0.3">
      <c r="A169" s="2">
        <v>42257</v>
      </c>
      <c r="B169" s="1">
        <v>-6.8512367315287648E-2</v>
      </c>
      <c r="C169" s="1">
        <f>IRS_returns_2015_25[[#This Row],[IRSrtn]]-AVERAGE($B$2:$B$2600)</f>
        <v>-7.4288861381903437E-2</v>
      </c>
      <c r="D169" s="1">
        <f>w+a*C168^2+b*D168</f>
        <v>6.0460839846227827</v>
      </c>
      <c r="E169" s="1">
        <f t="shared" si="2"/>
        <v>-1.8191003242797792</v>
      </c>
      <c r="F169" s="7">
        <f>SQRT(IRS_returns_2015_25[[#This Row],[  σ2]])</f>
        <v>2.458878603067419</v>
      </c>
    </row>
    <row r="170" spans="1:6" x14ac:dyDescent="0.3">
      <c r="A170" s="2">
        <v>42258</v>
      </c>
      <c r="B170" s="1">
        <v>2.5711767027472021</v>
      </c>
      <c r="C170" s="1">
        <f>IRS_returns_2015_25[[#This Row],[IRSrtn]]-AVERAGE($B$2:$B$2600)</f>
        <v>2.5654002086805865</v>
      </c>
      <c r="D170" s="1">
        <f>w+a*C169^2+b*D169</f>
        <v>5.3715882763981977</v>
      </c>
      <c r="E170" s="1">
        <f t="shared" si="2"/>
        <v>-2.3721011200136841</v>
      </c>
      <c r="F170" s="7">
        <f>SQRT(IRS_returns_2015_25[[#This Row],[  σ2]])</f>
        <v>2.317668715843185</v>
      </c>
    </row>
    <row r="171" spans="1:6" x14ac:dyDescent="0.3">
      <c r="A171" s="2">
        <v>42261</v>
      </c>
      <c r="B171" s="1">
        <v>-0.93959893069679445</v>
      </c>
      <c r="C171" s="1">
        <f>IRS_returns_2015_25[[#This Row],[IRSrtn]]-AVERAGE($B$2:$B$2600)</f>
        <v>-0.9453754247634103</v>
      </c>
      <c r="D171" s="1">
        <f>w+a*C170^2+b*D170</f>
        <v>6.5247474665106484</v>
      </c>
      <c r="E171" s="1">
        <f t="shared" si="2"/>
        <v>-1.9252277260107193</v>
      </c>
      <c r="F171" s="7">
        <f>SQRT(IRS_returns_2015_25[[#This Row],[  σ2]])</f>
        <v>2.5543585234869925</v>
      </c>
    </row>
    <row r="172" spans="1:6" x14ac:dyDescent="0.3">
      <c r="A172" s="2">
        <v>42262</v>
      </c>
      <c r="B172" s="1">
        <v>-0.60874260470047403</v>
      </c>
      <c r="C172" s="1">
        <f>IRS_returns_2015_25[[#This Row],[IRSrtn]]-AVERAGE($B$2:$B$2600)</f>
        <v>-0.61451909876708988</v>
      </c>
      <c r="D172" s="1">
        <f>w+a*C171^2+b*D171</f>
        <v>5.9066561449511426</v>
      </c>
      <c r="E172" s="1">
        <f t="shared" si="2"/>
        <v>-1.8389452649903197</v>
      </c>
      <c r="F172" s="7">
        <f>SQRT(IRS_returns_2015_25[[#This Row],[  σ2]])</f>
        <v>2.4303613198352099</v>
      </c>
    </row>
    <row r="173" spans="1:6" x14ac:dyDescent="0.3">
      <c r="A173" s="2">
        <v>42263</v>
      </c>
      <c r="B173" s="1">
        <v>0.20333894513333561</v>
      </c>
      <c r="C173" s="1">
        <f>IRS_returns_2015_25[[#This Row],[IRSrtn]]-AVERAGE($B$2:$B$2600)</f>
        <v>0.19756245106671982</v>
      </c>
      <c r="D173" s="1">
        <f>w+a*C172^2+b*D172</f>
        <v>5.3694345395933922</v>
      </c>
      <c r="E173" s="1">
        <f t="shared" si="2"/>
        <v>-1.76293438153172</v>
      </c>
      <c r="F173" s="7">
        <f>SQRT(IRS_returns_2015_25[[#This Row],[  σ2]])</f>
        <v>2.3172040349510423</v>
      </c>
    </row>
    <row r="174" spans="1:6" x14ac:dyDescent="0.3">
      <c r="A174" s="2">
        <v>42264</v>
      </c>
      <c r="B174" s="1">
        <v>-6.7723532047381241E-2</v>
      </c>
      <c r="C174" s="1">
        <f>IRS_returns_2015_25[[#This Row],[IRSrtn]]-AVERAGE($B$2:$B$2600)</f>
        <v>-7.350002611399703E-2</v>
      </c>
      <c r="D174" s="1">
        <f>w+a*C173^2+b*D173</f>
        <v>4.9292966440648138</v>
      </c>
      <c r="E174" s="1">
        <f t="shared" si="2"/>
        <v>-1.717084661975085</v>
      </c>
      <c r="F174" s="7">
        <f>SQRT(IRS_returns_2015_25[[#This Row],[  σ2]])</f>
        <v>2.2202019376770243</v>
      </c>
    </row>
    <row r="175" spans="1:6" x14ac:dyDescent="0.3">
      <c r="A175" s="2">
        <v>42265</v>
      </c>
      <c r="B175" s="1">
        <v>-2.5387346848999126</v>
      </c>
      <c r="C175" s="1">
        <f>IRS_returns_2015_25[[#This Row],[IRSrtn]]-AVERAGE($B$2:$B$2600)</f>
        <v>-2.5445111789665282</v>
      </c>
      <c r="D175" s="1">
        <f>w+a*C174^2+b*D174</f>
        <v>4.6280958736062594</v>
      </c>
      <c r="E175" s="1">
        <f t="shared" si="2"/>
        <v>-2.3844930390830452</v>
      </c>
      <c r="F175" s="7">
        <f>SQRT(IRS_returns_2015_25[[#This Row],[  σ2]])</f>
        <v>2.1513009723435399</v>
      </c>
    </row>
    <row r="176" spans="1:6" x14ac:dyDescent="0.3">
      <c r="A176" s="2">
        <v>42268</v>
      </c>
      <c r="B176" s="1">
        <v>0.55439104103318648</v>
      </c>
      <c r="C176" s="1">
        <f>IRS_returns_2015_25[[#This Row],[IRSrtn]]-AVERAGE($B$2:$B$2600)</f>
        <v>0.54861454696657064</v>
      </c>
      <c r="D176" s="1">
        <f>w+a*C175^2+b*D175</f>
        <v>6.0037847056505225</v>
      </c>
      <c r="E176" s="1">
        <f t="shared" si="2"/>
        <v>-1.8401992429161691</v>
      </c>
      <c r="F176" s="7">
        <f>SQRT(IRS_returns_2015_25[[#This Row],[  σ2]])</f>
        <v>2.4502621707993866</v>
      </c>
    </row>
    <row r="177" spans="1:6" x14ac:dyDescent="0.3">
      <c r="A177" s="2">
        <v>42269</v>
      </c>
      <c r="B177" s="1">
        <v>1.0996690527661279</v>
      </c>
      <c r="C177" s="1">
        <f>IRS_returns_2015_25[[#This Row],[IRSrtn]]-AVERAGE($B$2:$B$2600)</f>
        <v>1.0938925586995121</v>
      </c>
      <c r="D177" s="1">
        <f>w+a*C176^2+b*D176</f>
        <v>5.4154174774572219</v>
      </c>
      <c r="E177" s="1">
        <f t="shared" si="2"/>
        <v>-1.8740444697129073</v>
      </c>
      <c r="F177" s="7">
        <f>SQRT(IRS_returns_2015_25[[#This Row],[  σ2]])</f>
        <v>2.3271049562615826</v>
      </c>
    </row>
    <row r="178" spans="1:6" x14ac:dyDescent="0.3">
      <c r="A178" s="2">
        <v>42270</v>
      </c>
      <c r="B178" s="1">
        <v>-2.1417050646966196</v>
      </c>
      <c r="C178" s="1">
        <f>IRS_returns_2015_25[[#This Row],[IRSrtn]]-AVERAGE($B$2:$B$2600)</f>
        <v>-2.1474815587632352</v>
      </c>
      <c r="D178" s="1">
        <f>w+a*C177^2+b*D177</f>
        <v>5.2419499190680154</v>
      </c>
      <c r="E178" s="1">
        <f t="shared" si="2"/>
        <v>-2.187167138635151</v>
      </c>
      <c r="F178" s="7">
        <f>SQRT(IRS_returns_2015_25[[#This Row],[  σ2]])</f>
        <v>2.2895305018863619</v>
      </c>
    </row>
    <row r="179" spans="1:6" x14ac:dyDescent="0.3">
      <c r="A179" s="2">
        <v>42271</v>
      </c>
      <c r="B179" s="1">
        <v>-0.56022241404933837</v>
      </c>
      <c r="C179" s="1">
        <f>IRS_returns_2015_25[[#This Row],[IRSrtn]]-AVERAGE($B$2:$B$2600)</f>
        <v>-0.56599890811595421</v>
      </c>
      <c r="D179" s="1">
        <f>w+a*C178^2+b*D178</f>
        <v>5.958552171976681</v>
      </c>
      <c r="E179" s="1">
        <f t="shared" si="2"/>
        <v>-1.8382342268392247</v>
      </c>
      <c r="F179" s="7">
        <f>SQRT(IRS_returns_2015_25[[#This Row],[  σ2]])</f>
        <v>2.4410145784031445</v>
      </c>
    </row>
    <row r="180" spans="1:6" x14ac:dyDescent="0.3">
      <c r="A180" s="2">
        <v>42272</v>
      </c>
      <c r="B180" s="1">
        <v>2.5651370345967983</v>
      </c>
      <c r="C180" s="1">
        <f>IRS_returns_2015_25[[#This Row],[IRSrtn]]-AVERAGE($B$2:$B$2600)</f>
        <v>2.5593605405301827</v>
      </c>
      <c r="D180" s="1">
        <f>w+a*C179^2+b*D179</f>
        <v>5.3900265870829314</v>
      </c>
      <c r="E180" s="1">
        <f t="shared" si="2"/>
        <v>-2.36884764987769</v>
      </c>
      <c r="F180" s="7">
        <f>SQRT(IRS_returns_2015_25[[#This Row],[  σ2]])</f>
        <v>2.3216430791753782</v>
      </c>
    </row>
    <row r="181" spans="1:6" x14ac:dyDescent="0.3">
      <c r="A181" s="2">
        <v>42275</v>
      </c>
      <c r="B181" s="1">
        <v>-2.0747670864472045</v>
      </c>
      <c r="C181" s="1">
        <f>IRS_returns_2015_25[[#This Row],[IRSrtn]]-AVERAGE($B$2:$B$2600)</f>
        <v>-2.0805435805138202</v>
      </c>
      <c r="D181" s="1">
        <f>w+a*C180^2+b*D180</f>
        <v>6.5294807459622923</v>
      </c>
      <c r="E181" s="1">
        <f t="shared" si="2"/>
        <v>-2.1885728280197072</v>
      </c>
      <c r="F181" s="7">
        <f>SQRT(IRS_returns_2015_25[[#This Row],[  σ2]])</f>
        <v>2.5552848659126624</v>
      </c>
    </row>
    <row r="182" spans="1:6" x14ac:dyDescent="0.3">
      <c r="A182" s="2">
        <v>42276</v>
      </c>
      <c r="B182" s="1">
        <v>-2.7631983324842846</v>
      </c>
      <c r="C182" s="1">
        <f>IRS_returns_2015_25[[#This Row],[IRSrtn]]-AVERAGE($B$2:$B$2600)</f>
        <v>-2.7689748265509002</v>
      </c>
      <c r="D182" s="1">
        <f>w+a*C181^2+b*D181</f>
        <v>6.7467263122413179</v>
      </c>
      <c r="E182" s="1">
        <f t="shared" si="2"/>
        <v>-2.4416851518916238</v>
      </c>
      <c r="F182" s="7">
        <f>SQRT(IRS_returns_2015_25[[#This Row],[  σ2]])</f>
        <v>2.5974461134432256</v>
      </c>
    </row>
    <row r="183" spans="1:6" x14ac:dyDescent="0.3">
      <c r="A183" s="2">
        <v>42277</v>
      </c>
      <c r="B183" s="1">
        <v>4.3576811516540914</v>
      </c>
      <c r="C183" s="1">
        <f>IRS_returns_2015_25[[#This Row],[IRSrtn]]-AVERAGE($B$2:$B$2600)</f>
        <v>4.3519046575874754</v>
      </c>
      <c r="D183" s="1">
        <f>w+a*C182^2+b*D182</f>
        <v>7.7047896884859597</v>
      </c>
      <c r="E183" s="1">
        <f t="shared" si="2"/>
        <v>-3.1689051169862945</v>
      </c>
      <c r="F183" s="7">
        <f>SQRT(IRS_returns_2015_25[[#This Row],[  σ2]])</f>
        <v>2.7757502928912681</v>
      </c>
    </row>
    <row r="184" spans="1:6" x14ac:dyDescent="0.3">
      <c r="A184" s="2">
        <v>42278</v>
      </c>
      <c r="B184" s="1">
        <v>1.4339569407968433</v>
      </c>
      <c r="C184" s="1">
        <f>IRS_returns_2015_25[[#This Row],[IRSrtn]]-AVERAGE($B$2:$B$2600)</f>
        <v>1.4281804467302275</v>
      </c>
      <c r="D184" s="1">
        <f>w+a*C183^2+b*D183</f>
        <v>11.088972759787396</v>
      </c>
      <c r="E184" s="1">
        <f t="shared" si="2"/>
        <v>-2.2138838356268526</v>
      </c>
      <c r="F184" s="7">
        <f>SQRT(IRS_returns_2015_25[[#This Row],[  σ2]])</f>
        <v>3.3300109248750815</v>
      </c>
    </row>
    <row r="185" spans="1:6" x14ac:dyDescent="0.3">
      <c r="A185" s="2">
        <v>42279</v>
      </c>
      <c r="B185" s="1">
        <v>3.2024131554973856</v>
      </c>
      <c r="C185" s="1">
        <f>IRS_returns_2015_25[[#This Row],[IRSrtn]]-AVERAGE($B$2:$B$2600)</f>
        <v>3.19663666143077</v>
      </c>
      <c r="D185" s="1">
        <f>w+a*C184^2+b*D184</f>
        <v>9.2243512389122486</v>
      </c>
      <c r="E185" s="1">
        <f t="shared" si="2"/>
        <v>-2.5837483932751208</v>
      </c>
      <c r="F185" s="7">
        <f>SQRT(IRS_returns_2015_25[[#This Row],[  σ2]])</f>
        <v>3.0371617077317845</v>
      </c>
    </row>
    <row r="186" spans="1:6" x14ac:dyDescent="0.3">
      <c r="A186" s="2">
        <v>42282</v>
      </c>
      <c r="B186" s="1">
        <v>2.2720856523229749</v>
      </c>
      <c r="C186" s="1">
        <f>IRS_returns_2015_25[[#This Row],[IRSrtn]]-AVERAGE($B$2:$B$2600)</f>
        <v>2.2663091582563593</v>
      </c>
      <c r="D186" s="1">
        <f>w+a*C185^2+b*D185</f>
        <v>9.9758009816670459</v>
      </c>
      <c r="E186" s="1">
        <f t="shared" si="2"/>
        <v>-2.3264504797844148</v>
      </c>
      <c r="F186" s="7">
        <f>SQRT(IRS_returns_2015_25[[#This Row],[  σ2]])</f>
        <v>3.1584491418522234</v>
      </c>
    </row>
    <row r="187" spans="1:6" x14ac:dyDescent="0.3">
      <c r="A187" s="2">
        <v>42283</v>
      </c>
      <c r="B187" s="1">
        <v>-0.90263722859322826</v>
      </c>
      <c r="C187" s="1">
        <f>IRS_returns_2015_25[[#This Row],[IRSrtn]]-AVERAGE($B$2:$B$2600)</f>
        <v>-0.9084137226598441</v>
      </c>
      <c r="D187" s="1">
        <f>w+a*C186^2+b*D186</f>
        <v>9.237745411350069</v>
      </c>
      <c r="E187" s="1">
        <f t="shared" si="2"/>
        <v>-2.0752528760336668</v>
      </c>
      <c r="F187" s="7">
        <f>SQRT(IRS_returns_2015_25[[#This Row],[  σ2]])</f>
        <v>3.0393659554831611</v>
      </c>
    </row>
    <row r="188" spans="1:6" x14ac:dyDescent="0.3">
      <c r="A188" s="2">
        <v>42284</v>
      </c>
      <c r="B188" s="1">
        <v>0.45232978327738316</v>
      </c>
      <c r="C188" s="1">
        <f>IRS_returns_2015_25[[#This Row],[IRSrtn]]-AVERAGE($B$2:$B$2600)</f>
        <v>0.44655328921076737</v>
      </c>
      <c r="D188" s="1">
        <f>w+a*C187^2+b*D187</f>
        <v>7.6960495322637383</v>
      </c>
      <c r="E188" s="1">
        <f t="shared" si="2"/>
        <v>-1.9522474455513243</v>
      </c>
      <c r="F188" s="7">
        <f>SQRT(IRS_returns_2015_25[[#This Row],[  σ2]])</f>
        <v>2.7741754689031008</v>
      </c>
    </row>
    <row r="189" spans="1:6" x14ac:dyDescent="0.3">
      <c r="A189" s="2">
        <v>42285</v>
      </c>
      <c r="B189" s="1">
        <v>-0.51712089011757278</v>
      </c>
      <c r="C189" s="1">
        <f>IRS_returns_2015_25[[#This Row],[IRSrtn]]-AVERAGE($B$2:$B$2600)</f>
        <v>-0.52289738418418863</v>
      </c>
      <c r="D189" s="1">
        <f>w+a*C188^2+b*D188</f>
        <v>6.5172394164450278</v>
      </c>
      <c r="E189" s="1">
        <f t="shared" si="2"/>
        <v>-1.8771407765937422</v>
      </c>
      <c r="F189" s="7">
        <f>SQRT(IRS_returns_2015_25[[#This Row],[  σ2]])</f>
        <v>2.5528884457502303</v>
      </c>
    </row>
    <row r="190" spans="1:6" x14ac:dyDescent="0.3">
      <c r="A190" s="2">
        <v>42286</v>
      </c>
      <c r="B190" s="1">
        <v>-6.4840425385082057E-2</v>
      </c>
      <c r="C190" s="1">
        <f>IRS_returns_2015_25[[#This Row],[IRSrtn]]-AVERAGE($B$2:$B$2600)</f>
        <v>-7.0616919451697846E-2</v>
      </c>
      <c r="D190" s="1">
        <f>w+a*C189^2+b*D189</f>
        <v>5.7505187868177119</v>
      </c>
      <c r="E190" s="1">
        <f t="shared" si="2"/>
        <v>-1.7940171617263156</v>
      </c>
      <c r="F190" s="7">
        <f>SQRT(IRS_returns_2015_25[[#This Row],[  σ2]])</f>
        <v>2.3980239337458062</v>
      </c>
    </row>
    <row r="191" spans="1:6" x14ac:dyDescent="0.3">
      <c r="A191" s="2">
        <v>42289</v>
      </c>
      <c r="B191" s="1">
        <v>2.3077891952581364</v>
      </c>
      <c r="C191" s="1">
        <f>IRS_returns_2015_25[[#This Row],[IRSrtn]]-AVERAGE($B$2:$B$2600)</f>
        <v>2.3020127011915208</v>
      </c>
      <c r="D191" s="1">
        <f>w+a*C190^2+b*D190</f>
        <v>5.1746959418062453</v>
      </c>
      <c r="E191" s="1">
        <f t="shared" si="2"/>
        <v>-2.252864945473795</v>
      </c>
      <c r="F191" s="7">
        <f>SQRT(IRS_returns_2015_25[[#This Row],[  σ2]])</f>
        <v>2.2747958022218708</v>
      </c>
    </row>
    <row r="192" spans="1:6" x14ac:dyDescent="0.3">
      <c r="A192" s="2">
        <v>42290</v>
      </c>
      <c r="B192" s="1">
        <v>6.3361648179682817E-2</v>
      </c>
      <c r="C192" s="1">
        <f>IRS_returns_2015_25[[#This Row],[IRSrtn]]-AVERAGE($B$2:$B$2600)</f>
        <v>5.7585154113067021E-2</v>
      </c>
      <c r="D192" s="1">
        <f>w+a*C191^2+b*D191</f>
        <v>6.0813101065891075</v>
      </c>
      <c r="E192" s="1">
        <f t="shared" si="2"/>
        <v>-1.8218212513460066</v>
      </c>
      <c r="F192" s="7">
        <f>SQRT(IRS_returns_2015_25[[#This Row],[  σ2]])</f>
        <v>2.4660312460690981</v>
      </c>
    </row>
    <row r="193" spans="1:6" x14ac:dyDescent="0.3">
      <c r="A193" s="2">
        <v>42291</v>
      </c>
      <c r="B193" s="1">
        <v>-6.3361648179682817E-2</v>
      </c>
      <c r="C193" s="1">
        <f>IRS_returns_2015_25[[#This Row],[IRSrtn]]-AVERAGE($B$2:$B$2600)</f>
        <v>-6.9138142246298606E-2</v>
      </c>
      <c r="D193" s="1">
        <f>w+a*C192^2+b*D192</f>
        <v>5.3945021864927725</v>
      </c>
      <c r="E193" s="1">
        <f t="shared" si="2"/>
        <v>-1.7620717451965238</v>
      </c>
      <c r="F193" s="7">
        <f>SQRT(IRS_returns_2015_25[[#This Row],[  σ2]])</f>
        <v>2.3226067653592963</v>
      </c>
    </row>
    <row r="194" spans="1:6" x14ac:dyDescent="0.3">
      <c r="A194" s="2">
        <v>42292</v>
      </c>
      <c r="B194" s="1">
        <v>2.9964903664811082</v>
      </c>
      <c r="C194" s="1">
        <f>IRS_returns_2015_25[[#This Row],[IRSrtn]]-AVERAGE($B$2:$B$2600)</f>
        <v>2.9907138724144926</v>
      </c>
      <c r="D194" s="1">
        <f>w+a*C193^2+b*D193</f>
        <v>4.9376393864802566</v>
      </c>
      <c r="E194" s="1">
        <f t="shared" ref="E194:E257" si="3">-0.5*(LN(2*PI())+LN(D194)+C194^2/D194)</f>
        <v>-2.6231155775278037</v>
      </c>
      <c r="F194" s="7">
        <f>SQRT(IRS_returns_2015_25[[#This Row],[  σ2]])</f>
        <v>2.2220799685160424</v>
      </c>
    </row>
    <row r="195" spans="1:6" x14ac:dyDescent="0.3">
      <c r="A195" s="2">
        <v>42293</v>
      </c>
      <c r="B195" s="1">
        <v>1.1617342486350601</v>
      </c>
      <c r="C195" s="1">
        <f>IRS_returns_2015_25[[#This Row],[IRSrtn]]-AVERAGE($B$2:$B$2600)</f>
        <v>1.1559577545684443</v>
      </c>
      <c r="D195" s="1">
        <f>w+a*C194^2+b*D194</f>
        <v>6.8116270709419773</v>
      </c>
      <c r="E195" s="1">
        <f t="shared" si="3"/>
        <v>-1.9763391471836471</v>
      </c>
      <c r="F195" s="7">
        <f>SQRT(IRS_returns_2015_25[[#This Row],[  σ2]])</f>
        <v>2.6099093989910793</v>
      </c>
    </row>
    <row r="196" spans="1:6" x14ac:dyDescent="0.3">
      <c r="A196" s="2">
        <v>42296</v>
      </c>
      <c r="B196" s="1">
        <v>2.0458082224302565</v>
      </c>
      <c r="C196" s="1">
        <f>IRS_returns_2015_25[[#This Row],[IRSrtn]]-AVERAGE($B$2:$B$2600)</f>
        <v>2.0400317283636409</v>
      </c>
      <c r="D196" s="1">
        <f>w+a*C195^2+b*D195</f>
        <v>6.2054526010617499</v>
      </c>
      <c r="E196" s="1">
        <f t="shared" si="3"/>
        <v>-2.166981149645955</v>
      </c>
      <c r="F196" s="7">
        <f>SQRT(IRS_returns_2015_25[[#This Row],[  σ2]])</f>
        <v>2.4910745876151017</v>
      </c>
    </row>
    <row r="197" spans="1:6" x14ac:dyDescent="0.3">
      <c r="A197" s="2">
        <v>42297</v>
      </c>
      <c r="B197" s="1">
        <v>-1.3793345451027506</v>
      </c>
      <c r="C197" s="1">
        <f>IRS_returns_2015_25[[#This Row],[IRSrtn]]-AVERAGE($B$2:$B$2600)</f>
        <v>-1.3851110391693664</v>
      </c>
      <c r="D197" s="1">
        <f>w+a*C196^2+b*D196</f>
        <v>6.4903423838494092</v>
      </c>
      <c r="E197" s="1">
        <f t="shared" si="3"/>
        <v>-2.0018952036202204</v>
      </c>
      <c r="F197" s="7">
        <f>SQRT(IRS_returns_2015_25[[#This Row],[  σ2]])</f>
        <v>2.5476150383936362</v>
      </c>
    </row>
    <row r="198" spans="1:6" x14ac:dyDescent="0.3">
      <c r="A198" s="2">
        <v>42298</v>
      </c>
      <c r="B198" s="1">
        <v>-3.627822506045808</v>
      </c>
      <c r="C198" s="1">
        <f>IRS_returns_2015_25[[#This Row],[IRSrtn]]-AVERAGE($B$2:$B$2600)</f>
        <v>-3.6335990001124236</v>
      </c>
      <c r="D198" s="1">
        <f>w+a*C197^2+b*D197</f>
        <v>6.1334438770408877</v>
      </c>
      <c r="E198" s="1">
        <f t="shared" si="3"/>
        <v>-2.9021322545894597</v>
      </c>
      <c r="F198" s="7">
        <f>SQRT(IRS_returns_2015_25[[#This Row],[  σ2]])</f>
        <v>2.4765790673913255</v>
      </c>
    </row>
    <row r="199" spans="1:6" x14ac:dyDescent="0.3">
      <c r="A199" s="2">
        <v>42299</v>
      </c>
      <c r="B199" s="1">
        <v>0.12514870802373679</v>
      </c>
      <c r="C199" s="1">
        <f>IRS_returns_2015_25[[#This Row],[IRSrtn]]-AVERAGE($B$2:$B$2600)</f>
        <v>0.119372213957121</v>
      </c>
      <c r="D199" s="1">
        <f>w+a*C198^2+b*D198</f>
        <v>8.6453186094614836</v>
      </c>
      <c r="E199" s="1">
        <f t="shared" si="3"/>
        <v>-1.9982716493891044</v>
      </c>
      <c r="F199" s="7">
        <f>SQRT(IRS_returns_2015_25[[#This Row],[  σ2]])</f>
        <v>2.9402922659935498</v>
      </c>
    </row>
    <row r="200" spans="1:6" x14ac:dyDescent="0.3">
      <c r="A200" s="2">
        <v>42300</v>
      </c>
      <c r="B200" s="1">
        <v>0.87174570562424947</v>
      </c>
      <c r="C200" s="1">
        <f>IRS_returns_2015_25[[#This Row],[IRSrtn]]-AVERAGE($B$2:$B$2600)</f>
        <v>0.86596921155763362</v>
      </c>
      <c r="D200" s="1">
        <f>w+a*C199^2+b*D199</f>
        <v>7.104069487462465</v>
      </c>
      <c r="E200" s="1">
        <f t="shared" si="3"/>
        <v>-1.9520522226642045</v>
      </c>
      <c r="F200" s="7">
        <f>SQRT(IRS_returns_2015_25[[#This Row],[  σ2]])</f>
        <v>2.6653460352199048</v>
      </c>
    </row>
    <row r="201" spans="1:6" x14ac:dyDescent="0.3">
      <c r="A201" s="2">
        <v>42303</v>
      </c>
      <c r="B201" s="1">
        <v>5.9566449544350863</v>
      </c>
      <c r="C201" s="1">
        <f>IRS_returns_2015_25[[#This Row],[IRSrtn]]-AVERAGE($B$2:$B$2600)</f>
        <v>5.9508684603684703</v>
      </c>
      <c r="D201" s="1">
        <f>w+a*C200^2+b*D200</f>
        <v>6.2572758586774162</v>
      </c>
      <c r="E201" s="1">
        <f t="shared" si="3"/>
        <v>-4.6655436322785029</v>
      </c>
      <c r="F201" s="7">
        <f>SQRT(IRS_returns_2015_25[[#This Row],[  σ2]])</f>
        <v>2.5014547484768572</v>
      </c>
    </row>
    <row r="202" spans="1:6" x14ac:dyDescent="0.3">
      <c r="A202" s="2">
        <v>42304</v>
      </c>
      <c r="B202" s="1">
        <v>0.58241612558980194</v>
      </c>
      <c r="C202" s="1">
        <f>IRS_returns_2015_25[[#This Row],[IRSrtn]]-AVERAGE($B$2:$B$2600)</f>
        <v>0.57663963152318609</v>
      </c>
      <c r="D202" s="1">
        <f>w+a*C201^2+b*D201</f>
        <v>14.139166737793142</v>
      </c>
      <c r="E202" s="1">
        <f t="shared" si="3"/>
        <v>-2.2551714855696159</v>
      </c>
      <c r="F202" s="7">
        <f>SQRT(IRS_returns_2015_25[[#This Row],[  σ2]])</f>
        <v>3.7602083370197907</v>
      </c>
    </row>
    <row r="203" spans="1:6" x14ac:dyDescent="0.3">
      <c r="A203" s="2">
        <v>42305</v>
      </c>
      <c r="B203" s="1">
        <v>4.3188417437233895</v>
      </c>
      <c r="C203" s="1">
        <f>IRS_returns_2015_25[[#This Row],[IRSrtn]]-AVERAGE($B$2:$B$2600)</f>
        <v>4.3130652496567734</v>
      </c>
      <c r="D203" s="1">
        <f>w+a*C202^2+b*D202</f>
        <v>10.838960844674491</v>
      </c>
      <c r="E203" s="1">
        <f t="shared" si="3"/>
        <v>-2.96864472257734</v>
      </c>
      <c r="F203" s="7">
        <f>SQRT(IRS_returns_2015_25[[#This Row],[  σ2]])</f>
        <v>3.2922577123722392</v>
      </c>
    </row>
    <row r="204" spans="1:6" x14ac:dyDescent="0.3">
      <c r="A204" s="2">
        <v>42306</v>
      </c>
      <c r="B204" s="1">
        <v>0.94105731650939717</v>
      </c>
      <c r="C204" s="1">
        <f>IRS_returns_2015_25[[#This Row],[IRSrtn]]-AVERAGE($B$2:$B$2600)</f>
        <v>0.93528082244278132</v>
      </c>
      <c r="D204" s="1">
        <f>w+a*C203^2+b*D203</f>
        <v>13.093444427079712</v>
      </c>
      <c r="E204" s="1">
        <f t="shared" si="3"/>
        <v>-2.2383985021052712</v>
      </c>
      <c r="F204" s="7">
        <f>SQRT(IRS_returns_2015_25[[#This Row],[  σ2]])</f>
        <v>3.6184864829206855</v>
      </c>
    </row>
    <row r="205" spans="1:6" x14ac:dyDescent="0.3">
      <c r="A205" s="2">
        <v>42307</v>
      </c>
      <c r="B205" s="1">
        <v>-0.88544006184010371</v>
      </c>
      <c r="C205" s="1">
        <f>IRS_returns_2015_25[[#This Row],[IRSrtn]]-AVERAGE($B$2:$B$2600)</f>
        <v>-0.89121655590671955</v>
      </c>
      <c r="D205" s="1">
        <f>w+a*C204^2+b*D204</f>
        <v>10.274921932946052</v>
      </c>
      <c r="E205" s="1">
        <f t="shared" si="3"/>
        <v>-2.1224423679881639</v>
      </c>
      <c r="F205" s="7">
        <f>SQRT(IRS_returns_2015_25[[#This Row],[  σ2]])</f>
        <v>3.2054519077574777</v>
      </c>
    </row>
    <row r="206" spans="1:6" x14ac:dyDescent="0.3">
      <c r="A206" s="2">
        <v>42310</v>
      </c>
      <c r="B206" s="1">
        <v>-0.22261716591072123</v>
      </c>
      <c r="C206" s="1">
        <f>IRS_returns_2015_25[[#This Row],[IRSrtn]]-AVERAGE($B$2:$B$2600)</f>
        <v>-0.22839365997733702</v>
      </c>
      <c r="D206" s="1">
        <f>w+a*C205^2+b*D205</f>
        <v>8.3789746722563976</v>
      </c>
      <c r="E206" s="1">
        <f t="shared" si="3"/>
        <v>-1.9849140809447556</v>
      </c>
      <c r="F206" s="7">
        <f>SQRT(IRS_returns_2015_25[[#This Row],[  σ2]])</f>
        <v>2.8946458630126757</v>
      </c>
    </row>
    <row r="207" spans="1:6" x14ac:dyDescent="0.3">
      <c r="A207" s="2">
        <v>42311</v>
      </c>
      <c r="B207" s="1">
        <v>-0.27892294262610307</v>
      </c>
      <c r="C207" s="1">
        <f>IRS_returns_2015_25[[#This Row],[IRSrtn]]-AVERAGE($B$2:$B$2600)</f>
        <v>-0.28469943669271885</v>
      </c>
      <c r="D207" s="1">
        <f>w+a*C206^2+b*D206</f>
        <v>6.9359975993092222</v>
      </c>
      <c r="E207" s="1">
        <f t="shared" si="3"/>
        <v>-1.8931439583515446</v>
      </c>
      <c r="F207" s="7">
        <f>SQRT(IRS_returns_2015_25[[#This Row],[  σ2]])</f>
        <v>2.6336282196447587</v>
      </c>
    </row>
    <row r="208" spans="1:6" x14ac:dyDescent="0.3">
      <c r="A208" s="2">
        <v>42312</v>
      </c>
      <c r="B208" s="1">
        <v>-0.672657175936342</v>
      </c>
      <c r="C208" s="1">
        <f>IRS_returns_2015_25[[#This Row],[IRSrtn]]-AVERAGE($B$2:$B$2600)</f>
        <v>-0.67843367000295784</v>
      </c>
      <c r="D208" s="1">
        <f>w+a*C207^2+b*D207</f>
        <v>5.9824227123903349</v>
      </c>
      <c r="E208" s="1">
        <f t="shared" si="3"/>
        <v>-1.8518200604201662</v>
      </c>
      <c r="F208" s="7">
        <f>SQRT(IRS_returns_2015_25[[#This Row],[  σ2]])</f>
        <v>2.445899162351207</v>
      </c>
    </row>
    <row r="209" spans="1:6" x14ac:dyDescent="0.3">
      <c r="A209" s="2">
        <v>42313</v>
      </c>
      <c r="B209" s="1">
        <v>0.33690049201351435</v>
      </c>
      <c r="C209" s="1">
        <f>IRS_returns_2015_25[[#This Row],[IRSrtn]]-AVERAGE($B$2:$B$2600)</f>
        <v>0.33112399794689856</v>
      </c>
      <c r="D209" s="1">
        <f>w+a*C208^2+b*D208</f>
        <v>5.4400084665860424</v>
      </c>
      <c r="E209" s="1">
        <f t="shared" si="3"/>
        <v>-1.7759063171268492</v>
      </c>
      <c r="F209" s="7">
        <f>SQRT(IRS_returns_2015_25[[#This Row],[  σ2]])</f>
        <v>2.3323825729468233</v>
      </c>
    </row>
    <row r="210" spans="1:6" x14ac:dyDescent="0.3">
      <c r="A210" s="2">
        <v>42314</v>
      </c>
      <c r="B210" s="1">
        <v>-0.78785704886832342</v>
      </c>
      <c r="C210" s="1">
        <f>IRS_returns_2015_25[[#This Row],[IRSrtn]]-AVERAGE($B$2:$B$2600)</f>
        <v>-0.79363354293493926</v>
      </c>
      <c r="D210" s="1">
        <f>w+a*C209^2+b*D209</f>
        <v>4.9934835281032335</v>
      </c>
      <c r="E210" s="1">
        <f t="shared" si="3"/>
        <v>-1.7860730329348964</v>
      </c>
      <c r="F210" s="7">
        <f>SQRT(IRS_returns_2015_25[[#This Row],[  σ2]])</f>
        <v>2.2346103750102015</v>
      </c>
    </row>
    <row r="211" spans="1:6" x14ac:dyDescent="0.3">
      <c r="A211" s="2">
        <v>42317</v>
      </c>
      <c r="B211" s="1">
        <v>0.28209560178678039</v>
      </c>
      <c r="C211" s="1">
        <f>IRS_returns_2015_25[[#This Row],[IRSrtn]]-AVERAGE($B$2:$B$2600)</f>
        <v>0.2763191077201646</v>
      </c>
      <c r="D211" s="1">
        <f>w+a*C210^2+b*D210</f>
        <v>4.8229737274799378</v>
      </c>
      <c r="E211" s="1">
        <f t="shared" si="3"/>
        <v>-1.713549354382401</v>
      </c>
      <c r="F211" s="7">
        <f>SQRT(IRS_returns_2015_25[[#This Row],[  σ2]])</f>
        <v>2.196126983459731</v>
      </c>
    </row>
    <row r="212" spans="1:6" x14ac:dyDescent="0.3">
      <c r="A212" s="2">
        <v>42318</v>
      </c>
      <c r="B212" s="1">
        <v>-0.16915294098072131</v>
      </c>
      <c r="C212" s="1">
        <f>IRS_returns_2015_25[[#This Row],[IRSrtn]]-AVERAGE($B$2:$B$2600)</f>
        <v>-0.1749294350473371</v>
      </c>
      <c r="D212" s="1">
        <f>w+a*C211^2+b*D211</f>
        <v>4.5746018810113345</v>
      </c>
      <c r="E212" s="1">
        <f t="shared" si="3"/>
        <v>-1.6825429573248269</v>
      </c>
      <c r="F212" s="7">
        <f>SQRT(IRS_returns_2015_25[[#This Row],[  σ2]])</f>
        <v>2.1388318963890862</v>
      </c>
    </row>
    <row r="213" spans="1:6" x14ac:dyDescent="0.3">
      <c r="A213" s="2">
        <v>42319</v>
      </c>
      <c r="B213" s="1">
        <v>-0.67950045190565689</v>
      </c>
      <c r="C213" s="1">
        <f>IRS_returns_2015_25[[#This Row],[IRSrtn]]-AVERAGE($B$2:$B$2600)</f>
        <v>-0.68527694597227273</v>
      </c>
      <c r="D213" s="1">
        <f>w+a*C212^2+b*D212</f>
        <v>4.398109141599015</v>
      </c>
      <c r="E213" s="1">
        <f t="shared" si="3"/>
        <v>-1.7129129767040243</v>
      </c>
      <c r="F213" s="7">
        <f>SQRT(IRS_returns_2015_25[[#This Row],[  σ2]])</f>
        <v>2.0971669322204693</v>
      </c>
    </row>
    <row r="214" spans="1:6" x14ac:dyDescent="0.3">
      <c r="A214" s="2">
        <v>42320</v>
      </c>
      <c r="B214" s="1">
        <v>-0.97061486289669041</v>
      </c>
      <c r="C214" s="1">
        <f>IRS_returns_2015_25[[#This Row],[IRSrtn]]-AVERAGE($B$2:$B$2600)</f>
        <v>-0.97639135696330626</v>
      </c>
      <c r="D214" s="1">
        <f>w+a*C213^2+b*D213</f>
        <v>4.3875782434540334</v>
      </c>
      <c r="E214" s="1">
        <f t="shared" si="3"/>
        <v>-1.7669680511157702</v>
      </c>
      <c r="F214" s="7">
        <f>SQRT(IRS_returns_2015_25[[#This Row],[  σ2]])</f>
        <v>2.0946546835824833</v>
      </c>
    </row>
    <row r="215" spans="1:6" x14ac:dyDescent="0.3">
      <c r="A215" s="2">
        <v>42321</v>
      </c>
      <c r="B215" s="1">
        <v>-3.5624236679243637</v>
      </c>
      <c r="C215" s="1">
        <f>IRS_returns_2015_25[[#This Row],[IRSrtn]]-AVERAGE($B$2:$B$2600)</f>
        <v>-3.5682001619909793</v>
      </c>
      <c r="D215" s="1">
        <f>w+a*C214^2+b*D214</f>
        <v>4.4984297130152582</v>
      </c>
      <c r="E215" s="1">
        <f t="shared" si="3"/>
        <v>-3.0859690393145716</v>
      </c>
      <c r="F215" s="7">
        <f>SQRT(IRS_returns_2015_25[[#This Row],[  σ2]])</f>
        <v>2.1209501910736277</v>
      </c>
    </row>
    <row r="216" spans="1:6" x14ac:dyDescent="0.3">
      <c r="A216" s="2">
        <v>42324</v>
      </c>
      <c r="B216" s="1">
        <v>-0.95580320506867267</v>
      </c>
      <c r="C216" s="1">
        <f>IRS_returns_2015_25[[#This Row],[IRSrtn]]-AVERAGE($B$2:$B$2600)</f>
        <v>-0.96157969913528851</v>
      </c>
      <c r="D216" s="1">
        <f>w+a*C215^2+b*D215</f>
        <v>7.4421059205086584</v>
      </c>
      <c r="E216" s="1">
        <f t="shared" si="3"/>
        <v>-1.9846373643975745</v>
      </c>
      <c r="F216" s="7">
        <f>SQRT(IRS_returns_2015_25[[#This Row],[  σ2]])</f>
        <v>2.7280223460427626</v>
      </c>
    </row>
    <row r="217" spans="1:6" x14ac:dyDescent="0.3">
      <c r="A217" s="2">
        <v>42325</v>
      </c>
      <c r="B217" s="1">
        <v>-0.30056624641394691</v>
      </c>
      <c r="C217" s="1">
        <f>IRS_returns_2015_25[[#This Row],[IRSrtn]]-AVERAGE($B$2:$B$2600)</f>
        <v>-0.3063427404805627</v>
      </c>
      <c r="D217" s="1">
        <f>w+a*C216^2+b*D216</f>
        <v>6.5248859785180597</v>
      </c>
      <c r="E217" s="1">
        <f t="shared" si="3"/>
        <v>-1.8639416528826649</v>
      </c>
      <c r="F217" s="7">
        <f>SQRT(IRS_returns_2015_25[[#This Row],[  σ2]])</f>
        <v>2.5543856362182393</v>
      </c>
    </row>
    <row r="218" spans="1:6" x14ac:dyDescent="0.3">
      <c r="A218" s="2">
        <v>42326</v>
      </c>
      <c r="B218" s="1">
        <v>0.36058206207782995</v>
      </c>
      <c r="C218" s="1">
        <f>IRS_returns_2015_25[[#This Row],[IRSrtn]]-AVERAGE($B$2:$B$2600)</f>
        <v>0.35480556801121416</v>
      </c>
      <c r="D218" s="1">
        <f>w+a*C217^2+b*D217</f>
        <v>5.7118556289088938</v>
      </c>
      <c r="E218" s="1">
        <f t="shared" si="3"/>
        <v>-1.8012303060924204</v>
      </c>
      <c r="F218" s="7">
        <f>SQRT(IRS_returns_2015_25[[#This Row],[  σ2]])</f>
        <v>2.3899488757939769</v>
      </c>
    </row>
    <row r="219" spans="1:6" x14ac:dyDescent="0.3">
      <c r="A219" s="2">
        <v>42327</v>
      </c>
      <c r="B219" s="1">
        <v>-2.183236286696344</v>
      </c>
      <c r="C219" s="1">
        <f>IRS_returns_2015_25[[#This Row],[IRSrtn]]-AVERAGE($B$2:$B$2600)</f>
        <v>-2.1890127807629596</v>
      </c>
      <c r="D219" s="1">
        <f>w+a*C218^2+b*D218</f>
        <v>5.1784145473478658</v>
      </c>
      <c r="E219" s="1">
        <f t="shared" si="3"/>
        <v>-2.2038563447875772</v>
      </c>
      <c r="F219" s="7">
        <f>SQRT(IRS_returns_2015_25[[#This Row],[  σ2]])</f>
        <v>2.2756130047413303</v>
      </c>
    </row>
    <row r="220" spans="1:6" x14ac:dyDescent="0.3">
      <c r="A220" s="2">
        <v>42328</v>
      </c>
      <c r="B220" s="1">
        <v>-7.9736069259424891</v>
      </c>
      <c r="C220" s="1">
        <f>IRS_returns_2015_25[[#This Row],[IRSrtn]]-AVERAGE($B$2:$B$2600)</f>
        <v>-7.9793834200091052</v>
      </c>
      <c r="D220" s="1">
        <f>w+a*C219^2+b*D219</f>
        <v>5.9601369143434253</v>
      </c>
      <c r="E220" s="1">
        <f t="shared" si="3"/>
        <v>-7.1528524697766844</v>
      </c>
      <c r="F220" s="7">
        <f>SQRT(IRS_returns_2015_25[[#This Row],[  σ2]])</f>
        <v>2.4413391641358282</v>
      </c>
    </row>
    <row r="221" spans="1:6" x14ac:dyDescent="0.3">
      <c r="A221" s="2">
        <v>42331</v>
      </c>
      <c r="B221" s="1">
        <v>-5.4583883518235954</v>
      </c>
      <c r="C221" s="1">
        <f>IRS_returns_2015_25[[#This Row],[IRSrtn]]-AVERAGE($B$2:$B$2600)</f>
        <v>-5.4641648458902115</v>
      </c>
      <c r="D221" s="1">
        <f>w+a*C220^2+b*D220</f>
        <v>20.826344375025958</v>
      </c>
      <c r="E221" s="1">
        <f t="shared" si="3"/>
        <v>-3.1538587117353365</v>
      </c>
      <c r="F221" s="7">
        <f>SQRT(IRS_returns_2015_25[[#This Row],[  σ2]])</f>
        <v>4.5635889796328017</v>
      </c>
    </row>
    <row r="222" spans="1:6" x14ac:dyDescent="0.3">
      <c r="A222" s="2">
        <v>42332</v>
      </c>
      <c r="B222" s="1">
        <v>0.1401613024480941</v>
      </c>
      <c r="C222" s="1">
        <f>IRS_returns_2015_25[[#This Row],[IRSrtn]]-AVERAGE($B$2:$B$2600)</f>
        <v>0.13438480838147832</v>
      </c>
      <c r="D222" s="1">
        <f>w+a*C221^2+b*D221</f>
        <v>22.484384875155239</v>
      </c>
      <c r="E222" s="1">
        <f t="shared" si="3"/>
        <v>-2.4757506605392261</v>
      </c>
      <c r="F222" s="7">
        <f>SQRT(IRS_returns_2015_25[[#This Row],[  σ2]])</f>
        <v>4.7417702258919334</v>
      </c>
    </row>
    <row r="223" spans="1:6" x14ac:dyDescent="0.3">
      <c r="A223" s="2">
        <v>42335</v>
      </c>
      <c r="B223" s="1">
        <v>-4.952573049148068</v>
      </c>
      <c r="C223" s="1">
        <f>IRS_returns_2015_25[[#This Row],[IRSrtn]]-AVERAGE($B$2:$B$2600)</f>
        <v>-4.958349543214684</v>
      </c>
      <c r="D223" s="1">
        <f>w+a*C222^2+b*D222</f>
        <v>16.317895393604367</v>
      </c>
      <c r="E223" s="1">
        <f t="shared" si="3"/>
        <v>-3.0683908360193755</v>
      </c>
      <c r="F223" s="7">
        <f>SQRT(IRS_returns_2015_25[[#This Row],[  σ2]])</f>
        <v>4.039541483089927</v>
      </c>
    </row>
    <row r="224" spans="1:6" x14ac:dyDescent="0.3">
      <c r="A224" s="2">
        <v>42338</v>
      </c>
      <c r="B224" s="1">
        <v>1.1704529813855391</v>
      </c>
      <c r="C224" s="1">
        <f>IRS_returns_2015_25[[#This Row],[IRSrtn]]-AVERAGE($B$2:$B$2600)</f>
        <v>1.1646764873189233</v>
      </c>
      <c r="D224" s="1">
        <f>w+a*C223^2+b*D223</f>
        <v>18.198545795747826</v>
      </c>
      <c r="E224" s="1">
        <f t="shared" si="3"/>
        <v>-2.4068780514078219</v>
      </c>
      <c r="F224" s="7">
        <f>SQRT(IRS_returns_2015_25[[#This Row],[  σ2]])</f>
        <v>4.2659753627684989</v>
      </c>
    </row>
    <row r="225" spans="1:6" x14ac:dyDescent="0.3">
      <c r="A225" s="2">
        <v>42339</v>
      </c>
      <c r="B225" s="1">
        <v>-0.58352229881468709</v>
      </c>
      <c r="C225" s="1">
        <f>IRS_returns_2015_25[[#This Row],[IRSrtn]]-AVERAGE($B$2:$B$2600)</f>
        <v>-0.58929879288130294</v>
      </c>
      <c r="D225" s="1">
        <f>w+a*C224^2+b*D224</f>
        <v>13.790844472694905</v>
      </c>
      <c r="E225" s="1">
        <f t="shared" si="3"/>
        <v>-2.2435317079364125</v>
      </c>
      <c r="F225" s="7">
        <f>SQRT(IRS_returns_2015_25[[#This Row],[  σ2]])</f>
        <v>3.7136026271930205</v>
      </c>
    </row>
    <row r="226" spans="1:6" x14ac:dyDescent="0.3">
      <c r="A226" s="2">
        <v>42340</v>
      </c>
      <c r="B226" s="1">
        <v>1.1636593589698041</v>
      </c>
      <c r="C226" s="1">
        <f>IRS_returns_2015_25[[#This Row],[IRSrtn]]-AVERAGE($B$2:$B$2600)</f>
        <v>1.1578828649031883</v>
      </c>
      <c r="D226" s="1">
        <f>w+a*C225^2+b*D225</f>
        <v>10.610673113678061</v>
      </c>
      <c r="E226" s="1">
        <f t="shared" si="3"/>
        <v>-2.1630453399173435</v>
      </c>
      <c r="F226" s="7">
        <f>SQRT(IRS_returns_2015_25[[#This Row],[  σ2]])</f>
        <v>3.2574028172269487</v>
      </c>
    </row>
    <row r="227" spans="1:6" x14ac:dyDescent="0.3">
      <c r="A227" s="2">
        <v>42341</v>
      </c>
      <c r="B227" s="1">
        <v>-0.94443002260411468</v>
      </c>
      <c r="C227" s="1">
        <f>IRS_returns_2015_25[[#This Row],[IRSrtn]]-AVERAGE($B$2:$B$2600)</f>
        <v>-0.95020651667073053</v>
      </c>
      <c r="D227" s="1">
        <f>w+a*C226^2+b*D226</f>
        <v>8.7356263595571555</v>
      </c>
      <c r="E227" s="1">
        <f t="shared" si="3"/>
        <v>-2.0543221027350729</v>
      </c>
      <c r="F227" s="7">
        <f>SQRT(IRS_returns_2015_25[[#This Row],[  σ2]])</f>
        <v>2.9556093042818015</v>
      </c>
    </row>
    <row r="228" spans="1:6" x14ac:dyDescent="0.3">
      <c r="A228" s="2">
        <v>42342</v>
      </c>
      <c r="B228" s="1">
        <v>-2.6628808141285543</v>
      </c>
      <c r="C228" s="1">
        <f>IRS_returns_2015_25[[#This Row],[IRSrtn]]-AVERAGE($B$2:$B$2600)</f>
        <v>-2.6686573081951699</v>
      </c>
      <c r="D228" s="1">
        <f>w+a*C227^2+b*D227</f>
        <v>7.3807064541228984</v>
      </c>
      <c r="E228" s="1">
        <f t="shared" si="3"/>
        <v>-2.4008291860388526</v>
      </c>
      <c r="F228" s="7">
        <f>SQRT(IRS_returns_2015_25[[#This Row],[  σ2]])</f>
        <v>2.7167455630078607</v>
      </c>
    </row>
    <row r="229" spans="1:6" x14ac:dyDescent="0.3">
      <c r="A229" s="2">
        <v>42345</v>
      </c>
      <c r="B229" s="1">
        <v>-2.8128097945140595</v>
      </c>
      <c r="C229" s="1">
        <f>IRS_returns_2015_25[[#This Row],[IRSrtn]]-AVERAGE($B$2:$B$2600)</f>
        <v>-2.8185862885806752</v>
      </c>
      <c r="D229" s="1">
        <f>w+a*C228^2+b*D228</f>
        <v>7.9939324106086431</v>
      </c>
      <c r="E229" s="1">
        <f t="shared" si="3"/>
        <v>-2.4551836033874421</v>
      </c>
      <c r="F229" s="7">
        <f>SQRT(IRS_returns_2015_25[[#This Row],[  σ2]])</f>
        <v>2.8273543128884011</v>
      </c>
    </row>
    <row r="230" spans="1:6" x14ac:dyDescent="0.3">
      <c r="A230" s="2">
        <v>42346</v>
      </c>
      <c r="B230" s="1">
        <v>-2.182468173112273</v>
      </c>
      <c r="C230" s="1">
        <f>IRS_returns_2015_25[[#This Row],[IRSrtn]]-AVERAGE($B$2:$B$2600)</f>
        <v>-2.1882446671788887</v>
      </c>
      <c r="D230" s="1">
        <f>w+a*C229^2+b*D229</f>
        <v>8.6026170731161109</v>
      </c>
      <c r="E230" s="1">
        <f t="shared" si="3"/>
        <v>-2.2732832787461374</v>
      </c>
      <c r="F230" s="7">
        <f>SQRT(IRS_returns_2015_25[[#This Row],[  σ2]])</f>
        <v>2.9330218330445668</v>
      </c>
    </row>
    <row r="231" spans="1:6" x14ac:dyDescent="0.3">
      <c r="A231" s="2">
        <v>42347</v>
      </c>
      <c r="B231" s="1">
        <v>0.47169633259360744</v>
      </c>
      <c r="C231" s="1">
        <f>IRS_returns_2015_25[[#This Row],[IRSrtn]]-AVERAGE($B$2:$B$2600)</f>
        <v>0.46591983852699165</v>
      </c>
      <c r="D231" s="1">
        <f>w+a*C230^2+b*D230</f>
        <v>8.2388665587677128</v>
      </c>
      <c r="E231" s="1">
        <f t="shared" si="3"/>
        <v>-1.9865441445555012</v>
      </c>
      <c r="F231" s="7">
        <f>SQRT(IRS_returns_2015_25[[#This Row],[  σ2]])</f>
        <v>2.870342585610246</v>
      </c>
    </row>
    <row r="232" spans="1:6" x14ac:dyDescent="0.3">
      <c r="A232" s="2">
        <v>42348</v>
      </c>
      <c r="B232" s="1">
        <v>-1.2628352179909541</v>
      </c>
      <c r="C232" s="1">
        <f>IRS_returns_2015_25[[#This Row],[IRSrtn]]-AVERAGE($B$2:$B$2600)</f>
        <v>-1.26861171205757</v>
      </c>
      <c r="D232" s="1">
        <f>w+a*C231^2+b*D231</f>
        <v>6.8829074293910892</v>
      </c>
      <c r="E232" s="1">
        <f t="shared" si="3"/>
        <v>-2.0003701462443129</v>
      </c>
      <c r="F232" s="7">
        <f>SQRT(IRS_returns_2015_25[[#This Row],[  σ2]])</f>
        <v>2.6235295747124883</v>
      </c>
    </row>
    <row r="233" spans="1:6" x14ac:dyDescent="0.3">
      <c r="A233" s="2">
        <v>42349</v>
      </c>
      <c r="B233" s="1">
        <v>-0.79745686636951696</v>
      </c>
      <c r="C233" s="1">
        <f>IRS_returns_2015_25[[#This Row],[IRSrtn]]-AVERAGE($B$2:$B$2600)</f>
        <v>-0.8032333604361328</v>
      </c>
      <c r="D233" s="1">
        <f>w+a*C232^2+b*D232</f>
        <v>6.3194549781112235</v>
      </c>
      <c r="E233" s="1">
        <f t="shared" si="3"/>
        <v>-1.8918024434436032</v>
      </c>
      <c r="F233" s="7">
        <f>SQRT(IRS_returns_2015_25[[#This Row],[  σ2]])</f>
        <v>2.5138526166247739</v>
      </c>
    </row>
    <row r="234" spans="1:6" x14ac:dyDescent="0.3">
      <c r="A234" s="2">
        <v>42352</v>
      </c>
      <c r="B234" s="1">
        <v>-3.9188838084021071</v>
      </c>
      <c r="C234" s="1">
        <f>IRS_returns_2015_25[[#This Row],[IRSrtn]]-AVERAGE($B$2:$B$2600)</f>
        <v>-3.9246603024687228</v>
      </c>
      <c r="D234" s="1">
        <f>w+a*C233^2+b*D233</f>
        <v>5.709430144150244</v>
      </c>
      <c r="E234" s="1">
        <f t="shared" si="3"/>
        <v>-3.1389032086438582</v>
      </c>
      <c r="F234" s="7">
        <f>SQRT(IRS_returns_2015_25[[#This Row],[  σ2]])</f>
        <v>2.389441387469097</v>
      </c>
    </row>
    <row r="235" spans="1:6" x14ac:dyDescent="0.3">
      <c r="A235" s="2">
        <v>42353</v>
      </c>
      <c r="B235" s="1">
        <v>2.7106555322649939</v>
      </c>
      <c r="C235" s="1">
        <f>IRS_returns_2015_25[[#This Row],[IRSrtn]]-AVERAGE($B$2:$B$2600)</f>
        <v>2.7048790381983783</v>
      </c>
      <c r="D235" s="1">
        <f>w+a*C234^2+b*D234</f>
        <v>8.8990547994524665</v>
      </c>
      <c r="E235" s="1">
        <f t="shared" si="3"/>
        <v>-2.4229867816030768</v>
      </c>
      <c r="F235" s="7">
        <f>SQRT(IRS_returns_2015_25[[#This Row],[  σ2]])</f>
        <v>2.9831283578573125</v>
      </c>
    </row>
    <row r="236" spans="1:6" x14ac:dyDescent="0.3">
      <c r="A236" s="2">
        <v>42354</v>
      </c>
      <c r="B236" s="1">
        <v>0.48504267209450447</v>
      </c>
      <c r="C236" s="1">
        <f>IRS_returns_2015_25[[#This Row],[IRSrtn]]-AVERAGE($B$2:$B$2600)</f>
        <v>0.47926617802788868</v>
      </c>
      <c r="D236" s="1">
        <f>w+a*C235^2+b*D235</f>
        <v>9.0521459751362539</v>
      </c>
      <c r="E236" s="1">
        <f t="shared" si="3"/>
        <v>-2.0331268422558093</v>
      </c>
      <c r="F236" s="7">
        <f>SQRT(IRS_returns_2015_25[[#This Row],[  σ2]])</f>
        <v>3.0086784432930438</v>
      </c>
    </row>
    <row r="237" spans="1:6" x14ac:dyDescent="0.3">
      <c r="A237" s="2">
        <v>42355</v>
      </c>
      <c r="B237" s="1">
        <v>1.9169898266263363</v>
      </c>
      <c r="C237" s="1">
        <f>IRS_returns_2015_25[[#This Row],[IRSrtn]]-AVERAGE($B$2:$B$2600)</f>
        <v>1.9112133325597205</v>
      </c>
      <c r="D237" s="1">
        <f>w+a*C236^2+b*D236</f>
        <v>7.4273947161077416</v>
      </c>
      <c r="E237" s="1">
        <f t="shared" si="3"/>
        <v>-2.1674223186028176</v>
      </c>
      <c r="F237" s="7">
        <f>SQRT(IRS_returns_2015_25[[#This Row],[  σ2]])</f>
        <v>2.725324699207003</v>
      </c>
    </row>
    <row r="238" spans="1:6" x14ac:dyDescent="0.3">
      <c r="A238" s="2">
        <v>42356</v>
      </c>
      <c r="B238" s="1">
        <v>-4.0360650262875719</v>
      </c>
      <c r="C238" s="1">
        <f>IRS_returns_2015_25[[#This Row],[IRSrtn]]-AVERAGE($B$2:$B$2600)</f>
        <v>-4.041841520354188</v>
      </c>
      <c r="D238" s="1">
        <f>w+a*C237^2+b*D237</f>
        <v>7.1797936335776207</v>
      </c>
      <c r="E238" s="1">
        <f t="shared" si="3"/>
        <v>-3.0422446356239594</v>
      </c>
      <c r="F238" s="7">
        <f>SQRT(IRS_returns_2015_25[[#This Row],[  σ2]])</f>
        <v>2.6795136934857453</v>
      </c>
    </row>
    <row r="239" spans="1:6" x14ac:dyDescent="0.3">
      <c r="A239" s="2">
        <v>42359</v>
      </c>
      <c r="B239" s="1">
        <v>-0.57828583320524984</v>
      </c>
      <c r="C239" s="1">
        <f>IRS_returns_2015_25[[#This Row],[IRSrtn]]-AVERAGE($B$2:$B$2600)</f>
        <v>-0.58406232727186569</v>
      </c>
      <c r="D239" s="1">
        <f>w+a*C238^2+b*D238</f>
        <v>10.105353349768727</v>
      </c>
      <c r="E239" s="1">
        <f t="shared" si="3"/>
        <v>-2.0923498104443143</v>
      </c>
      <c r="F239" s="7">
        <f>SQRT(IRS_returns_2015_25[[#This Row],[  σ2]])</f>
        <v>3.1788918430435356</v>
      </c>
    </row>
    <row r="240" spans="1:6" x14ac:dyDescent="0.3">
      <c r="A240" s="2">
        <v>42360</v>
      </c>
      <c r="B240" s="1">
        <v>1.2351082233790223</v>
      </c>
      <c r="C240" s="1">
        <f>IRS_returns_2015_25[[#This Row],[IRSrtn]]-AVERAGE($B$2:$B$2600)</f>
        <v>1.2293317293124064</v>
      </c>
      <c r="D240" s="1">
        <f>w+a*C239^2+b*D239</f>
        <v>8.1556830275583607</v>
      </c>
      <c r="E240" s="1">
        <f t="shared" si="3"/>
        <v>-2.0609465444929964</v>
      </c>
      <c r="F240" s="7">
        <f>SQRT(IRS_returns_2015_25[[#This Row],[  σ2]])</f>
        <v>2.8558156501354146</v>
      </c>
    </row>
    <row r="241" spans="1:6" x14ac:dyDescent="0.3">
      <c r="A241" s="2">
        <v>42361</v>
      </c>
      <c r="B241" s="1">
        <v>3.4583203804838369</v>
      </c>
      <c r="C241" s="1">
        <f>IRS_returns_2015_25[[#This Row],[IRSrtn]]-AVERAGE($B$2:$B$2600)</f>
        <v>3.4525438864172213</v>
      </c>
      <c r="D241" s="1">
        <f>w+a*C240^2+b*D240</f>
        <v>7.1428562517551315</v>
      </c>
      <c r="E241" s="1">
        <f t="shared" si="3"/>
        <v>-2.736399153244033</v>
      </c>
      <c r="F241" s="7">
        <f>SQRT(IRS_returns_2015_25[[#This Row],[  σ2]])</f>
        <v>2.6726122524143174</v>
      </c>
    </row>
    <row r="242" spans="1:6" x14ac:dyDescent="0.3">
      <c r="A242" s="2">
        <v>42362</v>
      </c>
      <c r="B242" s="1">
        <v>-0.15821807112863517</v>
      </c>
      <c r="C242" s="1">
        <f>IRS_returns_2015_25[[#This Row],[IRSrtn]]-AVERAGE($B$2:$B$2600)</f>
        <v>-0.16399456519525096</v>
      </c>
      <c r="D242" s="1">
        <f>w+a*C241^2+b*D241</f>
        <v>9.0047029314150606</v>
      </c>
      <c r="E242" s="1">
        <f t="shared" si="3"/>
        <v>-2.0193053704463941</v>
      </c>
      <c r="F242" s="7">
        <f>SQRT(IRS_returns_2015_25[[#This Row],[  σ2]])</f>
        <v>3.0007837195331257</v>
      </c>
    </row>
    <row r="243" spans="1:6" x14ac:dyDescent="0.3">
      <c r="A243" s="2">
        <v>42366</v>
      </c>
      <c r="B243" s="1">
        <v>-1.5962211765827128</v>
      </c>
      <c r="C243" s="1">
        <f>IRS_returns_2015_25[[#This Row],[IRSrtn]]-AVERAGE($B$2:$B$2600)</f>
        <v>-1.6019976706493286</v>
      </c>
      <c r="D243" s="1">
        <f>w+a*C242^2+b*D242</f>
        <v>7.3463984646325029</v>
      </c>
      <c r="E243" s="1">
        <f t="shared" si="3"/>
        <v>-2.0907140151152404</v>
      </c>
      <c r="F243" s="7">
        <f>SQRT(IRS_returns_2015_25[[#This Row],[  σ2]])</f>
        <v>2.71042403779049</v>
      </c>
    </row>
    <row r="244" spans="1:6" x14ac:dyDescent="0.3">
      <c r="A244" s="2">
        <v>42367</v>
      </c>
      <c r="B244" s="1">
        <v>0.16077991403640191</v>
      </c>
      <c r="C244" s="1">
        <f>IRS_returns_2015_25[[#This Row],[IRSrtn]]-AVERAGE($B$2:$B$2600)</f>
        <v>0.15500341996978612</v>
      </c>
      <c r="D244" s="1">
        <f>w+a*C243^2+b*D243</f>
        <v>6.8611866181697572</v>
      </c>
      <c r="E244" s="1">
        <f t="shared" si="3"/>
        <v>-1.8836296025088881</v>
      </c>
      <c r="F244" s="7">
        <f>SQRT(IRS_returns_2015_25[[#This Row],[  σ2]])</f>
        <v>2.6193866874079048</v>
      </c>
    </row>
    <row r="245" spans="1:6" x14ac:dyDescent="0.3">
      <c r="A245" s="2">
        <v>42368</v>
      </c>
      <c r="B245" s="1">
        <v>-0.56382786196778056</v>
      </c>
      <c r="C245" s="1">
        <f>IRS_returns_2015_25[[#This Row],[IRSrtn]]-AVERAGE($B$2:$B$2600)</f>
        <v>-0.56960435603439641</v>
      </c>
      <c r="D245" s="1">
        <f>w+a*C244^2+b*D244</f>
        <v>5.9187250037830594</v>
      </c>
      <c r="E245" s="1">
        <f t="shared" si="3"/>
        <v>-1.835407761103399</v>
      </c>
      <c r="F245" s="7">
        <f>SQRT(IRS_returns_2015_25[[#This Row],[  σ2]])</f>
        <v>2.4328429879018207</v>
      </c>
    </row>
    <row r="246" spans="1:6" x14ac:dyDescent="0.3">
      <c r="A246" s="2">
        <v>42369</v>
      </c>
      <c r="B246" s="1">
        <v>-0.64830598227443303</v>
      </c>
      <c r="C246" s="1">
        <f>IRS_returns_2015_25[[#This Row],[IRSrtn]]-AVERAGE($B$2:$B$2600)</f>
        <v>-0.65408247634104888</v>
      </c>
      <c r="D246" s="1">
        <f>w+a*C245^2+b*D245</f>
        <v>5.3645105650555189</v>
      </c>
      <c r="E246" s="1">
        <f t="shared" si="3"/>
        <v>-1.7987164939769247</v>
      </c>
      <c r="F246" s="7">
        <f>SQRT(IRS_returns_2015_25[[#This Row],[  σ2]])</f>
        <v>2.3161413093884229</v>
      </c>
    </row>
    <row r="247" spans="1:6" x14ac:dyDescent="0.3">
      <c r="A247" s="2">
        <v>42373</v>
      </c>
      <c r="B247" s="1">
        <v>-1.9705053291999342</v>
      </c>
      <c r="C247" s="1">
        <f>IRS_returns_2015_25[[#This Row],[IRSrtn]]-AVERAGE($B$2:$B$2600)</f>
        <v>-1.97628182326655</v>
      </c>
      <c r="D247" s="1">
        <f>w+a*C246^2+b*D246</f>
        <v>5.0207479876371917</v>
      </c>
      <c r="E247" s="1">
        <f t="shared" si="3"/>
        <v>-2.1146829731502246</v>
      </c>
      <c r="F247" s="7">
        <f>SQRT(IRS_returns_2015_25[[#This Row],[  σ2]])</f>
        <v>2.2407025656336432</v>
      </c>
    </row>
    <row r="248" spans="1:6" x14ac:dyDescent="0.3">
      <c r="A248" s="2">
        <v>42374</v>
      </c>
      <c r="B248" s="1">
        <v>-0.41546726823877833</v>
      </c>
      <c r="C248" s="1">
        <f>IRS_returns_2015_25[[#This Row],[IRSrtn]]-AVERAGE($B$2:$B$2600)</f>
        <v>-0.42124376230539412</v>
      </c>
      <c r="D248" s="1">
        <f>w+a*C247^2+b*D247</f>
        <v>5.6392807311206727</v>
      </c>
      <c r="E248" s="1">
        <f t="shared" si="3"/>
        <v>-1.7995498589683117</v>
      </c>
      <c r="F248" s="7">
        <f>SQRT(IRS_returns_2015_25[[#This Row],[  σ2]])</f>
        <v>2.3747169791620797</v>
      </c>
    </row>
    <row r="249" spans="1:6" x14ac:dyDescent="0.3">
      <c r="A249" s="2">
        <v>42375</v>
      </c>
      <c r="B249" s="1">
        <v>-10.526791628621845</v>
      </c>
      <c r="C249" s="1">
        <f>IRS_returns_2015_25[[#This Row],[IRSrtn]]-AVERAGE($B$2:$B$2600)</f>
        <v>-10.532568122688462</v>
      </c>
      <c r="D249" s="1">
        <f>w+a*C248^2+b*D248</f>
        <v>5.1426626403890463</v>
      </c>
      <c r="E249" s="1">
        <f t="shared" si="3"/>
        <v>-12.523478306406471</v>
      </c>
      <c r="F249" s="7">
        <f>SQRT(IRS_returns_2015_25[[#This Row],[  σ2]])</f>
        <v>2.2677439538865594</v>
      </c>
    </row>
    <row r="250" spans="1:6" x14ac:dyDescent="0.3">
      <c r="A250" s="2">
        <v>42376</v>
      </c>
      <c r="B250" s="1">
        <v>-6.2997896566289402</v>
      </c>
      <c r="C250" s="1">
        <f>IRS_returns_2015_25[[#This Row],[IRSrtn]]-AVERAGE($B$2:$B$2600)</f>
        <v>-6.3055661506955563</v>
      </c>
      <c r="D250" s="1">
        <f>w+a*C249^2+b*D249</f>
        <v>31.798105892182615</v>
      </c>
      <c r="E250" s="1">
        <f t="shared" si="3"/>
        <v>-3.2738389532209582</v>
      </c>
      <c r="F250" s="7">
        <f>SQRT(IRS_returns_2015_25[[#This Row],[  σ2]])</f>
        <v>5.6389809267439999</v>
      </c>
    </row>
    <row r="251" spans="1:6" x14ac:dyDescent="0.3">
      <c r="A251" s="2">
        <v>42377</v>
      </c>
      <c r="B251" s="1">
        <v>-1.7893133325196153</v>
      </c>
      <c r="C251" s="1">
        <f>IRS_returns_2015_25[[#This Row],[IRSrtn]]-AVERAGE($B$2:$B$2600)</f>
        <v>-1.7950898265862312</v>
      </c>
      <c r="D251" s="1">
        <f>w+a*C250^2+b*D250</f>
        <v>32.201349880518791</v>
      </c>
      <c r="E251" s="1">
        <f t="shared" si="3"/>
        <v>-2.7049770740285886</v>
      </c>
      <c r="F251" s="7">
        <f>SQRT(IRS_returns_2015_25[[#This Row],[  σ2]])</f>
        <v>5.6746233249898435</v>
      </c>
    </row>
    <row r="252" spans="1:6" x14ac:dyDescent="0.3">
      <c r="A252" s="2">
        <v>42380</v>
      </c>
      <c r="B252" s="1">
        <v>1.7893133325196153</v>
      </c>
      <c r="C252" s="1">
        <f>IRS_returns_2015_25[[#This Row],[IRSrtn]]-AVERAGE($B$2:$B$2600)</f>
        <v>1.7835368384529995</v>
      </c>
      <c r="D252" s="1">
        <f>w+a*C251^2+b*D251</f>
        <v>23.567365481534022</v>
      </c>
      <c r="E252" s="1">
        <f t="shared" si="3"/>
        <v>-2.5663574695821381</v>
      </c>
      <c r="F252" s="7">
        <f>SQRT(IRS_returns_2015_25[[#This Row],[  σ2]])</f>
        <v>4.8546231039632746</v>
      </c>
    </row>
    <row r="253" spans="1:6" x14ac:dyDescent="0.3">
      <c r="A253" s="2">
        <v>42381</v>
      </c>
      <c r="B253" s="1">
        <v>-3.2034932824099194</v>
      </c>
      <c r="C253" s="1">
        <f>IRS_returns_2015_25[[#This Row],[IRSrtn]]-AVERAGE($B$2:$B$2600)</f>
        <v>-3.209269776476535</v>
      </c>
      <c r="D253" s="1">
        <f>w+a*C252^2+b*D252</f>
        <v>17.809504349600147</v>
      </c>
      <c r="E253" s="1">
        <f t="shared" si="3"/>
        <v>-2.6479596116262876</v>
      </c>
      <c r="F253" s="7">
        <f>SQRT(IRS_returns_2015_25[[#This Row],[  σ2]])</f>
        <v>4.2201308450805346</v>
      </c>
    </row>
    <row r="254" spans="1:6" x14ac:dyDescent="0.3">
      <c r="A254" s="2">
        <v>42382</v>
      </c>
      <c r="B254" s="1">
        <v>-1.9517776631006178</v>
      </c>
      <c r="C254" s="1">
        <f>IRS_returns_2015_25[[#This Row],[IRSrtn]]-AVERAGE($B$2:$B$2600)</f>
        <v>-1.9575541571672337</v>
      </c>
      <c r="D254" s="1">
        <f>w+a*C253^2+b*D253</f>
        <v>15.710798629814928</v>
      </c>
      <c r="E254" s="1">
        <f t="shared" si="3"/>
        <v>-2.4180675933325069</v>
      </c>
      <c r="F254" s="7">
        <f>SQRT(IRS_returns_2015_25[[#This Row],[  σ2]])</f>
        <v>3.9636849811526305</v>
      </c>
    </row>
    <row r="255" spans="1:6" x14ac:dyDescent="0.3">
      <c r="A255" s="2">
        <v>42383</v>
      </c>
      <c r="B255" s="1">
        <v>-3.1614860890140317</v>
      </c>
      <c r="C255" s="1">
        <f>IRS_returns_2015_25[[#This Row],[IRSrtn]]-AVERAGE($B$2:$B$2600)</f>
        <v>-3.1672625830806473</v>
      </c>
      <c r="D255" s="1">
        <f>w+a*C254^2+b*D254</f>
        <v>12.737876049691529</v>
      </c>
      <c r="E255" s="1">
        <f t="shared" si="3"/>
        <v>-2.5849971342915246</v>
      </c>
      <c r="F255" s="7">
        <f>SQRT(IRS_returns_2015_25[[#This Row],[  σ2]])</f>
        <v>3.569016117880603</v>
      </c>
    </row>
    <row r="256" spans="1:6" x14ac:dyDescent="0.3">
      <c r="A256" s="2">
        <v>42384</v>
      </c>
      <c r="B256" s="1">
        <v>-3.8193378040852988</v>
      </c>
      <c r="C256" s="1">
        <f>IRS_returns_2015_25[[#This Row],[IRSrtn]]-AVERAGE($B$2:$B$2600)</f>
        <v>-3.8251142981519144</v>
      </c>
      <c r="D256" s="1">
        <f>w+a*C255^2+b*D255</f>
        <v>12.269266824187774</v>
      </c>
      <c r="E256" s="1">
        <f t="shared" si="3"/>
        <v>-2.7687535330709641</v>
      </c>
      <c r="F256" s="7">
        <f>SQRT(IRS_returns_2015_25[[#This Row],[  σ2]])</f>
        <v>3.5027513220592428</v>
      </c>
    </row>
    <row r="257" spans="1:6" x14ac:dyDescent="0.3">
      <c r="A257" s="2">
        <v>42388</v>
      </c>
      <c r="B257" s="1">
        <v>-4.4350722740285065</v>
      </c>
      <c r="C257" s="1">
        <f>IRS_returns_2015_25[[#This Row],[IRSrtn]]-AVERAGE($B$2:$B$2600)</f>
        <v>-4.4408487680951225</v>
      </c>
      <c r="D257" s="1">
        <f>w+a*C256^2+b*D256</f>
        <v>13.078081883719435</v>
      </c>
      <c r="E257" s="1">
        <f t="shared" si="3"/>
        <v>-2.9583840683784191</v>
      </c>
      <c r="F257" s="7">
        <f>SQRT(IRS_returns_2015_25[[#This Row],[  σ2]])</f>
        <v>3.6163630741007511</v>
      </c>
    </row>
    <row r="258" spans="1:6" x14ac:dyDescent="0.3">
      <c r="A258" s="2">
        <v>42389</v>
      </c>
      <c r="B258" s="1">
        <v>0.57972165882225202</v>
      </c>
      <c r="C258" s="1">
        <f>IRS_returns_2015_25[[#This Row],[IRSrtn]]-AVERAGE($B$2:$B$2600)</f>
        <v>0.57394516475563617</v>
      </c>
      <c r="D258" s="1">
        <f>w+a*C257^2+b*D257</f>
        <v>14.856612802896237</v>
      </c>
      <c r="E258" s="1">
        <f t="shared" ref="E258:E321" si="4">-0.5*(LN(2*PI())+LN(D258)+C258^2/D258)</f>
        <v>-2.2792474812703176</v>
      </c>
      <c r="F258" s="7">
        <f>SQRT(IRS_returns_2015_25[[#This Row],[  σ2]])</f>
        <v>3.8544276881135331</v>
      </c>
    </row>
    <row r="259" spans="1:6" x14ac:dyDescent="0.3">
      <c r="A259" s="2">
        <v>42390</v>
      </c>
      <c r="B259" s="1">
        <v>5.2910630364776834</v>
      </c>
      <c r="C259" s="1">
        <f>IRS_returns_2015_25[[#This Row],[IRSrtn]]-AVERAGE($B$2:$B$2600)</f>
        <v>5.2852865424110673</v>
      </c>
      <c r="D259" s="1">
        <f>w+a*C258^2+b*D258</f>
        <v>11.315821315063609</v>
      </c>
      <c r="E259" s="1">
        <f t="shared" si="4"/>
        <v>-3.3663402306804353</v>
      </c>
      <c r="F259" s="7">
        <f>SQRT(IRS_returns_2015_25[[#This Row],[  σ2]])</f>
        <v>3.36389971834233</v>
      </c>
    </row>
    <row r="260" spans="1:6" x14ac:dyDescent="0.3">
      <c r="A260" s="2">
        <v>42391</v>
      </c>
      <c r="B260" s="1">
        <v>3.8714415148207948</v>
      </c>
      <c r="C260" s="1">
        <f>IRS_returns_2015_25[[#This Row],[IRSrtn]]-AVERAGE($B$2:$B$2600)</f>
        <v>3.8656650207541792</v>
      </c>
      <c r="D260" s="1">
        <f>w+a*C259^2+b*D259</f>
        <v>15.684570316466917</v>
      </c>
      <c r="E260" s="1">
        <f t="shared" si="4"/>
        <v>-2.771648803604652</v>
      </c>
      <c r="F260" s="7">
        <f>SQRT(IRS_returns_2015_25[[#This Row],[  σ2]])</f>
        <v>3.9603750222001599</v>
      </c>
    </row>
    <row r="261" spans="1:6" x14ac:dyDescent="0.3">
      <c r="A261" s="2">
        <v>42395</v>
      </c>
      <c r="B261" s="1">
        <v>0.73568562851242802</v>
      </c>
      <c r="C261" s="1">
        <f>IRS_returns_2015_25[[#This Row],[IRSrtn]]-AVERAGE($B$2:$B$2600)</f>
        <v>0.72990913444581218</v>
      </c>
      <c r="D261" s="1">
        <f>w+a*C260^2+b*D260</f>
        <v>15.427692738887615</v>
      </c>
      <c r="E261" s="1">
        <f t="shared" si="4"/>
        <v>-2.3042871871305706</v>
      </c>
      <c r="F261" s="7">
        <f>SQRT(IRS_returns_2015_25[[#This Row],[  σ2]])</f>
        <v>3.9278101709333679</v>
      </c>
    </row>
    <row r="262" spans="1:6" x14ac:dyDescent="0.3">
      <c r="A262" s="2">
        <v>42397</v>
      </c>
      <c r="B262" s="1">
        <v>1.4553190380769188</v>
      </c>
      <c r="C262" s="1">
        <f>IRS_returns_2015_25[[#This Row],[IRSrtn]]-AVERAGE($B$2:$B$2600)</f>
        <v>1.4495425440103029</v>
      </c>
      <c r="D262" s="1">
        <f>w+a*C261^2+b*D261</f>
        <v>11.745545999414613</v>
      </c>
      <c r="E262" s="1">
        <f t="shared" si="4"/>
        <v>-2.2401211332003608</v>
      </c>
      <c r="F262" s="7">
        <f>SQRT(IRS_returns_2015_25[[#This Row],[  σ2]])</f>
        <v>3.4271775558635147</v>
      </c>
    </row>
    <row r="263" spans="1:6" x14ac:dyDescent="0.3">
      <c r="A263" s="2">
        <v>42398</v>
      </c>
      <c r="B263" s="1">
        <v>14.303216245703654</v>
      </c>
      <c r="C263" s="1">
        <f>IRS_returns_2015_25[[#This Row],[IRSrtn]]-AVERAGE($B$2:$B$2600)</f>
        <v>14.297439751637038</v>
      </c>
      <c r="D263" s="1">
        <f>w+a*C262^2+b*D262</f>
        <v>9.6764211922949759</v>
      </c>
      <c r="E263" s="1">
        <f t="shared" si="4"/>
        <v>-12.616407871111264</v>
      </c>
      <c r="F263" s="7">
        <f>SQRT(IRS_returns_2015_25[[#This Row],[  σ2]])</f>
        <v>3.1106946478712718</v>
      </c>
    </row>
    <row r="264" spans="1:6" x14ac:dyDescent="0.3">
      <c r="A264" s="2">
        <v>42401</v>
      </c>
      <c r="B264" s="1">
        <v>-8.0042783316206734</v>
      </c>
      <c r="C264" s="1">
        <f>IRS_returns_2015_25[[#This Row],[IRSrtn]]-AVERAGE($B$2:$B$2600)</f>
        <v>-8.0100548256872894</v>
      </c>
      <c r="D264" s="1">
        <f>w+a*C263^2+b*D263</f>
        <v>57.593121784518139</v>
      </c>
      <c r="E264" s="1">
        <f t="shared" si="4"/>
        <v>-3.5026595591039249</v>
      </c>
      <c r="F264" s="7">
        <f>SQRT(IRS_returns_2015_25[[#This Row],[  σ2]])</f>
        <v>7.5890132286429797</v>
      </c>
    </row>
    <row r="265" spans="1:6" x14ac:dyDescent="0.3">
      <c r="A265" s="2">
        <v>42402</v>
      </c>
      <c r="B265" s="1">
        <v>-4.6612210693655509</v>
      </c>
      <c r="C265" s="1">
        <f>IRS_returns_2015_25[[#This Row],[IRSrtn]]-AVERAGE($B$2:$B$2600)</f>
        <v>-4.666997563432167</v>
      </c>
      <c r="D265" s="1">
        <f>w+a*C264^2+b*D264</f>
        <v>55.318775727429411</v>
      </c>
      <c r="E265" s="1">
        <f t="shared" si="4"/>
        <v>-3.1223615712046615</v>
      </c>
      <c r="F265" s="7">
        <f>SQRT(IRS_returns_2015_25[[#This Row],[  σ2]])</f>
        <v>7.4376592908945094</v>
      </c>
    </row>
    <row r="266" spans="1:6" x14ac:dyDescent="0.3">
      <c r="A266" s="2">
        <v>42403</v>
      </c>
      <c r="B266" s="1">
        <v>0.50632163892756488</v>
      </c>
      <c r="C266" s="1">
        <f>IRS_returns_2015_25[[#This Row],[IRSrtn]]-AVERAGE($B$2:$B$2600)</f>
        <v>0.50054514486094903</v>
      </c>
      <c r="D266" s="1">
        <f>w+a*C265^2+b*D265</f>
        <v>43.478801043884246</v>
      </c>
      <c r="E266" s="1">
        <f t="shared" si="4"/>
        <v>-2.8079565134842381</v>
      </c>
      <c r="F266" s="7">
        <f>SQRT(IRS_returns_2015_25[[#This Row],[  σ2]])</f>
        <v>6.593845694576439</v>
      </c>
    </row>
    <row r="267" spans="1:6" x14ac:dyDescent="0.3">
      <c r="A267" s="2">
        <v>42404</v>
      </c>
      <c r="B267" s="1">
        <v>4.0579483000817707</v>
      </c>
      <c r="C267" s="1">
        <f>IRS_returns_2015_25[[#This Row],[IRSrtn]]-AVERAGE($B$2:$B$2600)</f>
        <v>4.0521718060151546</v>
      </c>
      <c r="D267" s="1">
        <f>w+a*C266^2+b*D266</f>
        <v>30.350874324006718</v>
      </c>
      <c r="E267" s="1">
        <f t="shared" si="4"/>
        <v>-2.8958556987072717</v>
      </c>
      <c r="F267" s="7">
        <f>SQRT(IRS_returns_2015_25[[#This Row],[  σ2]])</f>
        <v>5.5091627607111695</v>
      </c>
    </row>
    <row r="268" spans="1:6" x14ac:dyDescent="0.3">
      <c r="A268" s="2">
        <v>42405</v>
      </c>
      <c r="B268" s="1">
        <v>4.2721287705814071</v>
      </c>
      <c r="C268" s="1">
        <f>IRS_returns_2015_25[[#This Row],[IRSrtn]]-AVERAGE($B$2:$B$2600)</f>
        <v>4.266352276514791</v>
      </c>
      <c r="D268" s="1">
        <f>w+a*C267^2+b*D267</f>
        <v>25.551101433728743</v>
      </c>
      <c r="E268" s="1">
        <f t="shared" si="4"/>
        <v>-2.8954622508692309</v>
      </c>
      <c r="F268" s="7">
        <f>SQRT(IRS_returns_2015_25[[#This Row],[  σ2]])</f>
        <v>5.0548097326930854</v>
      </c>
    </row>
    <row r="269" spans="1:6" x14ac:dyDescent="0.3">
      <c r="A269" s="2">
        <v>42408</v>
      </c>
      <c r="B269" s="1">
        <v>-6.4290630945557758</v>
      </c>
      <c r="C269" s="1">
        <f>IRS_returns_2015_25[[#This Row],[IRSrtn]]-AVERAGE($B$2:$B$2600)</f>
        <v>-6.4348395886223919</v>
      </c>
      <c r="D269" s="1">
        <f>w+a*C268^2+b*D268</f>
        <v>22.789914763669973</v>
      </c>
      <c r="E269" s="1">
        <f t="shared" si="4"/>
        <v>-3.3905511915889641</v>
      </c>
      <c r="F269" s="7">
        <f>SQRT(IRS_returns_2015_25[[#This Row],[  σ2]])</f>
        <v>4.7738783775532001</v>
      </c>
    </row>
    <row r="270" spans="1:6" x14ac:dyDescent="0.3">
      <c r="A270" s="2">
        <v>42409</v>
      </c>
      <c r="B270" s="1">
        <v>0.4943191570263572</v>
      </c>
      <c r="C270" s="1">
        <f>IRS_returns_2015_25[[#This Row],[IRSrtn]]-AVERAGE($B$2:$B$2600)</f>
        <v>0.48854266295974141</v>
      </c>
      <c r="D270" s="1">
        <f>w+a*C269^2+b*D269</f>
        <v>26.605736696297967</v>
      </c>
      <c r="E270" s="1">
        <f t="shared" si="4"/>
        <v>-2.5639873469017873</v>
      </c>
      <c r="F270" s="7">
        <f>SQRT(IRS_returns_2015_25[[#This Row],[  σ2]])</f>
        <v>5.1580749021604921</v>
      </c>
    </row>
    <row r="271" spans="1:6" x14ac:dyDescent="0.3">
      <c r="A271" s="2">
        <v>42410</v>
      </c>
      <c r="B271" s="1">
        <v>1.2739008886110348</v>
      </c>
      <c r="C271" s="1">
        <f>IRS_returns_2015_25[[#This Row],[IRSrtn]]-AVERAGE($B$2:$B$2600)</f>
        <v>1.2681243945444189</v>
      </c>
      <c r="D271" s="1">
        <f>w+a*C270^2+b*D270</f>
        <v>19.115300892538173</v>
      </c>
      <c r="E271" s="1">
        <f t="shared" si="4"/>
        <v>-2.4362472820836993</v>
      </c>
      <c r="F271" s="7">
        <f>SQRT(IRS_returns_2015_25[[#This Row],[  σ2]])</f>
        <v>4.3721048583649242</v>
      </c>
    </row>
    <row r="272" spans="1:6" x14ac:dyDescent="0.3">
      <c r="A272" s="2">
        <v>42411</v>
      </c>
      <c r="B272" s="1">
        <v>-1.3725738845555835</v>
      </c>
      <c r="C272" s="1">
        <f>IRS_returns_2015_25[[#This Row],[IRSrtn]]-AVERAGE($B$2:$B$2600)</f>
        <v>-1.3783503786221993</v>
      </c>
      <c r="D272" s="1">
        <f>w+a*C271^2+b*D271</f>
        <v>14.462462551620145</v>
      </c>
      <c r="E272" s="1">
        <f t="shared" si="4"/>
        <v>-2.3203988828248447</v>
      </c>
      <c r="F272" s="7">
        <f>SQRT(IRS_returns_2015_25[[#This Row],[  σ2]])</f>
        <v>3.8029544503740964</v>
      </c>
    </row>
    <row r="273" spans="1:6" x14ac:dyDescent="0.3">
      <c r="A273" s="2">
        <v>42412</v>
      </c>
      <c r="B273" s="1">
        <v>4.4408810135200039</v>
      </c>
      <c r="C273" s="1">
        <f>IRS_returns_2015_25[[#This Row],[IRSrtn]]-AVERAGE($B$2:$B$2600)</f>
        <v>4.4351045194533878</v>
      </c>
      <c r="D273" s="1">
        <f>w+a*C272^2+b*D272</f>
        <v>11.436065447457528</v>
      </c>
      <c r="E273" s="1">
        <f t="shared" si="4"/>
        <v>-2.9973297578531697</v>
      </c>
      <c r="F273" s="7">
        <f>SQRT(IRS_returns_2015_25[[#This Row],[  σ2]])</f>
        <v>3.3817252176156369</v>
      </c>
    </row>
    <row r="274" spans="1:6" x14ac:dyDescent="0.3">
      <c r="A274" s="2">
        <v>42416</v>
      </c>
      <c r="B274" s="1">
        <v>-0.18903491540895878</v>
      </c>
      <c r="C274" s="1">
        <f>IRS_returns_2015_25[[#This Row],[IRSrtn]]-AVERAGE($B$2:$B$2600)</f>
        <v>-0.19481140947557457</v>
      </c>
      <c r="D274" s="1">
        <f>w+a*C273^2+b*D273</f>
        <v>13.751072367946374</v>
      </c>
      <c r="E274" s="1">
        <f t="shared" si="4"/>
        <v>-2.2308768853254235</v>
      </c>
      <c r="F274" s="7">
        <f>SQRT(IRS_returns_2015_25[[#This Row],[  σ2]])</f>
        <v>3.7082438387930177</v>
      </c>
    </row>
    <row r="275" spans="1:6" x14ac:dyDescent="0.3">
      <c r="A275" s="2">
        <v>42417</v>
      </c>
      <c r="B275" s="1">
        <v>-3.5632152801901906</v>
      </c>
      <c r="C275" s="1">
        <f>IRS_returns_2015_25[[#This Row],[IRSrtn]]-AVERAGE($B$2:$B$2600)</f>
        <v>-3.5689917742568062</v>
      </c>
      <c r="D275" s="1">
        <f>w+a*C274^2+b*D274</f>
        <v>10.508830026891745</v>
      </c>
      <c r="E275" s="1">
        <f t="shared" si="4"/>
        <v>-2.7010940554897815</v>
      </c>
      <c r="F275" s="7">
        <f>SQRT(IRS_returns_2015_25[[#This Row],[  σ2]])</f>
        <v>3.2417325656031135</v>
      </c>
    </row>
    <row r="276" spans="1:6" x14ac:dyDescent="0.3">
      <c r="A276" s="2">
        <v>42418</v>
      </c>
      <c r="B276" s="1">
        <v>2.8034925530538768</v>
      </c>
      <c r="C276" s="1">
        <f>IRS_returns_2015_25[[#This Row],[IRSrtn]]-AVERAGE($B$2:$B$2600)</f>
        <v>2.7977160589872612</v>
      </c>
      <c r="D276" s="1">
        <f>w+a*C275^2+b*D275</f>
        <v>11.444706457289255</v>
      </c>
      <c r="E276" s="1">
        <f t="shared" si="4"/>
        <v>-2.4796600670815523</v>
      </c>
      <c r="F276" s="7">
        <f>SQRT(IRS_returns_2015_25[[#This Row],[  σ2]])</f>
        <v>3.3830025801481818</v>
      </c>
    </row>
    <row r="277" spans="1:6" x14ac:dyDescent="0.3">
      <c r="A277" s="2">
        <v>42419</v>
      </c>
      <c r="B277" s="1">
        <v>0.19046442508448003</v>
      </c>
      <c r="C277" s="1">
        <f>IRS_returns_2015_25[[#This Row],[IRSrtn]]-AVERAGE($B$2:$B$2600)</f>
        <v>0.18468793101786424</v>
      </c>
      <c r="D277" s="1">
        <f>w+a*C276^2+b*D276</f>
        <v>10.871295982982227</v>
      </c>
      <c r="E277" s="1">
        <f t="shared" si="4"/>
        <v>-2.1135702863165888</v>
      </c>
      <c r="F277" s="7">
        <f>SQRT(IRS_returns_2015_25[[#This Row],[  σ2]])</f>
        <v>3.2971648401288989</v>
      </c>
    </row>
    <row r="278" spans="1:6" x14ac:dyDescent="0.3">
      <c r="A278" s="2">
        <v>42422</v>
      </c>
      <c r="B278" s="1">
        <v>6.0008797636152522</v>
      </c>
      <c r="C278" s="1">
        <f>IRS_returns_2015_25[[#This Row],[IRSrtn]]-AVERAGE($B$2:$B$2600)</f>
        <v>5.9951032695486361</v>
      </c>
      <c r="D278" s="1">
        <f>w+a*C277^2+b*D277</f>
        <v>8.5907786900957959</v>
      </c>
      <c r="E278" s="1">
        <f t="shared" si="4"/>
        <v>-4.0861345286516171</v>
      </c>
      <c r="F278" s="7">
        <f>SQRT(IRS_returns_2015_25[[#This Row],[  σ2]])</f>
        <v>2.9310030177561734</v>
      </c>
    </row>
    <row r="279" spans="1:6" x14ac:dyDescent="0.3">
      <c r="A279" s="2">
        <v>42423</v>
      </c>
      <c r="B279" s="1">
        <v>-3.8360856583324665</v>
      </c>
      <c r="C279" s="1">
        <f>IRS_returns_2015_25[[#This Row],[IRSrtn]]-AVERAGE($B$2:$B$2600)</f>
        <v>-3.8418621523990821</v>
      </c>
      <c r="D279" s="1">
        <f>w+a*C278^2+b*D278</f>
        <v>15.821369879640297</v>
      </c>
      <c r="E279" s="1">
        <f t="shared" si="4"/>
        <v>-2.7660740119966389</v>
      </c>
      <c r="F279" s="7">
        <f>SQRT(IRS_returns_2015_25[[#This Row],[  σ2]])</f>
        <v>3.9776085628981011</v>
      </c>
    </row>
    <row r="280" spans="1:6" x14ac:dyDescent="0.3">
      <c r="A280" s="2">
        <v>42424</v>
      </c>
      <c r="B280" s="1">
        <v>9.9196244469950567</v>
      </c>
      <c r="C280" s="1">
        <f>IRS_returns_2015_25[[#This Row],[IRSrtn]]-AVERAGE($B$2:$B$2600)</f>
        <v>9.9138479529284407</v>
      </c>
      <c r="D280" s="1">
        <f>w+a*C279^2+b*D279</f>
        <v>15.474062202198196</v>
      </c>
      <c r="E280" s="1">
        <f t="shared" si="4"/>
        <v>-5.4642994193346359</v>
      </c>
      <c r="F280" s="7">
        <f>SQRT(IRS_returns_2015_25[[#This Row],[  σ2]])</f>
        <v>3.933708454143265</v>
      </c>
    </row>
    <row r="281" spans="1:6" x14ac:dyDescent="0.3">
      <c r="A281" s="2">
        <v>42425</v>
      </c>
      <c r="B281" s="1">
        <v>0.33669876928517084</v>
      </c>
      <c r="C281" s="1">
        <f>IRS_returns_2015_25[[#This Row],[IRSrtn]]-AVERAGE($B$2:$B$2600)</f>
        <v>0.33092227521855505</v>
      </c>
      <c r="D281" s="1">
        <f>w+a*C280^2+b*D280</f>
        <v>35.593573045277367</v>
      </c>
      <c r="E281" s="1">
        <f t="shared" si="4"/>
        <v>-2.7065594109946547</v>
      </c>
      <c r="F281" s="7">
        <f>SQRT(IRS_returns_2015_25[[#This Row],[  σ2]])</f>
        <v>5.966034951731122</v>
      </c>
    </row>
    <row r="282" spans="1:6" x14ac:dyDescent="0.3">
      <c r="A282" s="2">
        <v>42426</v>
      </c>
      <c r="B282" s="1">
        <v>8.223809324988629</v>
      </c>
      <c r="C282" s="1">
        <f>IRS_returns_2015_25[[#This Row],[IRSrtn]]-AVERAGE($B$2:$B$2600)</f>
        <v>8.218032830922013</v>
      </c>
      <c r="D282" s="1">
        <f>w+a*C281^2+b*D281</f>
        <v>25.067182895033287</v>
      </c>
      <c r="E282" s="1">
        <f t="shared" si="4"/>
        <v>-3.8768194872502439</v>
      </c>
      <c r="F282" s="7">
        <f>SQRT(IRS_returns_2015_25[[#This Row],[  σ2]])</f>
        <v>5.0067137820164325</v>
      </c>
    </row>
    <row r="283" spans="1:6" x14ac:dyDescent="0.3">
      <c r="A283" s="2">
        <v>42429</v>
      </c>
      <c r="B283" s="1">
        <v>7.5268329659733624</v>
      </c>
      <c r="C283" s="1">
        <f>IRS_returns_2015_25[[#This Row],[IRSrtn]]-AVERAGE($B$2:$B$2600)</f>
        <v>7.5210564719067463</v>
      </c>
      <c r="D283" s="1">
        <f>w+a*C282^2+b*D282</f>
        <v>34.488053344933945</v>
      </c>
      <c r="E283" s="1">
        <f t="shared" si="4"/>
        <v>-3.5093303152492856</v>
      </c>
      <c r="F283" s="7">
        <f>SQRT(IRS_returns_2015_25[[#This Row],[  σ2]])</f>
        <v>5.8726530073667682</v>
      </c>
    </row>
    <row r="284" spans="1:6" x14ac:dyDescent="0.3">
      <c r="A284" s="2">
        <v>42430</v>
      </c>
      <c r="B284" s="1">
        <v>7.1765394901612822E-2</v>
      </c>
      <c r="C284" s="1">
        <f>IRS_returns_2015_25[[#This Row],[IRSrtn]]-AVERAGE($B$2:$B$2600)</f>
        <v>6.5988900834997033E-2</v>
      </c>
      <c r="D284" s="1">
        <f>w+a*C283^2+b*D283</f>
        <v>38.086901564652287</v>
      </c>
      <c r="E284" s="1">
        <f t="shared" si="4"/>
        <v>-2.7389309150212937</v>
      </c>
      <c r="F284" s="7">
        <f>SQRT(IRS_returns_2015_25[[#This Row],[  σ2]])</f>
        <v>6.1714586253698798</v>
      </c>
    </row>
    <row r="285" spans="1:6" x14ac:dyDescent="0.3">
      <c r="A285" s="2">
        <v>42431</v>
      </c>
      <c r="B285" s="1">
        <v>-5.1519981287535987</v>
      </c>
      <c r="C285" s="1">
        <f>IRS_returns_2015_25[[#This Row],[IRSrtn]]-AVERAGE($B$2:$B$2600)</f>
        <v>-5.1577746228202148</v>
      </c>
      <c r="D285" s="1">
        <f>w+a*C284^2+b*D284</f>
        <v>26.701412366562014</v>
      </c>
      <c r="E285" s="1">
        <f t="shared" si="4"/>
        <v>-3.0594471744667815</v>
      </c>
      <c r="F285" s="7">
        <f>SQRT(IRS_returns_2015_25[[#This Row],[  σ2]])</f>
        <v>5.1673409377127433</v>
      </c>
    </row>
    <row r="286" spans="1:6" x14ac:dyDescent="0.3">
      <c r="A286" s="2">
        <v>42432</v>
      </c>
      <c r="B286" s="1">
        <v>-2.9120755806152587</v>
      </c>
      <c r="C286" s="1">
        <f>IRS_returns_2015_25[[#This Row],[IRSrtn]]-AVERAGE($B$2:$B$2600)</f>
        <v>-2.9178520746818744</v>
      </c>
      <c r="D286" s="1">
        <f>w+a*C285^2+b*D285</f>
        <v>25.602567791667937</v>
      </c>
      <c r="E286" s="1">
        <f t="shared" si="4"/>
        <v>-2.7065545234181667</v>
      </c>
      <c r="F286" s="7">
        <f>SQRT(IRS_returns_2015_25[[#This Row],[  σ2]])</f>
        <v>5.0598980021012219</v>
      </c>
    </row>
    <row r="287" spans="1:6" x14ac:dyDescent="0.3">
      <c r="A287" s="2">
        <v>42433</v>
      </c>
      <c r="B287" s="1">
        <v>1.9253600970033258</v>
      </c>
      <c r="C287" s="1">
        <f>IRS_returns_2015_25[[#This Row],[IRSrtn]]-AVERAGE($B$2:$B$2600)</f>
        <v>1.9195836029367099</v>
      </c>
      <c r="D287" s="1">
        <f>w+a*C286^2+b*D286</f>
        <v>20.463721935703756</v>
      </c>
      <c r="E287" s="1">
        <f t="shared" si="4"/>
        <v>-2.5182978889140797</v>
      </c>
      <c r="F287" s="7">
        <f>SQRT(IRS_returns_2015_25[[#This Row],[  σ2]])</f>
        <v>4.5236845530721697</v>
      </c>
    </row>
    <row r="288" spans="1:6" x14ac:dyDescent="0.3">
      <c r="A288" s="2">
        <v>42436</v>
      </c>
      <c r="B288" s="1">
        <v>3.227299899228786</v>
      </c>
      <c r="C288" s="1">
        <f>IRS_returns_2015_25[[#This Row],[IRSrtn]]-AVERAGE($B$2:$B$2600)</f>
        <v>3.2215234051621704</v>
      </c>
      <c r="D288" s="1">
        <f>w+a*C287^2+b*D287</f>
        <v>15.86610712660557</v>
      </c>
      <c r="E288" s="1">
        <f t="shared" si="4"/>
        <v>-2.6280871991747672</v>
      </c>
      <c r="F288" s="7">
        <f>SQRT(IRS_returns_2015_25[[#This Row],[  σ2]])</f>
        <v>3.9832282292890988</v>
      </c>
    </row>
    <row r="289" spans="1:6" x14ac:dyDescent="0.3">
      <c r="A289" s="2">
        <v>42437</v>
      </c>
      <c r="B289" s="1">
        <v>-1.9389182382405501</v>
      </c>
      <c r="C289" s="1">
        <f>IRS_returns_2015_25[[#This Row],[IRSrtn]]-AVERAGE($B$2:$B$2600)</f>
        <v>-1.9446947323071659</v>
      </c>
      <c r="D289" s="1">
        <f>w+a*C288^2+b*D288</f>
        <v>14.436246354065664</v>
      </c>
      <c r="E289" s="1">
        <f t="shared" si="4"/>
        <v>-2.3847937136444561</v>
      </c>
      <c r="F289" s="7">
        <f>SQRT(IRS_returns_2015_25[[#This Row],[  σ2]])</f>
        <v>3.7995060671178913</v>
      </c>
    </row>
    <row r="290" spans="1:6" x14ac:dyDescent="0.3">
      <c r="A290" s="2">
        <v>42438</v>
      </c>
      <c r="B290" s="1">
        <v>2.1602334678987312</v>
      </c>
      <c r="C290" s="1">
        <f>IRS_returns_2015_25[[#This Row],[IRSrtn]]-AVERAGE($B$2:$B$2600)</f>
        <v>2.1544569738321155</v>
      </c>
      <c r="D290" s="1">
        <f>w+a*C289^2+b*D289</f>
        <v>11.87715878752558</v>
      </c>
      <c r="E290" s="1">
        <f t="shared" si="4"/>
        <v>-2.3516509354356052</v>
      </c>
      <c r="F290" s="7">
        <f>SQRT(IRS_returns_2015_25[[#This Row],[  σ2]])</f>
        <v>3.4463254036038995</v>
      </c>
    </row>
    <row r="291" spans="1:6" x14ac:dyDescent="0.3">
      <c r="A291" s="2">
        <v>42439</v>
      </c>
      <c r="B291" s="1">
        <v>-3.2200491776509743</v>
      </c>
      <c r="C291" s="1">
        <f>IRS_returns_2015_25[[#This Row],[IRSrtn]]-AVERAGE($B$2:$B$2600)</f>
        <v>-3.2258256717175899</v>
      </c>
      <c r="D291" s="1">
        <f>w+a*C290^2+b*D290</f>
        <v>10.383033007302291</v>
      </c>
      <c r="E291" s="1">
        <f t="shared" si="4"/>
        <v>-2.5901286891537563</v>
      </c>
      <c r="F291" s="7">
        <f>SQRT(IRS_returns_2015_25[[#This Row],[  σ2]])</f>
        <v>3.2222714049723202</v>
      </c>
    </row>
    <row r="292" spans="1:6" x14ac:dyDescent="0.3">
      <c r="A292" s="2">
        <v>42440</v>
      </c>
      <c r="B292" s="1">
        <v>-0.38123687586733013</v>
      </c>
      <c r="C292" s="1">
        <f>IRS_returns_2015_25[[#This Row],[IRSrtn]]-AVERAGE($B$2:$B$2600)</f>
        <v>-0.38701336993394592</v>
      </c>
      <c r="D292" s="1">
        <f>w+a*C291^2+b*D291</f>
        <v>10.792830681956834</v>
      </c>
      <c r="E292" s="1">
        <f t="shared" si="4"/>
        <v>-2.1153184124575271</v>
      </c>
      <c r="F292" s="7">
        <f>SQRT(IRS_returns_2015_25[[#This Row],[  σ2]])</f>
        <v>3.2852443869454877</v>
      </c>
    </row>
    <row r="293" spans="1:6" x14ac:dyDescent="0.3">
      <c r="A293" s="2">
        <v>42443</v>
      </c>
      <c r="B293" s="1">
        <v>-0.92096163286283783</v>
      </c>
      <c r="C293" s="1">
        <f>IRS_returns_2015_25[[#This Row],[IRSrtn]]-AVERAGE($B$2:$B$2600)</f>
        <v>-0.92673812692945368</v>
      </c>
      <c r="D293" s="1">
        <f>w+a*C292^2+b*D292</f>
        <v>8.566725927499057</v>
      </c>
      <c r="E293" s="1">
        <f t="shared" si="4"/>
        <v>-2.0430080526479242</v>
      </c>
      <c r="F293" s="7">
        <f>SQRT(IRS_returns_2015_25[[#This Row],[  σ2]])</f>
        <v>2.9268969793108632</v>
      </c>
    </row>
    <row r="294" spans="1:6" x14ac:dyDescent="0.3">
      <c r="A294" s="2">
        <v>42444</v>
      </c>
      <c r="B294" s="1">
        <v>-0.15432015226166662</v>
      </c>
      <c r="C294" s="1">
        <f>IRS_returns_2015_25[[#This Row],[IRSrtn]]-AVERAGE($B$2:$B$2600)</f>
        <v>-0.16009664632828241</v>
      </c>
      <c r="D294" s="1">
        <f>w+a*C293^2+b*D293</f>
        <v>7.257534117010338</v>
      </c>
      <c r="E294" s="1">
        <f t="shared" si="4"/>
        <v>-1.91172440787774</v>
      </c>
      <c r="F294" s="7">
        <f>SQRT(IRS_returns_2015_25[[#This Row],[  σ2]])</f>
        <v>2.6939810906927946</v>
      </c>
    </row>
    <row r="295" spans="1:6" x14ac:dyDescent="0.3">
      <c r="A295" s="2">
        <v>42445</v>
      </c>
      <c r="B295" s="1">
        <v>1.0752817851245045</v>
      </c>
      <c r="C295" s="1">
        <f>IRS_returns_2015_25[[#This Row],[IRSrtn]]-AVERAGE($B$2:$B$2600)</f>
        <v>1.0695052910578886</v>
      </c>
      <c r="D295" s="1">
        <f>w+a*C294^2+b*D294</f>
        <v>6.182971185702371</v>
      </c>
      <c r="E295" s="1">
        <f t="shared" si="4"/>
        <v>-1.9223373431979955</v>
      </c>
      <c r="F295" s="7">
        <f>SQRT(IRS_returns_2015_25[[#This Row],[  σ2]])</f>
        <v>2.4865581002064623</v>
      </c>
    </row>
    <row r="296" spans="1:6" x14ac:dyDescent="0.3">
      <c r="A296" s="2">
        <v>42446</v>
      </c>
      <c r="B296" s="1">
        <v>4.8462563053997432</v>
      </c>
      <c r="C296" s="1">
        <f>IRS_returns_2015_25[[#This Row],[IRSrtn]]-AVERAGE($B$2:$B$2600)</f>
        <v>4.8404798113331271</v>
      </c>
      <c r="D296" s="1">
        <f>w+a*C295^2+b*D295</f>
        <v>5.7400684445772674</v>
      </c>
      <c r="E296" s="1">
        <f t="shared" si="4"/>
        <v>-3.8336118549077893</v>
      </c>
      <c r="F296" s="7">
        <f>SQRT(IRS_returns_2015_25[[#This Row],[  σ2]])</f>
        <v>2.3958439942068992</v>
      </c>
    </row>
    <row r="297" spans="1:6" x14ac:dyDescent="0.3">
      <c r="A297" s="2">
        <v>42447</v>
      </c>
      <c r="B297" s="1">
        <v>-1.7621503600675492</v>
      </c>
      <c r="C297" s="1">
        <f>IRS_returns_2015_25[[#This Row],[IRSrtn]]-AVERAGE($B$2:$B$2600)</f>
        <v>-1.7679268541341651</v>
      </c>
      <c r="D297" s="1">
        <f>w+a*C296^2+b*D296</f>
        <v>10.875297682255166</v>
      </c>
      <c r="E297" s="1">
        <f t="shared" si="4"/>
        <v>-2.2558857290822991</v>
      </c>
      <c r="F297" s="7">
        <f>SQRT(IRS_returns_2015_25[[#This Row],[  σ2]])</f>
        <v>3.2977716237264167</v>
      </c>
    </row>
    <row r="298" spans="1:6" x14ac:dyDescent="0.3">
      <c r="A298" s="2">
        <v>42450</v>
      </c>
      <c r="B298" s="1">
        <v>2.2703278831797569</v>
      </c>
      <c r="C298" s="1">
        <f>IRS_returns_2015_25[[#This Row],[IRSrtn]]-AVERAGE($B$2:$B$2600)</f>
        <v>2.2645513891131412</v>
      </c>
      <c r="D298" s="1">
        <f>w+a*C297^2+b*D297</f>
        <v>9.346675161830067</v>
      </c>
      <c r="E298" s="1">
        <f t="shared" si="4"/>
        <v>-2.3107813458505024</v>
      </c>
      <c r="F298" s="7">
        <f>SQRT(IRS_returns_2015_25[[#This Row],[  σ2]])</f>
        <v>3.0572332527679444</v>
      </c>
    </row>
    <row r="299" spans="1:6" x14ac:dyDescent="0.3">
      <c r="A299" s="2">
        <v>42451</v>
      </c>
      <c r="B299" s="1">
        <v>4.8065837709524661</v>
      </c>
      <c r="C299" s="1">
        <f>IRS_returns_2015_25[[#This Row],[IRSrtn]]-AVERAGE($B$2:$B$2600)</f>
        <v>4.8008072768858501</v>
      </c>
      <c r="D299" s="1">
        <f>w+a*C298^2+b*D298</f>
        <v>8.8169853611411675</v>
      </c>
      <c r="E299" s="1">
        <f t="shared" si="4"/>
        <v>-3.3142870914088962</v>
      </c>
      <c r="F299" s="7">
        <f>SQRT(IRS_returns_2015_25[[#This Row],[  σ2]])</f>
        <v>2.9693408967548955</v>
      </c>
    </row>
    <row r="300" spans="1:6" x14ac:dyDescent="0.3">
      <c r="A300" s="2">
        <v>42452</v>
      </c>
      <c r="B300" s="1">
        <v>-0.55363932494576495</v>
      </c>
      <c r="C300" s="1">
        <f>IRS_returns_2015_25[[#This Row],[IRSrtn]]-AVERAGE($B$2:$B$2600)</f>
        <v>-0.5594158190123808</v>
      </c>
      <c r="D300" s="1">
        <f>w+a*C299^2+b*D299</f>
        <v>12.830458052806675</v>
      </c>
      <c r="E300" s="1">
        <f t="shared" si="4"/>
        <v>-2.2070449089909392</v>
      </c>
      <c r="F300" s="7">
        <f>SQRT(IRS_returns_2015_25[[#This Row],[  σ2]])</f>
        <v>3.5819628770838308</v>
      </c>
    </row>
    <row r="301" spans="1:6" x14ac:dyDescent="0.3">
      <c r="A301" s="2">
        <v>42453</v>
      </c>
      <c r="B301" s="1">
        <v>-1.1867476826992629</v>
      </c>
      <c r="C301" s="1">
        <f>IRS_returns_2015_25[[#This Row],[IRSrtn]]-AVERAGE($B$2:$B$2600)</f>
        <v>-1.1925241767658787</v>
      </c>
      <c r="D301" s="1">
        <f>w+a*C300^2+b*D300</f>
        <v>9.9629640549709038</v>
      </c>
      <c r="E301" s="1">
        <f t="shared" si="4"/>
        <v>-2.1397458660336426</v>
      </c>
      <c r="F301" s="7">
        <f>SQRT(IRS_returns_2015_25[[#This Row],[  σ2]])</f>
        <v>3.1564163310581992</v>
      </c>
    </row>
    <row r="302" spans="1:6" x14ac:dyDescent="0.3">
      <c r="A302" s="2">
        <v>42457</v>
      </c>
      <c r="B302" s="1">
        <v>0.49036994814959378</v>
      </c>
      <c r="C302" s="1">
        <f>IRS_returns_2015_25[[#This Row],[IRSrtn]]-AVERAGE($B$2:$B$2600)</f>
        <v>0.48459345408297799</v>
      </c>
      <c r="D302" s="1">
        <f>w+a*C301^2+b*D301</f>
        <v>8.324273866295945</v>
      </c>
      <c r="E302" s="1">
        <f t="shared" si="4"/>
        <v>-1.9926316207994363</v>
      </c>
      <c r="F302" s="7">
        <f>SQRT(IRS_returns_2015_25[[#This Row],[  σ2]])</f>
        <v>2.8851817735276133</v>
      </c>
    </row>
    <row r="303" spans="1:6" x14ac:dyDescent="0.3">
      <c r="A303" s="2">
        <v>42458</v>
      </c>
      <c r="B303" s="1">
        <v>-0.20985853397768039</v>
      </c>
      <c r="C303" s="1">
        <f>IRS_returns_2015_25[[#This Row],[IRSrtn]]-AVERAGE($B$2:$B$2600)</f>
        <v>-0.21563502804429618</v>
      </c>
      <c r="D303" s="1">
        <f>w+a*C302^2+b*D302</f>
        <v>6.9440891678489924</v>
      </c>
      <c r="E303" s="1">
        <f t="shared" si="4"/>
        <v>-1.8912320031277496</v>
      </c>
      <c r="F303" s="7">
        <f>SQRT(IRS_returns_2015_25[[#This Row],[  σ2]])</f>
        <v>2.6351639736170105</v>
      </c>
    </row>
    <row r="304" spans="1:6" x14ac:dyDescent="0.3">
      <c r="A304" s="2">
        <v>42459</v>
      </c>
      <c r="B304" s="1">
        <v>6.9991269143843127E-2</v>
      </c>
      <c r="C304" s="1">
        <f>IRS_returns_2015_25[[#This Row],[IRSrtn]]-AVERAGE($B$2:$B$2600)</f>
        <v>6.4214775077227337E-2</v>
      </c>
      <c r="D304" s="1">
        <f>w+a*C303^2+b*D303</f>
        <v>5.9793900129917459</v>
      </c>
      <c r="E304" s="1">
        <f t="shared" si="4"/>
        <v>-1.8134426248681732</v>
      </c>
      <c r="F304" s="7">
        <f>SQRT(IRS_returns_2015_25[[#This Row],[  σ2]])</f>
        <v>2.4452791278280985</v>
      </c>
    </row>
    <row r="305" spans="1:6" x14ac:dyDescent="0.3">
      <c r="A305" s="2">
        <v>42460</v>
      </c>
      <c r="B305" s="1">
        <v>4.5820070640742117</v>
      </c>
      <c r="C305" s="1">
        <f>IRS_returns_2015_25[[#This Row],[IRSrtn]]-AVERAGE($B$2:$B$2600)</f>
        <v>4.5762305700075956</v>
      </c>
      <c r="D305" s="1">
        <f>w+a*C304^2+b*D304</f>
        <v>5.326849020871057</v>
      </c>
      <c r="E305" s="1">
        <f t="shared" si="4"/>
        <v>-3.7210102147952075</v>
      </c>
      <c r="F305" s="7">
        <f>SQRT(IRS_returns_2015_25[[#This Row],[  σ2]])</f>
        <v>2.3079967549524536</v>
      </c>
    </row>
    <row r="306" spans="1:6" x14ac:dyDescent="0.3">
      <c r="A306" s="2">
        <v>42461</v>
      </c>
      <c r="B306" s="1">
        <v>-3.6070665627046417</v>
      </c>
      <c r="C306" s="1">
        <f>IRS_returns_2015_25[[#This Row],[IRSrtn]]-AVERAGE($B$2:$B$2600)</f>
        <v>-3.6128430567712573</v>
      </c>
      <c r="D306" s="1">
        <f>w+a*C305^2+b*D305</f>
        <v>9.9939226144869693</v>
      </c>
      <c r="E306" s="1">
        <f t="shared" si="4"/>
        <v>-2.722955736361544</v>
      </c>
      <c r="F306" s="7">
        <f>SQRT(IRS_returns_2015_25[[#This Row],[  σ2]])</f>
        <v>3.1613165951051103</v>
      </c>
    </row>
    <row r="307" spans="1:6" x14ac:dyDescent="0.3">
      <c r="A307" s="2">
        <v>42464</v>
      </c>
      <c r="B307" s="1">
        <v>-0.62565418646731707</v>
      </c>
      <c r="C307" s="1">
        <f>IRS_returns_2015_25[[#This Row],[IRSrtn]]-AVERAGE($B$2:$B$2600)</f>
        <v>-0.63143068053393292</v>
      </c>
      <c r="D307" s="1">
        <f>w+a*C306^2+b*D306</f>
        <v>11.17865725880371</v>
      </c>
      <c r="E307" s="1">
        <f t="shared" si="4"/>
        <v>-2.1437750127523096</v>
      </c>
      <c r="F307" s="7">
        <f>SQRT(IRS_returns_2015_25[[#This Row],[  σ2]])</f>
        <v>3.343449903737711</v>
      </c>
    </row>
    <row r="308" spans="1:6" x14ac:dyDescent="0.3">
      <c r="A308" s="2">
        <v>42465</v>
      </c>
      <c r="B308" s="1">
        <v>-1.9718917806010872</v>
      </c>
      <c r="C308" s="1">
        <f>IRS_returns_2015_25[[#This Row],[IRSrtn]]-AVERAGE($B$2:$B$2600)</f>
        <v>-1.977668274667703</v>
      </c>
      <c r="D308" s="1">
        <f>w+a*C307^2+b*D307</f>
        <v>8.884227733530107</v>
      </c>
      <c r="E308" s="1">
        <f t="shared" si="4"/>
        <v>-2.2311961430396225</v>
      </c>
      <c r="F308" s="7">
        <f>SQRT(IRS_returns_2015_25[[#This Row],[  σ2]])</f>
        <v>2.980642167978254</v>
      </c>
    </row>
    <row r="309" spans="1:6" x14ac:dyDescent="0.3">
      <c r="A309" s="2">
        <v>42466</v>
      </c>
      <c r="B309" s="1">
        <v>0.35498995458453919</v>
      </c>
      <c r="C309" s="1">
        <f>IRS_returns_2015_25[[#This Row],[IRSrtn]]-AVERAGE($B$2:$B$2600)</f>
        <v>0.3492134605179234</v>
      </c>
      <c r="D309" s="1">
        <f>w+a*C308^2+b*D308</f>
        <v>8.2125994477488398</v>
      </c>
      <c r="E309" s="1">
        <f t="shared" si="4"/>
        <v>-1.9791978498552458</v>
      </c>
      <c r="F309" s="7">
        <f>SQRT(IRS_returns_2015_25[[#This Row],[  σ2]])</f>
        <v>2.8657633272391565</v>
      </c>
    </row>
    <row r="310" spans="1:6" x14ac:dyDescent="0.3">
      <c r="A310" s="2">
        <v>42467</v>
      </c>
      <c r="B310" s="1">
        <v>0.98731646277196994</v>
      </c>
      <c r="C310" s="1">
        <f>IRS_returns_2015_25[[#This Row],[IRSrtn]]-AVERAGE($B$2:$B$2600)</f>
        <v>0.98153996870535409</v>
      </c>
      <c r="D310" s="1">
        <f>w+a*C309^2+b*D309</f>
        <v>6.8422422663113718</v>
      </c>
      <c r="E310" s="1">
        <f t="shared" si="4"/>
        <v>-1.950898691940093</v>
      </c>
      <c r="F310" s="7">
        <f>SQRT(IRS_returns_2015_25[[#This Row],[  σ2]])</f>
        <v>2.6157680069745046</v>
      </c>
    </row>
    <row r="311" spans="1:6" x14ac:dyDescent="0.3">
      <c r="A311" s="2">
        <v>42468</v>
      </c>
      <c r="B311" s="1">
        <v>2.5633442986419563</v>
      </c>
      <c r="C311" s="1">
        <f>IRS_returns_2015_25[[#This Row],[IRSrtn]]-AVERAGE($B$2:$B$2600)</f>
        <v>2.5575678045753407</v>
      </c>
      <c r="D311" s="1">
        <f>w+a*C310^2+b*D310</f>
        <v>6.1349967213574566</v>
      </c>
      <c r="E311" s="1">
        <f t="shared" si="4"/>
        <v>-2.359044900082039</v>
      </c>
      <c r="F311" s="7">
        <f>SQRT(IRS_returns_2015_25[[#This Row],[  σ2]])</f>
        <v>2.4768925534543191</v>
      </c>
    </row>
    <row r="312" spans="1:6" x14ac:dyDescent="0.3">
      <c r="A312" s="2">
        <v>42471</v>
      </c>
      <c r="B312" s="1">
        <v>2.2320911497656581</v>
      </c>
      <c r="C312" s="1">
        <f>IRS_returns_2015_25[[#This Row],[IRSrtn]]-AVERAGE($B$2:$B$2600)</f>
        <v>2.2263146556990425</v>
      </c>
      <c r="D312" s="1">
        <f>w+a*C311^2+b*D311</f>
        <v>7.0231847425051175</v>
      </c>
      <c r="E312" s="1">
        <f t="shared" si="4"/>
        <v>-2.2464122644459574</v>
      </c>
      <c r="F312" s="7">
        <f>SQRT(IRS_returns_2015_25[[#This Row],[  σ2]])</f>
        <v>2.6501291935498386</v>
      </c>
    </row>
    <row r="313" spans="1:6" x14ac:dyDescent="0.3">
      <c r="A313" s="2">
        <v>42472</v>
      </c>
      <c r="B313" s="1">
        <v>-0.80590982191997007</v>
      </c>
      <c r="C313" s="1">
        <f>IRS_returns_2015_25[[#This Row],[IRSrtn]]-AVERAGE($B$2:$B$2600)</f>
        <v>-0.81168631598658592</v>
      </c>
      <c r="D313" s="1">
        <f>w+a*C312^2+b*D312</f>
        <v>7.2283603804243013</v>
      </c>
      <c r="E313" s="1">
        <f t="shared" si="4"/>
        <v>-1.9535175474500597</v>
      </c>
      <c r="F313" s="7">
        <f>SQRT(IRS_returns_2015_25[[#This Row],[  σ2]])</f>
        <v>2.6885610241213236</v>
      </c>
    </row>
    <row r="314" spans="1:6" x14ac:dyDescent="0.3">
      <c r="A314" s="2">
        <v>42473</v>
      </c>
      <c r="B314" s="1">
        <v>0.80590982191997007</v>
      </c>
      <c r="C314" s="1">
        <f>IRS_returns_2015_25[[#This Row],[IRSrtn]]-AVERAGE($B$2:$B$2600)</f>
        <v>0.80013332785335423</v>
      </c>
      <c r="D314" s="1">
        <f>w+a*C313^2+b*D313</f>
        <v>6.31782968634265</v>
      </c>
      <c r="E314" s="1">
        <f t="shared" si="4"/>
        <v>-1.8912935948265031</v>
      </c>
      <c r="F314" s="7">
        <f>SQRT(IRS_returns_2015_25[[#This Row],[  σ2]])</f>
        <v>2.5135293287213996</v>
      </c>
    </row>
    <row r="315" spans="1:6" x14ac:dyDescent="0.3">
      <c r="A315" s="2">
        <v>42474</v>
      </c>
      <c r="B315" s="1">
        <v>1.6584221054284143</v>
      </c>
      <c r="C315" s="1">
        <f>IRS_returns_2015_25[[#This Row],[IRSrtn]]-AVERAGE($B$2:$B$2600)</f>
        <v>1.6526456113617984</v>
      </c>
      <c r="D315" s="1">
        <f>w+a*C314^2+b*D314</f>
        <v>5.7071371017663362</v>
      </c>
      <c r="E315" s="1">
        <f t="shared" si="4"/>
        <v>-2.0290799175601353</v>
      </c>
      <c r="F315" s="7">
        <f>SQRT(IRS_returns_2015_25[[#This Row],[  σ2]])</f>
        <v>2.3889615111521443</v>
      </c>
    </row>
    <row r="316" spans="1:6" x14ac:dyDescent="0.3">
      <c r="A316" s="2">
        <v>42475</v>
      </c>
      <c r="B316" s="1">
        <v>-0.32949886866791012</v>
      </c>
      <c r="C316" s="1">
        <f>IRS_returns_2015_25[[#This Row],[IRSrtn]]-AVERAGE($B$2:$B$2600)</f>
        <v>-0.33527536273452591</v>
      </c>
      <c r="D316" s="1">
        <f>w+a*C315^2+b*D315</f>
        <v>5.8100663980595453</v>
      </c>
      <c r="E316" s="1">
        <f t="shared" si="4"/>
        <v>-1.8084082232758549</v>
      </c>
      <c r="F316" s="7">
        <f>SQRT(IRS_returns_2015_25[[#This Row],[  σ2]])</f>
        <v>2.4104079318778275</v>
      </c>
    </row>
    <row r="317" spans="1:6" x14ac:dyDescent="0.3">
      <c r="A317" s="2">
        <v>42478</v>
      </c>
      <c r="B317" s="1">
        <v>-2.0000629116909252</v>
      </c>
      <c r="C317" s="1">
        <f>IRS_returns_2015_25[[#This Row],[IRSrtn]]-AVERAGE($B$2:$B$2600)</f>
        <v>-2.0058394057575408</v>
      </c>
      <c r="D317" s="1">
        <f>w+a*C316^2+b*D316</f>
        <v>5.2405113269888588</v>
      </c>
      <c r="E317" s="1">
        <f t="shared" si="4"/>
        <v>-2.1310220355672493</v>
      </c>
      <c r="F317" s="7">
        <f>SQRT(IRS_returns_2015_25[[#This Row],[  σ2]])</f>
        <v>2.2892163128435152</v>
      </c>
    </row>
    <row r="318" spans="1:6" x14ac:dyDescent="0.3">
      <c r="A318" s="2">
        <v>42479</v>
      </c>
      <c r="B318" s="1">
        <v>2.1319883113542826</v>
      </c>
      <c r="C318" s="1">
        <f>IRS_returns_2015_25[[#This Row],[IRSrtn]]-AVERAGE($B$2:$B$2600)</f>
        <v>2.1262118172876669</v>
      </c>
      <c r="D318" s="1">
        <f>w+a*C317^2+b*D317</f>
        <v>5.8142588941461941</v>
      </c>
      <c r="E318" s="1">
        <f t="shared" si="4"/>
        <v>-2.1878615721883152</v>
      </c>
      <c r="F318" s="7">
        <f>SQRT(IRS_returns_2015_25[[#This Row],[  σ2]])</f>
        <v>2.4112774403096369</v>
      </c>
    </row>
    <row r="319" spans="1:6" x14ac:dyDescent="0.3">
      <c r="A319" s="2">
        <v>42480</v>
      </c>
      <c r="B319" s="1">
        <v>-3.2152850079721684</v>
      </c>
      <c r="C319" s="1">
        <f>IRS_returns_2015_25[[#This Row],[IRSrtn]]-AVERAGE($B$2:$B$2600)</f>
        <v>-3.2210615020387841</v>
      </c>
      <c r="D319" s="1">
        <f>w+a*C318^2+b*D318</f>
        <v>6.3173999718212261</v>
      </c>
      <c r="E319" s="1">
        <f t="shared" si="4"/>
        <v>-2.6617559484801028</v>
      </c>
      <c r="F319" s="7">
        <f>SQRT(IRS_returns_2015_25[[#This Row],[  σ2]])</f>
        <v>2.5134438469600284</v>
      </c>
    </row>
    <row r="320" spans="1:6" x14ac:dyDescent="0.3">
      <c r="A320" s="2">
        <v>42481</v>
      </c>
      <c r="B320" s="1">
        <v>1.7544363715483069</v>
      </c>
      <c r="C320" s="1">
        <f>IRS_returns_2015_25[[#This Row],[IRSrtn]]-AVERAGE($B$2:$B$2600)</f>
        <v>1.748659877481691</v>
      </c>
      <c r="D320" s="1">
        <f>w+a*C319^2+b*D319</f>
        <v>8.0787873453109711</v>
      </c>
      <c r="E320" s="1">
        <f t="shared" si="4"/>
        <v>-2.1528088265114129</v>
      </c>
      <c r="F320" s="7">
        <f>SQRT(IRS_returns_2015_25[[#This Row],[  σ2]])</f>
        <v>2.8423207674910604</v>
      </c>
    </row>
    <row r="321" spans="1:6" x14ac:dyDescent="0.3">
      <c r="A321" s="2">
        <v>42482</v>
      </c>
      <c r="B321" s="1">
        <v>-1.1436357831692057</v>
      </c>
      <c r="C321" s="1">
        <f>IRS_returns_2015_25[[#This Row],[IRSrtn]]-AVERAGE($B$2:$B$2600)</f>
        <v>-1.1494122772358215</v>
      </c>
      <c r="D321" s="1">
        <f>w+a*C320^2+b*D320</f>
        <v>7.4684832464646336</v>
      </c>
      <c r="E321" s="1">
        <f t="shared" si="4"/>
        <v>-2.0127327519147888</v>
      </c>
      <c r="F321" s="7">
        <f>SQRT(IRS_returns_2015_25[[#This Row],[  σ2]])</f>
        <v>2.7328525841077913</v>
      </c>
    </row>
    <row r="322" spans="1:6" x14ac:dyDescent="0.3">
      <c r="A322" s="2">
        <v>42485</v>
      </c>
      <c r="B322" s="1">
        <v>0.60708486972926856</v>
      </c>
      <c r="C322" s="1">
        <f>IRS_returns_2015_25[[#This Row],[IRSrtn]]-AVERAGE($B$2:$B$2600)</f>
        <v>0.60130837566265272</v>
      </c>
      <c r="D322" s="1">
        <f>w+a*C321^2+b*D321</f>
        <v>6.6390561219198325</v>
      </c>
      <c r="E322" s="1">
        <f t="shared" ref="E322:E385" si="5">-0.5*(LN(2*PI())+LN(D322)+C322^2/D322)</f>
        <v>-1.8926540949425035</v>
      </c>
      <c r="F322" s="7">
        <f>SQRT(IRS_returns_2015_25[[#This Row],[  σ2]])</f>
        <v>2.5766365909688997</v>
      </c>
    </row>
    <row r="323" spans="1:6" x14ac:dyDescent="0.3">
      <c r="A323" s="2">
        <v>42486</v>
      </c>
      <c r="B323" s="1">
        <v>6.7230302544007969E-2</v>
      </c>
      <c r="C323" s="1">
        <f>IRS_returns_2015_25[[#This Row],[IRSrtn]]-AVERAGE($B$2:$B$2600)</f>
        <v>6.1453808477392173E-2</v>
      </c>
      <c r="D323" s="1">
        <f>w+a*C322^2+b*D322</f>
        <v>5.8530919522330569</v>
      </c>
      <c r="E323" s="1">
        <f t="shared" si="5"/>
        <v>-1.8027461767307433</v>
      </c>
      <c r="F323" s="7">
        <f>SQRT(IRS_returns_2015_25[[#This Row],[  σ2]])</f>
        <v>2.4193164225113377</v>
      </c>
    </row>
    <row r="324" spans="1:6" x14ac:dyDescent="0.3">
      <c r="A324" s="2">
        <v>42487</v>
      </c>
      <c r="B324" s="1">
        <v>-0.2691852329144595</v>
      </c>
      <c r="C324" s="1">
        <f>IRS_returns_2015_25[[#This Row],[IRSrtn]]-AVERAGE($B$2:$B$2600)</f>
        <v>-0.27496172698107529</v>
      </c>
      <c r="D324" s="1">
        <f>w+a*C323^2+b*D323</f>
        <v>5.2426857525924104</v>
      </c>
      <c r="E324" s="1">
        <f t="shared" si="5"/>
        <v>-1.7545659126216244</v>
      </c>
      <c r="F324" s="7">
        <f>SQRT(IRS_returns_2015_25[[#This Row],[  σ2]])</f>
        <v>2.2896911915348781</v>
      </c>
    </row>
    <row r="325" spans="1:6" x14ac:dyDescent="0.3">
      <c r="A325" s="2">
        <v>42488</v>
      </c>
      <c r="B325" s="1">
        <v>-1.2885944805603788</v>
      </c>
      <c r="C325" s="1">
        <f>IRS_returns_2015_25[[#This Row],[IRSrtn]]-AVERAGE($B$2:$B$2600)</f>
        <v>-1.2943709746269947</v>
      </c>
      <c r="D325" s="1">
        <f>w+a*C324^2+b*D324</f>
        <v>4.8538288682799529</v>
      </c>
      <c r="E325" s="1">
        <f t="shared" si="5"/>
        <v>-1.8814074699182386</v>
      </c>
      <c r="F325" s="7">
        <f>SQRT(IRS_returns_2015_25[[#This Row],[  σ2]])</f>
        <v>2.2031406828162274</v>
      </c>
    </row>
    <row r="326" spans="1:6" x14ac:dyDescent="0.3">
      <c r="A326" s="2">
        <v>42489</v>
      </c>
      <c r="B326" s="1">
        <v>1.2211905024507974</v>
      </c>
      <c r="C326" s="1">
        <f>IRS_returns_2015_25[[#This Row],[IRSrtn]]-AVERAGE($B$2:$B$2600)</f>
        <v>1.2154140083841816</v>
      </c>
      <c r="D326" s="1">
        <f>w+a*C325^2+b*D325</f>
        <v>4.9847493576091848</v>
      </c>
      <c r="E326" s="1">
        <f t="shared" si="5"/>
        <v>-1.870305168812689</v>
      </c>
      <c r="F326" s="7">
        <f>SQRT(IRS_returns_2015_25[[#This Row],[  σ2]])</f>
        <v>2.2326552258710222</v>
      </c>
    </row>
    <row r="327" spans="1:6" x14ac:dyDescent="0.3">
      <c r="A327" s="2">
        <v>42492</v>
      </c>
      <c r="B327" s="1">
        <v>-1.2211905024507974</v>
      </c>
      <c r="C327" s="1">
        <f>IRS_returns_2015_25[[#This Row],[IRSrtn]]-AVERAGE($B$2:$B$2600)</f>
        <v>-1.2269669965174133</v>
      </c>
      <c r="D327" s="1">
        <f>w+a*C326^2+b*D326</f>
        <v>5.0236224570544188</v>
      </c>
      <c r="E327" s="1">
        <f t="shared" si="5"/>
        <v>-1.8758510703531557</v>
      </c>
      <c r="F327" s="7">
        <f>SQRT(IRS_returns_2015_25[[#This Row],[  σ2]])</f>
        <v>2.2413438953124571</v>
      </c>
    </row>
    <row r="328" spans="1:6" x14ac:dyDescent="0.3">
      <c r="A328" s="2">
        <v>42494</v>
      </c>
      <c r="B328" s="1">
        <v>-1.0981517513652506</v>
      </c>
      <c r="C328" s="1">
        <f>IRS_returns_2015_25[[#This Row],[IRSrtn]]-AVERAGE($B$2:$B$2600)</f>
        <v>-1.1039282454318664</v>
      </c>
      <c r="D328" s="1">
        <f>w+a*C327^2+b*D327</f>
        <v>5.0563759455481252</v>
      </c>
      <c r="E328" s="1">
        <f t="shared" si="5"/>
        <v>-1.8497705560969364</v>
      </c>
      <c r="F328" s="7">
        <f>SQRT(IRS_returns_2015_25[[#This Row],[  σ2]])</f>
        <v>2.2486386871945712</v>
      </c>
    </row>
    <row r="329" spans="1:6" x14ac:dyDescent="0.3">
      <c r="A329" s="2">
        <v>42495</v>
      </c>
      <c r="B329" s="1">
        <v>0.75627684908092796</v>
      </c>
      <c r="C329" s="1">
        <f>IRS_returns_2015_25[[#This Row],[IRSrtn]]-AVERAGE($B$2:$B$2600)</f>
        <v>0.75050035501431211</v>
      </c>
      <c r="D329" s="1">
        <f>w+a*C328^2+b*D328</f>
        <v>5.0083040659985567</v>
      </c>
      <c r="E329" s="1">
        <f t="shared" si="5"/>
        <v>-1.7807188951670692</v>
      </c>
      <c r="F329" s="7">
        <f>SQRT(IRS_returns_2015_25[[#This Row],[  σ2]])</f>
        <v>2.2379240527771618</v>
      </c>
    </row>
    <row r="330" spans="1:6" x14ac:dyDescent="0.3">
      <c r="A330" s="2">
        <v>42496</v>
      </c>
      <c r="B330" s="1">
        <v>0.2735964414775971</v>
      </c>
      <c r="C330" s="1">
        <f>IRS_returns_2015_25[[#This Row],[IRSrtn]]-AVERAGE($B$2:$B$2600)</f>
        <v>0.26781994741098131</v>
      </c>
      <c r="D330" s="1">
        <f>w+a*C329^2+b*D329</f>
        <v>4.8166120999622803</v>
      </c>
      <c r="E330" s="1">
        <f t="shared" si="5"/>
        <v>-1.7124197798669871</v>
      </c>
      <c r="F330" s="7">
        <f>SQRT(IRS_returns_2015_25[[#This Row],[  σ2]])</f>
        <v>2.1946781312899346</v>
      </c>
    </row>
    <row r="331" spans="1:6" x14ac:dyDescent="0.3">
      <c r="A331" s="2">
        <v>42499</v>
      </c>
      <c r="B331" s="1">
        <v>-1.3063137095542743</v>
      </c>
      <c r="C331" s="1">
        <f>IRS_returns_2015_25[[#This Row],[IRSrtn]]-AVERAGE($B$2:$B$2600)</f>
        <v>-1.3120902036208901</v>
      </c>
      <c r="D331" s="1">
        <f>w+a*C330^2+b*D330</f>
        <v>4.5692400260574759</v>
      </c>
      <c r="E331" s="1">
        <f t="shared" si="5"/>
        <v>-1.8670000596577603</v>
      </c>
      <c r="F331" s="7">
        <f>SQRT(IRS_returns_2015_25[[#This Row],[  σ2]])</f>
        <v>2.1375780748448641</v>
      </c>
    </row>
    <row r="332" spans="1:6" x14ac:dyDescent="0.3">
      <c r="A332" s="2">
        <v>42500</v>
      </c>
      <c r="B332" s="1">
        <v>2.1903790132446588</v>
      </c>
      <c r="C332" s="1">
        <f>IRS_returns_2015_25[[#This Row],[IRSrtn]]-AVERAGE($B$2:$B$2600)</f>
        <v>2.1846025191780432</v>
      </c>
      <c r="D332" s="1">
        <f>w+a*C331^2+b*D331</f>
        <v>4.8065466473927998</v>
      </c>
      <c r="E332" s="1">
        <f t="shared" si="5"/>
        <v>-2.2003850437236125</v>
      </c>
      <c r="F332" s="7">
        <f>SQRT(IRS_returns_2015_25[[#This Row],[  σ2]])</f>
        <v>2.1923837819580769</v>
      </c>
    </row>
    <row r="333" spans="1:6" x14ac:dyDescent="0.3">
      <c r="A333" s="2">
        <v>42501</v>
      </c>
      <c r="B333" s="1">
        <v>1.7450008834638098</v>
      </c>
      <c r="C333" s="1">
        <f>IRS_returns_2015_25[[#This Row],[IRSrtn]]-AVERAGE($B$2:$B$2600)</f>
        <v>1.7392243893971939</v>
      </c>
      <c r="D333" s="1">
        <f>w+a*C332^2+b*D332</f>
        <v>5.7078785295702508</v>
      </c>
      <c r="E333" s="1">
        <f t="shared" si="5"/>
        <v>-2.0548382280054365</v>
      </c>
      <c r="F333" s="7">
        <f>SQRT(IRS_returns_2015_25[[#This Row],[  σ2]])</f>
        <v>2.3891166839587914</v>
      </c>
    </row>
    <row r="334" spans="1:6" x14ac:dyDescent="0.3">
      <c r="A334" s="2">
        <v>42502</v>
      </c>
      <c r="B334" s="1">
        <v>1.8457977336580722</v>
      </c>
      <c r="C334" s="1">
        <f>IRS_returns_2015_25[[#This Row],[IRSrtn]]-AVERAGE($B$2:$B$2600)</f>
        <v>1.8400212395914564</v>
      </c>
      <c r="D334" s="1">
        <f>w+a*C333^2+b*D333</f>
        <v>5.8821111348654975</v>
      </c>
      <c r="E334" s="1">
        <f t="shared" si="5"/>
        <v>-2.0926908743826909</v>
      </c>
      <c r="F334" s="7">
        <f>SQRT(IRS_returns_2015_25[[#This Row],[  σ2]])</f>
        <v>2.4253064002029716</v>
      </c>
    </row>
    <row r="335" spans="1:6" x14ac:dyDescent="0.3">
      <c r="A335" s="2">
        <v>42503</v>
      </c>
      <c r="B335" s="1">
        <v>-3.9299141599514975</v>
      </c>
      <c r="C335" s="1">
        <f>IRS_returns_2015_25[[#This Row],[IRSrtn]]-AVERAGE($B$2:$B$2600)</f>
        <v>-3.9356906540181131</v>
      </c>
      <c r="D335" s="1">
        <f>w+a*C334^2+b*D334</f>
        <v>6.086003848202779</v>
      </c>
      <c r="E335" s="1">
        <f t="shared" si="5"/>
        <v>-3.0944985494249</v>
      </c>
      <c r="F335" s="7">
        <f>SQRT(IRS_returns_2015_25[[#This Row],[  σ2]])</f>
        <v>2.466982741772382</v>
      </c>
    </row>
    <row r="336" spans="1:6" x14ac:dyDescent="0.3">
      <c r="A336" s="2">
        <v>42506</v>
      </c>
      <c r="B336" s="1">
        <v>-1.1616016494400583</v>
      </c>
      <c r="C336" s="1">
        <f>IRS_returns_2015_25[[#This Row],[IRSrtn]]-AVERAGE($B$2:$B$2600)</f>
        <v>-1.1673781435066741</v>
      </c>
      <c r="D336" s="1">
        <f>w+a*C335^2+b*D335</f>
        <v>9.1708712361181632</v>
      </c>
      <c r="E336" s="1">
        <f t="shared" si="5"/>
        <v>-2.1012536027760356</v>
      </c>
      <c r="F336" s="7">
        <f>SQRT(IRS_returns_2015_25[[#This Row],[  σ2]])</f>
        <v>3.0283446362853357</v>
      </c>
    </row>
    <row r="337" spans="1:6" x14ac:dyDescent="0.3">
      <c r="A337" s="2">
        <v>42507</v>
      </c>
      <c r="B337" s="1">
        <v>-2.0132582979004443</v>
      </c>
      <c r="C337" s="1">
        <f>IRS_returns_2015_25[[#This Row],[IRSrtn]]-AVERAGE($B$2:$B$2600)</f>
        <v>-2.0190347919670599</v>
      </c>
      <c r="D337" s="1">
        <f>w+a*C336^2+b*D336</f>
        <v>7.7825057293039386</v>
      </c>
      <c r="E337" s="1">
        <f t="shared" si="5"/>
        <v>-2.2067793184948394</v>
      </c>
      <c r="F337" s="7">
        <f>SQRT(IRS_returns_2015_25[[#This Row],[  σ2]])</f>
        <v>2.7897142737749934</v>
      </c>
    </row>
    <row r="338" spans="1:6" x14ac:dyDescent="0.3">
      <c r="A338" s="2">
        <v>42508</v>
      </c>
      <c r="B338" s="1">
        <v>-1.6260469020676016</v>
      </c>
      <c r="C338" s="1">
        <f>IRS_returns_2015_25[[#This Row],[IRSrtn]]-AVERAGE($B$2:$B$2600)</f>
        <v>-1.6318233961342175</v>
      </c>
      <c r="D338" s="1">
        <f>w+a*C337^2+b*D337</f>
        <v>7.5194472359943108</v>
      </c>
      <c r="E338" s="1">
        <f t="shared" si="5"/>
        <v>-2.1047489001322339</v>
      </c>
      <c r="F338" s="7">
        <f>SQRT(IRS_returns_2015_25[[#This Row],[  σ2]])</f>
        <v>2.742161052162019</v>
      </c>
    </row>
    <row r="339" spans="1:6" x14ac:dyDescent="0.3">
      <c r="A339" s="2">
        <v>42510</v>
      </c>
      <c r="B339" s="1">
        <v>1.3451414906600068</v>
      </c>
      <c r="C339" s="1">
        <f>IRS_returns_2015_25[[#This Row],[IRSrtn]]-AVERAGE($B$2:$B$2600)</f>
        <v>1.3393649965933909</v>
      </c>
      <c r="D339" s="1">
        <f>w+a*C338^2+b*D338</f>
        <v>6.9998883558051954</v>
      </c>
      <c r="E339" s="1">
        <f t="shared" si="5"/>
        <v>-2.0200232906370212</v>
      </c>
      <c r="F339" s="7">
        <f>SQRT(IRS_returns_2015_25[[#This Row],[  σ2]])</f>
        <v>2.6457302122108359</v>
      </c>
    </row>
    <row r="340" spans="1:6" x14ac:dyDescent="0.3">
      <c r="A340" s="2">
        <v>42513</v>
      </c>
      <c r="B340" s="1">
        <v>2.5687067890944437</v>
      </c>
      <c r="C340" s="1">
        <f>IRS_returns_2015_25[[#This Row],[IRSrtn]]-AVERAGE($B$2:$B$2600)</f>
        <v>2.5629302950278281</v>
      </c>
      <c r="D340" s="1">
        <f>w+a*C339^2+b*D339</f>
        <v>6.4422901022967451</v>
      </c>
      <c r="E340" s="1">
        <f t="shared" si="5"/>
        <v>-2.3601846654785645</v>
      </c>
      <c r="F340" s="7">
        <f>SQRT(IRS_returns_2015_25[[#This Row],[  σ2]])</f>
        <v>2.5381666813463504</v>
      </c>
    </row>
    <row r="341" spans="1:6" x14ac:dyDescent="0.3">
      <c r="A341" s="2">
        <v>42514</v>
      </c>
      <c r="B341" s="1">
        <v>1.4966181363550213</v>
      </c>
      <c r="C341" s="1">
        <f>IRS_returns_2015_25[[#This Row],[IRSrtn]]-AVERAGE($B$2:$B$2600)</f>
        <v>1.4908416422884054</v>
      </c>
      <c r="D341" s="1">
        <f>w+a*C340^2+b*D340</f>
        <v>7.2344453690321835</v>
      </c>
      <c r="E341" s="1">
        <f t="shared" si="5"/>
        <v>-2.0619783191301106</v>
      </c>
      <c r="F341" s="7">
        <f>SQRT(IRS_returns_2015_25[[#This Row],[  σ2]])</f>
        <v>2.6896924301920069</v>
      </c>
    </row>
    <row r="342" spans="1:6" x14ac:dyDescent="0.3">
      <c r="A342" s="2">
        <v>42515</v>
      </c>
      <c r="B342" s="1">
        <v>-1.0179913020808673</v>
      </c>
      <c r="C342" s="1">
        <f>IRS_returns_2015_25[[#This Row],[IRSrtn]]-AVERAGE($B$2:$B$2600)</f>
        <v>-1.0237677961474831</v>
      </c>
      <c r="D342" s="1">
        <f>w+a*C341^2+b*D341</f>
        <v>6.7028937693381039</v>
      </c>
      <c r="E342" s="1">
        <f t="shared" si="5"/>
        <v>-1.9483908904105831</v>
      </c>
      <c r="F342" s="7">
        <f>SQRT(IRS_returns_2015_25[[#This Row],[  σ2]])</f>
        <v>2.5889947410796537</v>
      </c>
    </row>
    <row r="343" spans="1:6" x14ac:dyDescent="0.3">
      <c r="A343" s="2">
        <v>42516</v>
      </c>
      <c r="B343" s="1">
        <v>0.40843173537949973</v>
      </c>
      <c r="C343" s="1">
        <f>IRS_returns_2015_25[[#This Row],[IRSrtn]]-AVERAGE($B$2:$B$2600)</f>
        <v>0.40265524131288394</v>
      </c>
      <c r="D343" s="1">
        <f>w+a*C342^2+b*D342</f>
        <v>6.0628623092612512</v>
      </c>
      <c r="E343" s="1">
        <f t="shared" si="5"/>
        <v>-1.833400391483007</v>
      </c>
      <c r="F343" s="7">
        <f>SQRT(IRS_returns_2015_25[[#This Row],[  σ2]])</f>
        <v>2.4622880232136231</v>
      </c>
    </row>
    <row r="344" spans="1:6" x14ac:dyDescent="0.3">
      <c r="A344" s="2">
        <v>42517</v>
      </c>
      <c r="B344" s="1">
        <v>1.2825058631924069</v>
      </c>
      <c r="C344" s="1">
        <f>IRS_returns_2015_25[[#This Row],[IRSrtn]]-AVERAGE($B$2:$B$2600)</f>
        <v>1.276729369125791</v>
      </c>
      <c r="D344" s="1">
        <f>w+a*C343^2+b*D343</f>
        <v>5.4209164646294141</v>
      </c>
      <c r="E344" s="1">
        <f t="shared" si="5"/>
        <v>-1.914418054730195</v>
      </c>
      <c r="F344" s="7">
        <f>SQRT(IRS_returns_2015_25[[#This Row],[  σ2]])</f>
        <v>2.3282861646776616</v>
      </c>
    </row>
    <row r="345" spans="1:6" x14ac:dyDescent="0.3">
      <c r="A345" s="2">
        <v>42521</v>
      </c>
      <c r="B345" s="1">
        <v>0.60180765606059339</v>
      </c>
      <c r="C345" s="1">
        <f>IRS_returns_2015_25[[#This Row],[IRSrtn]]-AVERAGE($B$2:$B$2600)</f>
        <v>0.59603116199397754</v>
      </c>
      <c r="D345" s="1">
        <f>w+a*C344^2+b*D344</f>
        <v>5.3512174998603097</v>
      </c>
      <c r="E345" s="1">
        <f t="shared" si="5"/>
        <v>-1.790794260464919</v>
      </c>
      <c r="F345" s="7">
        <f>SQRT(IRS_returns_2015_25[[#This Row],[  σ2]])</f>
        <v>2.3132698718178797</v>
      </c>
    </row>
    <row r="346" spans="1:6" x14ac:dyDescent="0.3">
      <c r="A346" s="2">
        <v>42522</v>
      </c>
      <c r="B346" s="1">
        <v>0.99503874182422791</v>
      </c>
      <c r="C346" s="1">
        <f>IRS_returns_2015_25[[#This Row],[IRSrtn]]-AVERAGE($B$2:$B$2600)</f>
        <v>0.98926224775761207</v>
      </c>
      <c r="D346" s="1">
        <f>w+a*C345^2+b*D345</f>
        <v>4.9942167279978786</v>
      </c>
      <c r="E346" s="1">
        <f t="shared" si="5"/>
        <v>-1.821056132866268</v>
      </c>
      <c r="F346" s="7">
        <f>SQRT(IRS_returns_2015_25[[#This Row],[  σ2]])</f>
        <v>2.2347744244101859</v>
      </c>
    </row>
    <row r="347" spans="1:6" x14ac:dyDescent="0.3">
      <c r="A347" s="2">
        <v>42523</v>
      </c>
      <c r="B347" s="1">
        <v>2.2839474203204091</v>
      </c>
      <c r="C347" s="1">
        <f>IRS_returns_2015_25[[#This Row],[IRSrtn]]-AVERAGE($B$2:$B$2600)</f>
        <v>2.2781709262537935</v>
      </c>
      <c r="D347" s="1">
        <f>w+a*C346^2+b*D346</f>
        <v>4.9084433603152036</v>
      </c>
      <c r="E347" s="1">
        <f t="shared" si="5"/>
        <v>-2.2431042040897133</v>
      </c>
      <c r="F347" s="7">
        <f>SQRT(IRS_returns_2015_25[[#This Row],[  σ2]])</f>
        <v>2.2155007019441912</v>
      </c>
    </row>
    <row r="348" spans="1:6" x14ac:dyDescent="0.3">
      <c r="A348" s="2">
        <v>42524</v>
      </c>
      <c r="B348" s="1">
        <v>2.4849996545054598</v>
      </c>
      <c r="C348" s="1">
        <f>IRS_returns_2015_25[[#This Row],[IRSrtn]]-AVERAGE($B$2:$B$2600)</f>
        <v>2.4792231604388442</v>
      </c>
      <c r="D348" s="1">
        <f>w+a*C347^2+b*D347</f>
        <v>5.8774548297135034</v>
      </c>
      <c r="E348" s="1">
        <f t="shared" si="5"/>
        <v>-2.3273923781064663</v>
      </c>
      <c r="F348" s="7">
        <f>SQRT(IRS_returns_2015_25[[#This Row],[  σ2]])</f>
        <v>2.4243462685254973</v>
      </c>
    </row>
    <row r="349" spans="1:6" x14ac:dyDescent="0.3">
      <c r="A349" s="2">
        <v>42527</v>
      </c>
      <c r="B349" s="1">
        <v>1.1264136010956882</v>
      </c>
      <c r="C349" s="1">
        <f>IRS_returns_2015_25[[#This Row],[IRSrtn]]-AVERAGE($B$2:$B$2600)</f>
        <v>1.1206371070290724</v>
      </c>
      <c r="D349" s="1">
        <f>w+a*C348^2+b*D348</f>
        <v>6.755589238706019</v>
      </c>
      <c r="E349" s="1">
        <f t="shared" si="5"/>
        <v>-1.9670709295227247</v>
      </c>
      <c r="F349" s="7">
        <f>SQRT(IRS_returns_2015_25[[#This Row],[  σ2]])</f>
        <v>2.5991516382669979</v>
      </c>
    </row>
    <row r="350" spans="1:6" x14ac:dyDescent="0.3">
      <c r="A350" s="2">
        <v>42528</v>
      </c>
      <c r="B350" s="1">
        <v>2.0936747202196404</v>
      </c>
      <c r="C350" s="1">
        <f>IRS_returns_2015_25[[#This Row],[IRSrtn]]-AVERAGE($B$2:$B$2600)</f>
        <v>2.0878982261530248</v>
      </c>
      <c r="D350" s="1">
        <f>w+a*C349^2+b*D349</f>
        <v>6.1485552055945076</v>
      </c>
      <c r="E350" s="1">
        <f t="shared" si="5"/>
        <v>-2.1815465575532951</v>
      </c>
      <c r="F350" s="7">
        <f>SQRT(IRS_returns_2015_25[[#This Row],[  σ2]])</f>
        <v>2.4796280377497162</v>
      </c>
    </row>
    <row r="351" spans="1:6" x14ac:dyDescent="0.3">
      <c r="A351" s="2">
        <v>42529</v>
      </c>
      <c r="B351" s="1">
        <v>-6.0953247970596536E-2</v>
      </c>
      <c r="C351" s="1">
        <f>IRS_returns_2015_25[[#This Row],[IRSrtn]]-AVERAGE($B$2:$B$2600)</f>
        <v>-6.6729742037212325E-2</v>
      </c>
      <c r="D351" s="1">
        <f>w+a*C350^2+b*D350</f>
        <v>6.5006074849178042</v>
      </c>
      <c r="E351" s="1">
        <f t="shared" si="5"/>
        <v>-1.8552288446464384</v>
      </c>
      <c r="F351" s="7">
        <f>SQRT(IRS_returns_2015_25[[#This Row],[  σ2]])</f>
        <v>2.5496288916071306</v>
      </c>
    </row>
    <row r="352" spans="1:6" x14ac:dyDescent="0.3">
      <c r="A352" s="2">
        <v>42530</v>
      </c>
      <c r="B352" s="1">
        <v>0.12186936558777894</v>
      </c>
      <c r="C352" s="1">
        <f>IRS_returns_2015_25[[#This Row],[IRSrtn]]-AVERAGE($B$2:$B$2600)</f>
        <v>0.11609287152116315</v>
      </c>
      <c r="D352" s="1">
        <f>w+a*C351^2+b*D351</f>
        <v>5.6739124422264409</v>
      </c>
      <c r="E352" s="1">
        <f t="shared" si="5"/>
        <v>-1.7880656630079483</v>
      </c>
      <c r="F352" s="7">
        <f>SQRT(IRS_returns_2015_25[[#This Row],[  σ2]])</f>
        <v>2.3819975739337855</v>
      </c>
    </row>
    <row r="353" spans="1:6" x14ac:dyDescent="0.3">
      <c r="A353" s="2">
        <v>42531</v>
      </c>
      <c r="B353" s="1">
        <v>-3.281004438932511</v>
      </c>
      <c r="C353" s="1">
        <f>IRS_returns_2015_25[[#This Row],[IRSrtn]]-AVERAGE($B$2:$B$2600)</f>
        <v>-3.2867809329991267</v>
      </c>
      <c r="D353" s="1">
        <f>w+a*C352^2+b*D352</f>
        <v>5.1257666006630931</v>
      </c>
      <c r="E353" s="1">
        <f t="shared" si="5"/>
        <v>-2.7898652374496953</v>
      </c>
      <c r="F353" s="7">
        <f>SQRT(IRS_returns_2015_25[[#This Row],[  σ2]])</f>
        <v>2.2640155919655442</v>
      </c>
    </row>
    <row r="354" spans="1:6" x14ac:dyDescent="0.3">
      <c r="A354" s="2">
        <v>42534</v>
      </c>
      <c r="B354" s="1">
        <v>-1.4580315135198862</v>
      </c>
      <c r="C354" s="1">
        <f>IRS_returns_2015_25[[#This Row],[IRSrtn]]-AVERAGE($B$2:$B$2600)</f>
        <v>-1.4638080075865021</v>
      </c>
      <c r="D354" s="1">
        <f>w+a*C353^2+b*D353</f>
        <v>7.3897040781714747</v>
      </c>
      <c r="E354" s="1">
        <f t="shared" si="5"/>
        <v>-2.0639634129598585</v>
      </c>
      <c r="F354" s="7">
        <f>SQRT(IRS_returns_2015_25[[#This Row],[  σ2]])</f>
        <v>2.7184010149666062</v>
      </c>
    </row>
    <row r="355" spans="1:6" x14ac:dyDescent="0.3">
      <c r="A355" s="2">
        <v>42535</v>
      </c>
      <c r="B355" s="1">
        <v>-0.19175714204466843</v>
      </c>
      <c r="C355" s="1">
        <f>IRS_returns_2015_25[[#This Row],[IRSrtn]]-AVERAGE($B$2:$B$2600)</f>
        <v>-0.19753363611128422</v>
      </c>
      <c r="D355" s="1">
        <f>w+a*C354^2+b*D354</f>
        <v>6.7867905812829923</v>
      </c>
      <c r="E355" s="1">
        <f t="shared" si="5"/>
        <v>-1.8793022817491345</v>
      </c>
      <c r="F355" s="7">
        <f>SQRT(IRS_returns_2015_25[[#This Row],[  σ2]])</f>
        <v>2.6051469404398273</v>
      </c>
    </row>
    <row r="356" spans="1:6" x14ac:dyDescent="0.3">
      <c r="A356" s="2">
        <v>42536</v>
      </c>
      <c r="B356" s="1">
        <v>2.2145779291307122</v>
      </c>
      <c r="C356" s="1">
        <f>IRS_returns_2015_25[[#This Row],[IRSrtn]]-AVERAGE($B$2:$B$2600)</f>
        <v>2.2088014350640965</v>
      </c>
      <c r="D356" s="1">
        <f>w+a*C355^2+b*D355</f>
        <v>5.8728514758733876</v>
      </c>
      <c r="E356" s="1">
        <f t="shared" si="5"/>
        <v>-2.2194779227217154</v>
      </c>
      <c r="F356" s="7">
        <f>SQRT(IRS_returns_2015_25[[#This Row],[  σ2]])</f>
        <v>2.423396681493434</v>
      </c>
    </row>
    <row r="357" spans="1:6" x14ac:dyDescent="0.3">
      <c r="A357" s="2">
        <v>42537</v>
      </c>
      <c r="B357" s="1">
        <v>2.3501399203844198</v>
      </c>
      <c r="C357" s="1">
        <f>IRS_returns_2015_25[[#This Row],[IRSrtn]]-AVERAGE($B$2:$B$2600)</f>
        <v>2.3443634263178041</v>
      </c>
      <c r="D357" s="1">
        <f>w+a*C356^2+b*D356</f>
        <v>6.4436392498461821</v>
      </c>
      <c r="E357" s="1">
        <f t="shared" si="5"/>
        <v>-2.2769554456234138</v>
      </c>
      <c r="F357" s="7">
        <f>SQRT(IRS_returns_2015_25[[#This Row],[  σ2]])</f>
        <v>2.5384324394882332</v>
      </c>
    </row>
    <row r="358" spans="1:6" x14ac:dyDescent="0.3">
      <c r="A358" s="2">
        <v>42538</v>
      </c>
      <c r="B358" s="1">
        <v>-1.0445539687681915</v>
      </c>
      <c r="C358" s="1">
        <f>IRS_returns_2015_25[[#This Row],[IRSrtn]]-AVERAGE($B$2:$B$2600)</f>
        <v>-1.0503304628348074</v>
      </c>
      <c r="D358" s="1">
        <f>w+a*C357^2+b*D357</f>
        <v>6.9740116425799981</v>
      </c>
      <c r="E358" s="1">
        <f t="shared" si="5"/>
        <v>-1.9691270625386554</v>
      </c>
      <c r="F358" s="7">
        <f>SQRT(IRS_returns_2015_25[[#This Row],[  σ2]])</f>
        <v>2.6408354061887307</v>
      </c>
    </row>
    <row r="359" spans="1:6" x14ac:dyDescent="0.3">
      <c r="A359" s="2">
        <v>42541</v>
      </c>
      <c r="B359" s="1">
        <v>1.3497130961329429</v>
      </c>
      <c r="C359" s="1">
        <f>IRS_returns_2015_25[[#This Row],[IRSrtn]]-AVERAGE($B$2:$B$2600)</f>
        <v>1.343936602066327</v>
      </c>
      <c r="D359" s="1">
        <f>w+a*C358^2+b*D358</f>
        <v>6.2567735469635579</v>
      </c>
      <c r="E359" s="1">
        <f t="shared" si="5"/>
        <v>-1.9801076750835167</v>
      </c>
      <c r="F359" s="7">
        <f>SQRT(IRS_returns_2015_25[[#This Row],[  σ2]])</f>
        <v>2.5013543425439662</v>
      </c>
    </row>
    <row r="360" spans="1:6" x14ac:dyDescent="0.3">
      <c r="A360" s="2">
        <v>42542</v>
      </c>
      <c r="B360" s="1">
        <v>0.42566298030188854</v>
      </c>
      <c r="C360" s="1">
        <f>IRS_returns_2015_25[[#This Row],[IRSrtn]]-AVERAGE($B$2:$B$2600)</f>
        <v>0.41988648623527275</v>
      </c>
      <c r="D360" s="1">
        <f>w+a*C359^2+b*D359</f>
        <v>5.9505750049383659</v>
      </c>
      <c r="E360" s="1">
        <f t="shared" si="5"/>
        <v>-1.8254965465240891</v>
      </c>
      <c r="F360" s="7">
        <f>SQRT(IRS_returns_2015_25[[#This Row],[  σ2]])</f>
        <v>2.4393800452037739</v>
      </c>
    </row>
    <row r="361" spans="1:6" x14ac:dyDescent="0.3">
      <c r="A361" s="2">
        <v>42543</v>
      </c>
      <c r="B361" s="1">
        <v>-1.5902455377398983</v>
      </c>
      <c r="C361" s="1">
        <f>IRS_returns_2015_25[[#This Row],[IRSrtn]]-AVERAGE($B$2:$B$2600)</f>
        <v>-1.5960220318065141</v>
      </c>
      <c r="D361" s="1">
        <f>w+a*C360^2+b*D360</f>
        <v>5.3496182794575606</v>
      </c>
      <c r="E361" s="1">
        <f t="shared" si="5"/>
        <v>-1.9955322671882358</v>
      </c>
      <c r="F361" s="7">
        <f>SQRT(IRS_returns_2015_25[[#This Row],[  σ2]])</f>
        <v>2.3129241836812464</v>
      </c>
    </row>
    <row r="362" spans="1:6" x14ac:dyDescent="0.3">
      <c r="A362" s="2">
        <v>42544</v>
      </c>
      <c r="B362" s="1">
        <v>1.2863914333966608</v>
      </c>
      <c r="C362" s="1">
        <f>IRS_returns_2015_25[[#This Row],[IRSrtn]]-AVERAGE($B$2:$B$2600)</f>
        <v>1.280614939330045</v>
      </c>
      <c r="D362" s="1">
        <f>w+a*C361^2+b*D361</f>
        <v>5.527240477635325</v>
      </c>
      <c r="E362" s="1">
        <f t="shared" si="5"/>
        <v>-1.9221367070810469</v>
      </c>
      <c r="F362" s="7">
        <f>SQRT(IRS_returns_2015_25[[#This Row],[  σ2]])</f>
        <v>2.3510083959091523</v>
      </c>
    </row>
    <row r="363" spans="1:6" x14ac:dyDescent="0.3">
      <c r="A363" s="2">
        <v>42545</v>
      </c>
      <c r="B363" s="1">
        <v>-0.79438828450739685</v>
      </c>
      <c r="C363" s="1">
        <f>IRS_returns_2015_25[[#This Row],[IRSrtn]]-AVERAGE($B$2:$B$2600)</f>
        <v>-0.80016477857401269</v>
      </c>
      <c r="D363" s="1">
        <f>w+a*C362^2+b*D362</f>
        <v>5.424420256955429</v>
      </c>
      <c r="E363" s="1">
        <f t="shared" si="5"/>
        <v>-1.8234108311194166</v>
      </c>
      <c r="F363" s="7">
        <f>SQRT(IRS_returns_2015_25[[#This Row],[  σ2]])</f>
        <v>2.329038483356475</v>
      </c>
    </row>
    <row r="364" spans="1:6" x14ac:dyDescent="0.3">
      <c r="A364" s="2">
        <v>42548</v>
      </c>
      <c r="B364" s="1">
        <v>-4.0055404262864691</v>
      </c>
      <c r="C364" s="1">
        <f>IRS_returns_2015_25[[#This Row],[IRSrtn]]-AVERAGE($B$2:$B$2600)</f>
        <v>-4.0113169203530852</v>
      </c>
      <c r="D364" s="1">
        <f>w+a*C363^2+b*D363</f>
        <v>5.112391775804463</v>
      </c>
      <c r="E364" s="1">
        <f t="shared" si="5"/>
        <v>-3.3084645379813065</v>
      </c>
      <c r="F364" s="7">
        <f>SQRT(IRS_returns_2015_25[[#This Row],[  σ2]])</f>
        <v>2.2610598788631102</v>
      </c>
    </row>
    <row r="365" spans="1:6" x14ac:dyDescent="0.3">
      <c r="A365" s="2">
        <v>42549</v>
      </c>
      <c r="B365" s="1">
        <v>6.190087979074832</v>
      </c>
      <c r="C365" s="1">
        <f>IRS_returns_2015_25[[#This Row],[IRSrtn]]-AVERAGE($B$2:$B$2600)</f>
        <v>6.1843114850082159</v>
      </c>
      <c r="D365" s="1">
        <f>w+a*C364^2+b*D364</f>
        <v>8.6691555301472611</v>
      </c>
      <c r="E365" s="1">
        <f t="shared" si="5"/>
        <v>-4.2046739424298494</v>
      </c>
      <c r="F365" s="7">
        <f>SQRT(IRS_returns_2015_25[[#This Row],[  σ2]])</f>
        <v>2.9443429708760598</v>
      </c>
    </row>
    <row r="366" spans="1:6" x14ac:dyDescent="0.3">
      <c r="A366" s="2">
        <v>42550</v>
      </c>
      <c r="B366" s="1">
        <v>0.77729592740030107</v>
      </c>
      <c r="C366" s="1">
        <f>IRS_returns_2015_25[[#This Row],[IRSrtn]]-AVERAGE($B$2:$B$2600)</f>
        <v>0.77151943333368522</v>
      </c>
      <c r="D366" s="1">
        <f>w+a*C365^2+b*D365</f>
        <v>16.435024224010093</v>
      </c>
      <c r="E366" s="1">
        <f t="shared" si="5"/>
        <v>-2.3367548289641862</v>
      </c>
      <c r="F366" s="7">
        <f>SQRT(IRS_returns_2015_25[[#This Row],[  σ2]])</f>
        <v>4.0540133477839086</v>
      </c>
    </row>
    <row r="367" spans="1:6" x14ac:dyDescent="0.3">
      <c r="A367" s="2">
        <v>42551</v>
      </c>
      <c r="B367" s="1">
        <v>0.11903354234656938</v>
      </c>
      <c r="C367" s="1">
        <f>IRS_returns_2015_25[[#This Row],[IRSrtn]]-AVERAGE($B$2:$B$2600)</f>
        <v>0.11325704827995359</v>
      </c>
      <c r="D367" s="1">
        <f>w+a*C366^2+b*D366</f>
        <v>12.431365397775229</v>
      </c>
      <c r="E367" s="1">
        <f t="shared" si="5"/>
        <v>-2.1795658255839907</v>
      </c>
      <c r="F367" s="7">
        <f>SQRT(IRS_returns_2015_25[[#This Row],[  σ2]])</f>
        <v>3.5258141468000308</v>
      </c>
    </row>
    <row r="368" spans="1:6" x14ac:dyDescent="0.3">
      <c r="A368" s="2">
        <v>42552</v>
      </c>
      <c r="B368" s="1">
        <v>2.8154459506262608</v>
      </c>
      <c r="C368" s="1">
        <f>IRS_returns_2015_25[[#This Row],[IRSrtn]]-AVERAGE($B$2:$B$2600)</f>
        <v>2.8096694565596452</v>
      </c>
      <c r="D368" s="1">
        <f>w+a*C367^2+b*D367</f>
        <v>9.6241575038724214</v>
      </c>
      <c r="E368" s="1">
        <f t="shared" si="5"/>
        <v>-2.4612031217049437</v>
      </c>
      <c r="F368" s="7">
        <f>SQRT(IRS_returns_2015_25[[#This Row],[  σ2]])</f>
        <v>3.102282627980955</v>
      </c>
    </row>
    <row r="369" spans="1:6" x14ac:dyDescent="0.3">
      <c r="A369" s="2">
        <v>42556</v>
      </c>
      <c r="B369" s="1">
        <v>-0.81300800329575651</v>
      </c>
      <c r="C369" s="1">
        <f>IRS_returns_2015_25[[#This Row],[IRSrtn]]-AVERAGE($B$2:$B$2600)</f>
        <v>-0.81878449736237235</v>
      </c>
      <c r="D369" s="1">
        <f>w+a*C368^2+b*D368</f>
        <v>9.6756573054635506</v>
      </c>
      <c r="E369" s="1">
        <f t="shared" si="5"/>
        <v>-2.0883891781303463</v>
      </c>
      <c r="F369" s="7">
        <f>SQRT(IRS_returns_2015_25[[#This Row],[  σ2]])</f>
        <v>3.1105718614852078</v>
      </c>
    </row>
    <row r="370" spans="1:6" x14ac:dyDescent="0.3">
      <c r="A370" s="2">
        <v>42557</v>
      </c>
      <c r="B370" s="1">
        <v>-0.40901269872026802</v>
      </c>
      <c r="C370" s="1">
        <f>IRS_returns_2015_25[[#This Row],[IRSrtn]]-AVERAGE($B$2:$B$2600)</f>
        <v>-0.41478919278688381</v>
      </c>
      <c r="D370" s="1">
        <f>w+a*C369^2+b*D369</f>
        <v>7.9498560025720115</v>
      </c>
      <c r="E370" s="1">
        <f t="shared" si="5"/>
        <v>-1.966336396412018</v>
      </c>
      <c r="F370" s="7">
        <f>SQRT(IRS_returns_2015_25[[#This Row],[  σ2]])</f>
        <v>2.8195489005463288</v>
      </c>
    </row>
    <row r="371" spans="1:6" x14ac:dyDescent="0.3">
      <c r="A371" s="2">
        <v>42558</v>
      </c>
      <c r="B371" s="1">
        <v>-2.9711075444733837</v>
      </c>
      <c r="C371" s="1">
        <f>IRS_returns_2015_25[[#This Row],[IRSrtn]]-AVERAGE($B$2:$B$2600)</f>
        <v>-2.9768840385399993</v>
      </c>
      <c r="D371" s="1">
        <f>w+a*C370^2+b*D370</f>
        <v>6.6795364251045655</v>
      </c>
      <c r="E371" s="1">
        <f t="shared" si="5"/>
        <v>-2.5318201332304673</v>
      </c>
      <c r="F371" s="7">
        <f>SQRT(IRS_returns_2015_25[[#This Row],[  σ2]])</f>
        <v>2.5844799138520238</v>
      </c>
    </row>
    <row r="372" spans="1:6" x14ac:dyDescent="0.3">
      <c r="A372" s="2">
        <v>42559</v>
      </c>
      <c r="B372" s="1">
        <v>0.6013349399219603</v>
      </c>
      <c r="C372" s="1">
        <f>IRS_returns_2015_25[[#This Row],[IRSrtn]]-AVERAGE($B$2:$B$2600)</f>
        <v>0.59555844585534445</v>
      </c>
      <c r="D372" s="1">
        <f>w+a*C371^2+b*D371</f>
        <v>7.9511284107300035</v>
      </c>
      <c r="E372" s="1">
        <f t="shared" si="5"/>
        <v>-1.9778998343992951</v>
      </c>
      <c r="F372" s="7">
        <f>SQRT(IRS_returns_2015_25[[#This Row],[  σ2]])</f>
        <v>2.8197745318961238</v>
      </c>
    </row>
    <row r="373" spans="1:6" x14ac:dyDescent="0.3">
      <c r="A373" s="2">
        <v>42562</v>
      </c>
      <c r="B373" s="1">
        <v>-0.180020425575389</v>
      </c>
      <c r="C373" s="1">
        <f>IRS_returns_2015_25[[#This Row],[IRSrtn]]-AVERAGE($B$2:$B$2600)</f>
        <v>-0.18579691964200479</v>
      </c>
      <c r="D373" s="1">
        <f>w+a*C372^2+b*D372</f>
        <v>6.7248836305867972</v>
      </c>
      <c r="E373" s="1">
        <f t="shared" si="5"/>
        <v>-1.8744124678654621</v>
      </c>
      <c r="F373" s="7">
        <f>SQRT(IRS_returns_2015_25[[#This Row],[  σ2]])</f>
        <v>2.5932380589885682</v>
      </c>
    </row>
    <row r="374" spans="1:6" x14ac:dyDescent="0.3">
      <c r="A374" s="2">
        <v>42563</v>
      </c>
      <c r="B374" s="1">
        <v>-0.30074023455535226</v>
      </c>
      <c r="C374" s="1">
        <f>IRS_returns_2015_25[[#This Row],[IRSrtn]]-AVERAGE($B$2:$B$2600)</f>
        <v>-0.30651672862196805</v>
      </c>
      <c r="D374" s="1">
        <f>w+a*C373^2+b*D373</f>
        <v>5.8305427935697347</v>
      </c>
      <c r="E374" s="1">
        <f t="shared" si="5"/>
        <v>-1.8085505090919669</v>
      </c>
      <c r="F374" s="7">
        <f>SQRT(IRS_returns_2015_25[[#This Row],[  σ2]])</f>
        <v>2.4146516919774856</v>
      </c>
    </row>
    <row r="375" spans="1:6" x14ac:dyDescent="0.3">
      <c r="A375" s="2">
        <v>42564</v>
      </c>
      <c r="B375" s="1">
        <v>0.24065907881865023</v>
      </c>
      <c r="C375" s="1">
        <f>IRS_returns_2015_25[[#This Row],[IRSrtn]]-AVERAGE($B$2:$B$2600)</f>
        <v>0.23488258475203444</v>
      </c>
      <c r="D375" s="1">
        <f>w+a*C374^2+b*D374</f>
        <v>5.2496457463498363</v>
      </c>
      <c r="E375" s="1">
        <f t="shared" si="5"/>
        <v>-1.7532734558832543</v>
      </c>
      <c r="F375" s="7">
        <f>SQRT(IRS_returns_2015_25[[#This Row],[  σ2]])</f>
        <v>2.2912105416896624</v>
      </c>
    </row>
    <row r="376" spans="1:6" x14ac:dyDescent="0.3">
      <c r="A376" s="2">
        <v>42565</v>
      </c>
      <c r="B376" s="1">
        <v>1.904828958350091</v>
      </c>
      <c r="C376" s="1">
        <f>IRS_returns_2015_25[[#This Row],[IRSrtn]]-AVERAGE($B$2:$B$2600)</f>
        <v>1.8990524642834752</v>
      </c>
      <c r="D376" s="1">
        <f>w+a*C375^2+b*D375</f>
        <v>4.8534834831821581</v>
      </c>
      <c r="E376" s="1">
        <f t="shared" si="5"/>
        <v>-2.0803138731858581</v>
      </c>
      <c r="F376" s="7">
        <f>SQRT(IRS_returns_2015_25[[#This Row],[  σ2]])</f>
        <v>2.2030622967093234</v>
      </c>
    </row>
    <row r="377" spans="1:6" x14ac:dyDescent="0.3">
      <c r="A377" s="2">
        <v>42566</v>
      </c>
      <c r="B377" s="1">
        <v>6.0069418483911008</v>
      </c>
      <c r="C377" s="1">
        <f>IRS_returns_2015_25[[#This Row],[IRSrtn]]-AVERAGE($B$2:$B$2600)</f>
        <v>6.0011653543244847</v>
      </c>
      <c r="D377" s="1">
        <f>w+a*C376^2+b*D376</f>
        <v>5.45500811730275</v>
      </c>
      <c r="E377" s="1">
        <f t="shared" si="5"/>
        <v>-5.0682076051547709</v>
      </c>
      <c r="F377" s="7">
        <f>SQRT(IRS_returns_2015_25[[#This Row],[  σ2]])</f>
        <v>2.3355958805629773</v>
      </c>
    </row>
    <row r="378" spans="1:6" x14ac:dyDescent="0.3">
      <c r="A378" s="2">
        <v>42569</v>
      </c>
      <c r="B378" s="1">
        <v>4.9292346526257358</v>
      </c>
      <c r="C378" s="1">
        <f>IRS_returns_2015_25[[#This Row],[IRSrtn]]-AVERAGE($B$2:$B$2600)</f>
        <v>4.9234581585591197</v>
      </c>
      <c r="D378" s="1">
        <f>w+a*C377^2+b*D377</f>
        <v>13.75155379549264</v>
      </c>
      <c r="E378" s="1">
        <f t="shared" si="5"/>
        <v>-3.1108854000373651</v>
      </c>
      <c r="F378" s="7">
        <f>SQRT(IRS_returns_2015_25[[#This Row],[  σ2]])</f>
        <v>3.708308751370716</v>
      </c>
    </row>
    <row r="379" spans="1:6" x14ac:dyDescent="0.3">
      <c r="A379" s="2">
        <v>42570</v>
      </c>
      <c r="B379" s="1">
        <v>-0.10576357560738714</v>
      </c>
      <c r="C379" s="1">
        <f>IRS_returns_2015_25[[#This Row],[IRSrtn]]-AVERAGE($B$2:$B$2600)</f>
        <v>-0.11154006967400293</v>
      </c>
      <c r="D379" s="1">
        <f>w+a*C378^2+b*D378</f>
        <v>16.406081309322513</v>
      </c>
      <c r="E379" s="1">
        <f t="shared" si="5"/>
        <v>-2.3181437359126886</v>
      </c>
      <c r="F379" s="7">
        <f>SQRT(IRS_returns_2015_25[[#This Row],[  σ2]])</f>
        <v>4.0504421128220702</v>
      </c>
    </row>
    <row r="380" spans="1:6" x14ac:dyDescent="0.3">
      <c r="A380" s="2">
        <v>42571</v>
      </c>
      <c r="B380" s="1">
        <v>-1.5462614405119091</v>
      </c>
      <c r="C380" s="1">
        <f>IRS_returns_2015_25[[#This Row],[IRSrtn]]-AVERAGE($B$2:$B$2600)</f>
        <v>-1.5520379345785249</v>
      </c>
      <c r="D380" s="1">
        <f>w+a*C379^2+b*D379</f>
        <v>12.270098274950737</v>
      </c>
      <c r="E380" s="1">
        <f t="shared" si="5"/>
        <v>-2.270679376581632</v>
      </c>
      <c r="F380" s="7">
        <f>SQRT(IRS_returns_2015_25[[#This Row],[  σ2]])</f>
        <v>3.5028700054313657</v>
      </c>
    </row>
    <row r="381" spans="1:6" x14ac:dyDescent="0.3">
      <c r="A381" s="2">
        <v>42572</v>
      </c>
      <c r="B381" s="1">
        <v>1.0689451833094665</v>
      </c>
      <c r="C381" s="1">
        <f>IRS_returns_2015_25[[#This Row],[IRSrtn]]-AVERAGE($B$2:$B$2600)</f>
        <v>1.0631686892428507</v>
      </c>
      <c r="D381" s="1">
        <f>w+a*C380^2+b*D380</f>
        <v>10.100582813018384</v>
      </c>
      <c r="E381" s="1">
        <f t="shared" si="5"/>
        <v>-2.1311886826051651</v>
      </c>
      <c r="F381" s="7">
        <f>SQRT(IRS_returns_2015_25[[#This Row],[  σ2]])</f>
        <v>3.1781414085937687</v>
      </c>
    </row>
    <row r="382" spans="1:6" x14ac:dyDescent="0.3">
      <c r="A382" s="2">
        <v>42573</v>
      </c>
      <c r="B382" s="1">
        <v>-2.3125425932195132</v>
      </c>
      <c r="C382" s="1">
        <f>IRS_returns_2015_25[[#This Row],[IRSrtn]]-AVERAGE($B$2:$B$2600)</f>
        <v>-2.3183190872861288</v>
      </c>
      <c r="D382" s="1">
        <f>w+a*C381^2+b*D381</f>
        <v>8.3447953211639536</v>
      </c>
      <c r="E382" s="1">
        <f t="shared" si="5"/>
        <v>-2.3017908145127586</v>
      </c>
      <c r="F382" s="7">
        <f>SQRT(IRS_returns_2015_25[[#This Row],[  σ2]])</f>
        <v>2.8887359382892637</v>
      </c>
    </row>
    <row r="383" spans="1:6" x14ac:dyDescent="0.3">
      <c r="A383" s="2">
        <v>42576</v>
      </c>
      <c r="B383" s="1">
        <v>-2.6462503060507014</v>
      </c>
      <c r="C383" s="1">
        <f>IRS_returns_2015_25[[#This Row],[IRSrtn]]-AVERAGE($B$2:$B$2600)</f>
        <v>-2.6520268001173171</v>
      </c>
      <c r="D383" s="1">
        <f>w+a*C382^2+b*D382</f>
        <v>8.2100550426032584</v>
      </c>
      <c r="E383" s="1">
        <f t="shared" si="5"/>
        <v>-2.3999495892136982</v>
      </c>
      <c r="F383" s="7">
        <f>SQRT(IRS_returns_2015_25[[#This Row],[  σ2]])</f>
        <v>2.865319361363277</v>
      </c>
    </row>
    <row r="384" spans="1:6" x14ac:dyDescent="0.3">
      <c r="A384" s="2">
        <v>42577</v>
      </c>
      <c r="B384" s="1">
        <v>-0.56022873992156441</v>
      </c>
      <c r="C384" s="1">
        <f>IRS_returns_2015_25[[#This Row],[IRSrtn]]-AVERAGE($B$2:$B$2600)</f>
        <v>-0.56600523398818026</v>
      </c>
      <c r="D384" s="1">
        <f>w+a*C383^2+b*D383</f>
        <v>8.5244841116507164</v>
      </c>
      <c r="E384" s="1">
        <f t="shared" si="5"/>
        <v>-2.0092004793197669</v>
      </c>
      <c r="F384" s="7">
        <f>SQRT(IRS_returns_2015_25[[#This Row],[  σ2]])</f>
        <v>2.9196719184954181</v>
      </c>
    </row>
    <row r="385" spans="1:6" x14ac:dyDescent="0.3">
      <c r="A385" s="2">
        <v>42578</v>
      </c>
      <c r="B385" s="1">
        <v>0.56022873992156441</v>
      </c>
      <c r="C385" s="1">
        <f>IRS_returns_2015_25[[#This Row],[IRSrtn]]-AVERAGE($B$2:$B$2600)</f>
        <v>0.55445224585494857</v>
      </c>
      <c r="D385" s="1">
        <f>w+a*C384^2+b*D384</f>
        <v>7.0982121093285118</v>
      </c>
      <c r="E385" s="1">
        <f t="shared" si="5"/>
        <v>-1.9205145596705437</v>
      </c>
      <c r="F385" s="7">
        <f>SQRT(IRS_returns_2015_25[[#This Row],[  σ2]])</f>
        <v>2.6642470060654122</v>
      </c>
    </row>
    <row r="386" spans="1:6" x14ac:dyDescent="0.3">
      <c r="A386" s="2">
        <v>42579</v>
      </c>
      <c r="B386" s="1">
        <v>-0.78520580678032026</v>
      </c>
      <c r="C386" s="1">
        <f>IRS_returns_2015_25[[#This Row],[IRSrtn]]-AVERAGE($B$2:$B$2600)</f>
        <v>-0.7909823008469361</v>
      </c>
      <c r="D386" s="1">
        <f>w+a*C385^2+b*D385</f>
        <v>6.1455650430521001</v>
      </c>
      <c r="E386" s="1">
        <f t="shared" ref="E386:E449" si="6">-0.5*(LN(2*PI())+LN(D386)+C386^2/D386)</f>
        <v>-1.8777066836213749</v>
      </c>
      <c r="F386" s="7">
        <f>SQRT(IRS_returns_2015_25[[#This Row],[  σ2]])</f>
        <v>2.479025018641825</v>
      </c>
    </row>
    <row r="387" spans="1:6" x14ac:dyDescent="0.3">
      <c r="A387" s="2">
        <v>42580</v>
      </c>
      <c r="B387" s="1">
        <v>3.9740418524786936</v>
      </c>
      <c r="C387" s="1">
        <f>IRS_returns_2015_25[[#This Row],[IRSrtn]]-AVERAGE($B$2:$B$2600)</f>
        <v>3.9682653584120779</v>
      </c>
      <c r="D387" s="1">
        <f>w+a*C386^2+b*D386</f>
        <v>5.5889100256303532</v>
      </c>
      <c r="E387" s="1">
        <f t="shared" si="6"/>
        <v>-3.1881143082937369</v>
      </c>
      <c r="F387" s="7">
        <f>SQRT(IRS_returns_2015_25[[#This Row],[  σ2]])</f>
        <v>2.3640875672509156</v>
      </c>
    </row>
    <row r="388" spans="1:6" x14ac:dyDescent="0.3">
      <c r="A388" s="2">
        <v>42583</v>
      </c>
      <c r="B388" s="1">
        <v>-2.7429131918308425</v>
      </c>
      <c r="C388" s="1">
        <f>IRS_returns_2015_25[[#This Row],[IRSrtn]]-AVERAGE($B$2:$B$2600)</f>
        <v>-2.7486896858974581</v>
      </c>
      <c r="D388" s="1">
        <f>w+a*C387^2+b*D387</f>
        <v>8.9026798401198981</v>
      </c>
      <c r="E388" s="1">
        <f t="shared" si="6"/>
        <v>-2.436441709159423</v>
      </c>
      <c r="F388" s="7">
        <f>SQRT(IRS_returns_2015_25[[#This Row],[  σ2]])</f>
        <v>2.9837358864550825</v>
      </c>
    </row>
    <row r="389" spans="1:6" x14ac:dyDescent="0.3">
      <c r="A389" s="2">
        <v>42584</v>
      </c>
      <c r="B389" s="1">
        <v>-2.7059061175839449</v>
      </c>
      <c r="C389" s="1">
        <f>IRS_returns_2015_25[[#This Row],[IRSrtn]]-AVERAGE($B$2:$B$2600)</f>
        <v>-2.7116826116505606</v>
      </c>
      <c r="D389" s="1">
        <f>w+a*C388^2+b*D388</f>
        <v>9.1127730947617636</v>
      </c>
      <c r="E389" s="1">
        <f t="shared" si="6"/>
        <v>-2.4272339783362069</v>
      </c>
      <c r="F389" s="7">
        <f>SQRT(IRS_returns_2015_25[[#This Row],[  σ2]])</f>
        <v>3.0187370032451923</v>
      </c>
    </row>
    <row r="390" spans="1:6" x14ac:dyDescent="0.3">
      <c r="A390" s="2">
        <v>42585</v>
      </c>
      <c r="B390" s="1">
        <v>-0.74563560956404373</v>
      </c>
      <c r="C390" s="1">
        <f>IRS_returns_2015_25[[#This Row],[IRSrtn]]-AVERAGE($B$2:$B$2600)</f>
        <v>-0.75141210363065958</v>
      </c>
      <c r="D390" s="1">
        <f>w+a*C389^2+b*D389</f>
        <v>9.2034007914638316</v>
      </c>
      <c r="E390" s="1">
        <f t="shared" si="6"/>
        <v>-2.0593996055108912</v>
      </c>
      <c r="F390" s="7">
        <f>SQRT(IRS_returns_2015_25[[#This Row],[  σ2]])</f>
        <v>3.0337107296945489</v>
      </c>
    </row>
    <row r="391" spans="1:6" x14ac:dyDescent="0.3">
      <c r="A391" s="2">
        <v>42586</v>
      </c>
      <c r="B391" s="1">
        <v>2.1077566894054378</v>
      </c>
      <c r="C391" s="1">
        <f>IRS_returns_2015_25[[#This Row],[IRSrtn]]-AVERAGE($B$2:$B$2600)</f>
        <v>2.1019801953388222</v>
      </c>
      <c r="D391" s="1">
        <f>w+a*C390^2+b*D390</f>
        <v>7.6096917499685537</v>
      </c>
      <c r="E391" s="1">
        <f t="shared" si="6"/>
        <v>-2.2239586513823788</v>
      </c>
      <c r="F391" s="7">
        <f>SQRT(IRS_returns_2015_25[[#This Row],[  σ2]])</f>
        <v>2.7585669739864125</v>
      </c>
    </row>
    <row r="392" spans="1:6" x14ac:dyDescent="0.3">
      <c r="A392" s="2">
        <v>42587</v>
      </c>
      <c r="B392" s="1">
        <v>0.33763344395345563</v>
      </c>
      <c r="C392" s="1">
        <f>IRS_returns_2015_25[[#This Row],[IRSrtn]]-AVERAGE($B$2:$B$2600)</f>
        <v>0.33185694988683984</v>
      </c>
      <c r="D392" s="1">
        <f>w+a*C391^2+b*D391</f>
        <v>7.4876862629751093</v>
      </c>
      <c r="E392" s="1">
        <f t="shared" si="6"/>
        <v>-1.93292246275765</v>
      </c>
      <c r="F392" s="7">
        <f>SQRT(IRS_returns_2015_25[[#This Row],[  σ2]])</f>
        <v>2.7363636934762727</v>
      </c>
    </row>
    <row r="393" spans="1:6" x14ac:dyDescent="0.3">
      <c r="A393" s="2">
        <v>42590</v>
      </c>
      <c r="B393" s="1">
        <v>4.396312614572695</v>
      </c>
      <c r="C393" s="1">
        <f>IRS_returns_2015_25[[#This Row],[IRSrtn]]-AVERAGE($B$2:$B$2600)</f>
        <v>4.3905361205060789</v>
      </c>
      <c r="D393" s="1">
        <f>w+a*C392^2+b*D392</f>
        <v>6.3567752581650687</v>
      </c>
      <c r="E393" s="1">
        <f t="shared" si="6"/>
        <v>-3.3599402091324873</v>
      </c>
      <c r="F393" s="7">
        <f>SQRT(IRS_returns_2015_25[[#This Row],[  σ2]])</f>
        <v>2.5212646148639513</v>
      </c>
    </row>
    <row r="394" spans="1:6" x14ac:dyDescent="0.3">
      <c r="A394" s="2">
        <v>42591</v>
      </c>
      <c r="B394" s="1">
        <v>0.42917678330174347</v>
      </c>
      <c r="C394" s="1">
        <f>IRS_returns_2015_25[[#This Row],[IRSrtn]]-AVERAGE($B$2:$B$2600)</f>
        <v>0.42340028923512768</v>
      </c>
      <c r="D394" s="1">
        <f>w+a*C393^2+b*D393</f>
        <v>10.273865658498508</v>
      </c>
      <c r="E394" s="1">
        <f t="shared" si="6"/>
        <v>-2.0924646685701136</v>
      </c>
      <c r="F394" s="7">
        <f>SQRT(IRS_returns_2015_25[[#This Row],[  σ2]])</f>
        <v>3.205287141349197</v>
      </c>
    </row>
    <row r="395" spans="1:6" x14ac:dyDescent="0.3">
      <c r="A395" s="2">
        <v>42592</v>
      </c>
      <c r="B395" s="1">
        <v>-3.6526225784985655</v>
      </c>
      <c r="C395" s="1">
        <f>IRS_returns_2015_25[[#This Row],[IRSrtn]]-AVERAGE($B$2:$B$2600)</f>
        <v>-3.6583990725651812</v>
      </c>
      <c r="D395" s="1">
        <f>w+a*C394^2+b*D394</f>
        <v>8.2284270933394872</v>
      </c>
      <c r="E395" s="1">
        <f t="shared" si="6"/>
        <v>-2.7860070640117862</v>
      </c>
      <c r="F395" s="7">
        <f>SQRT(IRS_returns_2015_25[[#This Row],[  σ2]])</f>
        <v>2.8685235040590982</v>
      </c>
    </row>
    <row r="396" spans="1:6" x14ac:dyDescent="0.3">
      <c r="A396" s="2">
        <v>42593</v>
      </c>
      <c r="B396" s="1">
        <v>0.27723422432242018</v>
      </c>
      <c r="C396" s="1">
        <f>IRS_returns_2015_25[[#This Row],[IRSrtn]]-AVERAGE($B$2:$B$2600)</f>
        <v>0.27145773025580439</v>
      </c>
      <c r="D396" s="1">
        <f>w+a*C395^2+b*D395</f>
        <v>10.084046081783951</v>
      </c>
      <c r="E396" s="1">
        <f t="shared" si="6"/>
        <v>-2.0780695793317623</v>
      </c>
      <c r="F396" s="7">
        <f>SQRT(IRS_returns_2015_25[[#This Row],[  σ2]])</f>
        <v>3.1755387073351744</v>
      </c>
    </row>
    <row r="397" spans="1:6" x14ac:dyDescent="0.3">
      <c r="A397" s="2">
        <v>42594</v>
      </c>
      <c r="B397" s="1">
        <v>-1.0576128850685151</v>
      </c>
      <c r="C397" s="1">
        <f>IRS_returns_2015_25[[#This Row],[IRSrtn]]-AVERAGE($B$2:$B$2600)</f>
        <v>-1.063389379135131</v>
      </c>
      <c r="D397" s="1">
        <f>w+a*C396^2+b*D396</f>
        <v>8.0763368501280333</v>
      </c>
      <c r="E397" s="1">
        <f t="shared" si="6"/>
        <v>-2.0334145364241851</v>
      </c>
      <c r="F397" s="7">
        <f>SQRT(IRS_returns_2015_25[[#This Row],[  σ2]])</f>
        <v>2.8418896618496703</v>
      </c>
    </row>
    <row r="398" spans="1:6" x14ac:dyDescent="0.3">
      <c r="A398" s="2">
        <v>42597</v>
      </c>
      <c r="B398" s="1">
        <v>-0.8429304906933055</v>
      </c>
      <c r="C398" s="1">
        <f>IRS_returns_2015_25[[#This Row],[IRSrtn]]-AVERAGE($B$2:$B$2600)</f>
        <v>-0.84870698475992135</v>
      </c>
      <c r="D398" s="1">
        <f>w+a*C397^2+b*D397</f>
        <v>6.9973352990325219</v>
      </c>
      <c r="E398" s="1">
        <f t="shared" si="6"/>
        <v>-1.9431730821034043</v>
      </c>
      <c r="F398" s="7">
        <f>SQRT(IRS_returns_2015_25[[#This Row],[  σ2]])</f>
        <v>2.6452476819822603</v>
      </c>
    </row>
    <row r="399" spans="1:6" x14ac:dyDescent="0.3">
      <c r="A399" s="2">
        <v>42598</v>
      </c>
      <c r="B399" s="1">
        <v>1.6233091514394005</v>
      </c>
      <c r="C399" s="1">
        <f>IRS_returns_2015_25[[#This Row],[IRSrtn]]-AVERAGE($B$2:$B$2600)</f>
        <v>1.6175326573727846</v>
      </c>
      <c r="D399" s="1">
        <f>w+a*C398^2+b*D398</f>
        <v>6.1790093045266223</v>
      </c>
      <c r="E399" s="1">
        <f t="shared" si="6"/>
        <v>-2.041235259425854</v>
      </c>
      <c r="F399" s="7">
        <f>SQRT(IRS_returns_2015_25[[#This Row],[  σ2]])</f>
        <v>2.4857613128630476</v>
      </c>
    </row>
    <row r="400" spans="1:6" x14ac:dyDescent="0.3">
      <c r="A400" s="2">
        <v>42599</v>
      </c>
      <c r="B400" s="1">
        <v>-1.7927614526954461</v>
      </c>
      <c r="C400" s="1">
        <f>IRS_returns_2015_25[[#This Row],[IRSrtn]]-AVERAGE($B$2:$B$2600)</f>
        <v>-1.7985379467620619</v>
      </c>
      <c r="D400" s="1">
        <f>w+a*C399^2+b*D399</f>
        <v>6.0962223744526884</v>
      </c>
      <c r="E400" s="1">
        <f t="shared" si="6"/>
        <v>-2.0880800015686027</v>
      </c>
      <c r="F400" s="7">
        <f>SQRT(IRS_returns_2015_25[[#This Row],[  σ2]])</f>
        <v>2.4690529306705211</v>
      </c>
    </row>
    <row r="401" spans="1:6" x14ac:dyDescent="0.3">
      <c r="A401" s="2">
        <v>42600</v>
      </c>
      <c r="B401" s="1">
        <v>-5.6535214186048677E-2</v>
      </c>
      <c r="C401" s="1">
        <f>IRS_returns_2015_25[[#This Row],[IRSrtn]]-AVERAGE($B$2:$B$2600)</f>
        <v>-6.2311708252664473E-2</v>
      </c>
      <c r="D401" s="1">
        <f>w+a*C400^2+b*D400</f>
        <v>6.191764925052647</v>
      </c>
      <c r="E401" s="1">
        <f t="shared" si="6"/>
        <v>-1.8308621602136244</v>
      </c>
      <c r="F401" s="7">
        <f>SQRT(IRS_returns_2015_25[[#This Row],[  σ2]])</f>
        <v>2.4883257272818295</v>
      </c>
    </row>
    <row r="402" spans="1:6" x14ac:dyDescent="0.3">
      <c r="A402" s="2">
        <v>42605</v>
      </c>
      <c r="B402" s="1">
        <v>0.451452780646866</v>
      </c>
      <c r="C402" s="1">
        <f>IRS_returns_2015_25[[#This Row],[IRSrtn]]-AVERAGE($B$2:$B$2600)</f>
        <v>0.44567628658025021</v>
      </c>
      <c r="D402" s="1">
        <f>w+a*C401^2+b*D401</f>
        <v>5.4681718812940385</v>
      </c>
      <c r="E402" s="1">
        <f t="shared" si="6"/>
        <v>-1.7865728444597784</v>
      </c>
      <c r="F402" s="7">
        <f>SQRT(IRS_returns_2015_25[[#This Row],[  σ2]])</f>
        <v>2.3384122564881578</v>
      </c>
    </row>
    <row r="403" spans="1:6" x14ac:dyDescent="0.3">
      <c r="A403" s="2">
        <v>42606</v>
      </c>
      <c r="B403" s="1">
        <v>1.8410741573206657</v>
      </c>
      <c r="C403" s="1">
        <f>IRS_returns_2015_25[[#This Row],[IRSrtn]]-AVERAGE($B$2:$B$2600)</f>
        <v>1.8352976632540499</v>
      </c>
      <c r="D403" s="1">
        <f>w+a*C402^2+b*D402</f>
        <v>5.0339133760119203</v>
      </c>
      <c r="E403" s="1">
        <f t="shared" si="6"/>
        <v>-2.0615998999454499</v>
      </c>
      <c r="F403" s="7">
        <f>SQRT(IRS_returns_2015_25[[#This Row],[  σ2]])</f>
        <v>2.2436384236351277</v>
      </c>
    </row>
    <row r="404" spans="1:6" x14ac:dyDescent="0.3">
      <c r="A404" s="2">
        <v>42607</v>
      </c>
      <c r="B404" s="1">
        <v>0.77091836306633077</v>
      </c>
      <c r="C404" s="1">
        <f>IRS_returns_2015_25[[#This Row],[IRSrtn]]-AVERAGE($B$2:$B$2600)</f>
        <v>0.76514186899971492</v>
      </c>
      <c r="D404" s="1">
        <f>w+a*C403^2+b*D403</f>
        <v>5.5171145057185882</v>
      </c>
      <c r="E404" s="1">
        <f t="shared" si="6"/>
        <v>-1.8259229363374769</v>
      </c>
      <c r="F404" s="7">
        <f>SQRT(IRS_returns_2015_25[[#This Row],[  σ2]])</f>
        <v>2.3488538706608777</v>
      </c>
    </row>
    <row r="405" spans="1:6" x14ac:dyDescent="0.3">
      <c r="A405" s="2">
        <v>42608</v>
      </c>
      <c r="B405" s="1">
        <v>0.32858553490662246</v>
      </c>
      <c r="C405" s="1">
        <f>IRS_returns_2015_25[[#This Row],[IRSrtn]]-AVERAGE($B$2:$B$2600)</f>
        <v>0.32280904084000667</v>
      </c>
      <c r="D405" s="1">
        <f>w+a*C404^2+b*D404</f>
        <v>5.1607426179356191</v>
      </c>
      <c r="E405" s="1">
        <f t="shared" si="6"/>
        <v>-1.7495747731854001</v>
      </c>
      <c r="F405" s="7">
        <f>SQRT(IRS_returns_2015_25[[#This Row],[  σ2]])</f>
        <v>2.2717267920979447</v>
      </c>
    </row>
    <row r="406" spans="1:6" x14ac:dyDescent="0.3">
      <c r="A406" s="2">
        <v>42611</v>
      </c>
      <c r="B406" s="1">
        <v>1.8418801962041265</v>
      </c>
      <c r="C406" s="1">
        <f>IRS_returns_2015_25[[#This Row],[IRSrtn]]-AVERAGE($B$2:$B$2600)</f>
        <v>1.8361037021375106</v>
      </c>
      <c r="D406" s="1">
        <f>w+a*C405^2+b*D405</f>
        <v>4.8062467578114232</v>
      </c>
      <c r="E406" s="1">
        <f t="shared" si="6"/>
        <v>-2.0546150127595921</v>
      </c>
      <c r="F406" s="7">
        <f>SQRT(IRS_returns_2015_25[[#This Row],[  σ2]])</f>
        <v>2.1923153873955781</v>
      </c>
    </row>
    <row r="407" spans="1:6" x14ac:dyDescent="0.3">
      <c r="A407" s="2">
        <v>42612</v>
      </c>
      <c r="B407" s="1">
        <v>1.1739723051428452</v>
      </c>
      <c r="C407" s="1">
        <f>IRS_returns_2015_25[[#This Row],[IRSrtn]]-AVERAGE($B$2:$B$2600)</f>
        <v>1.1681958110762294</v>
      </c>
      <c r="D407" s="1">
        <f>w+a*C406^2+b*D406</f>
        <v>5.3662740637909172</v>
      </c>
      <c r="E407" s="1">
        <f t="shared" si="6"/>
        <v>-1.8861589823938456</v>
      </c>
      <c r="F407" s="7">
        <f>SQRT(IRS_returns_2015_25[[#This Row],[  σ2]])</f>
        <v>2.316521975676233</v>
      </c>
    </row>
    <row r="408" spans="1:6" x14ac:dyDescent="0.3">
      <c r="A408" s="2">
        <v>42613</v>
      </c>
      <c r="B408" s="1">
        <v>0.73994505004764122</v>
      </c>
      <c r="C408" s="1">
        <f>IRS_returns_2015_25[[#This Row],[IRSrtn]]-AVERAGE($B$2:$B$2600)</f>
        <v>0.73416855598102537</v>
      </c>
      <c r="D408" s="1">
        <f>w+a*C407^2+b*D407</f>
        <v>5.2501871078103308</v>
      </c>
      <c r="E408" s="1">
        <f t="shared" si="6"/>
        <v>-1.7994022252105577</v>
      </c>
      <c r="F408" s="7">
        <f>SQRT(IRS_returns_2015_25[[#This Row],[  σ2]])</f>
        <v>2.2913286773857502</v>
      </c>
    </row>
    <row r="409" spans="1:6" x14ac:dyDescent="0.3">
      <c r="A409" s="2">
        <v>42614</v>
      </c>
      <c r="B409" s="1">
        <v>0.57759261856431543</v>
      </c>
      <c r="C409" s="1">
        <f>IRS_returns_2015_25[[#This Row],[IRSrtn]]-AVERAGE($B$2:$B$2600)</f>
        <v>0.57181612449769958</v>
      </c>
      <c r="D409" s="1">
        <f>w+a*C408^2+b*D408</f>
        <v>4.9717298310473597</v>
      </c>
      <c r="E409" s="1">
        <f t="shared" si="6"/>
        <v>-1.7537057415123272</v>
      </c>
      <c r="F409" s="7">
        <f>SQRT(IRS_returns_2015_25[[#This Row],[  σ2]])</f>
        <v>2.2297376148433607</v>
      </c>
    </row>
    <row r="410" spans="1:6" x14ac:dyDescent="0.3">
      <c r="A410" s="2">
        <v>42615</v>
      </c>
      <c r="B410" s="1">
        <v>-1.0526532619995699</v>
      </c>
      <c r="C410" s="1">
        <f>IRS_returns_2015_25[[#This Row],[IRSrtn]]-AVERAGE($B$2:$B$2600)</f>
        <v>-1.0584297560661857</v>
      </c>
      <c r="D410" s="1">
        <f>w+a*C409^2+b*D409</f>
        <v>4.7346951590586173</v>
      </c>
      <c r="E410" s="1">
        <f t="shared" si="6"/>
        <v>-1.814701923029995</v>
      </c>
      <c r="F410" s="7">
        <f>SQRT(IRS_returns_2015_25[[#This Row],[  σ2]])</f>
        <v>2.1759354675767884</v>
      </c>
    </row>
    <row r="411" spans="1:6" x14ac:dyDescent="0.3">
      <c r="A411" s="2">
        <v>42619</v>
      </c>
      <c r="B411" s="1">
        <v>1.8349361038487721</v>
      </c>
      <c r="C411" s="1">
        <f>IRS_returns_2015_25[[#This Row],[IRSrtn]]-AVERAGE($B$2:$B$2600)</f>
        <v>1.8291596097821563</v>
      </c>
      <c r="D411" s="1">
        <f>w+a*C410^2+b*D410</f>
        <v>4.7701845457378838</v>
      </c>
      <c r="E411" s="1">
        <f t="shared" si="6"/>
        <v>-2.0508328574756871</v>
      </c>
      <c r="F411" s="7">
        <f>SQRT(IRS_returns_2015_25[[#This Row],[  σ2]])</f>
        <v>2.1840752152199072</v>
      </c>
    </row>
    <row r="412" spans="1:6" x14ac:dyDescent="0.3">
      <c r="A412" s="2">
        <v>42620</v>
      </c>
      <c r="B412" s="1">
        <v>-1.3598754604135177</v>
      </c>
      <c r="C412" s="1">
        <f>IRS_returns_2015_25[[#This Row],[IRSrtn]]-AVERAGE($B$2:$B$2600)</f>
        <v>-1.3656519544801335</v>
      </c>
      <c r="D412" s="1">
        <f>w+a*C411^2+b*D411</f>
        <v>5.3360654903798244</v>
      </c>
      <c r="E412" s="1">
        <f t="shared" si="6"/>
        <v>-1.9309375440749934</v>
      </c>
      <c r="F412" s="7">
        <f>SQRT(IRS_returns_2015_25[[#This Row],[  σ2]])</f>
        <v>2.3099925303731665</v>
      </c>
    </row>
    <row r="413" spans="1:6" x14ac:dyDescent="0.3">
      <c r="A413" s="2">
        <v>42621</v>
      </c>
      <c r="B413" s="1">
        <v>2.5989021354465791</v>
      </c>
      <c r="C413" s="1">
        <f>IRS_returns_2015_25[[#This Row],[IRSrtn]]-AVERAGE($B$2:$B$2600)</f>
        <v>2.5931256413799635</v>
      </c>
      <c r="D413" s="1">
        <f>w+a*C412^2+b*D412</f>
        <v>5.3519805356661037</v>
      </c>
      <c r="E413" s="1">
        <f t="shared" si="6"/>
        <v>-2.3858786257522415</v>
      </c>
      <c r="F413" s="7">
        <f>SQRT(IRS_returns_2015_25[[#This Row],[  σ2]])</f>
        <v>2.3134347917471336</v>
      </c>
    </row>
    <row r="414" spans="1:6" x14ac:dyDescent="0.3">
      <c r="A414" s="2">
        <v>42622</v>
      </c>
      <c r="B414" s="1">
        <v>-5.7550736088664234</v>
      </c>
      <c r="C414" s="1">
        <f>IRS_returns_2015_25[[#This Row],[IRSrtn]]-AVERAGE($B$2:$B$2600)</f>
        <v>-5.7608501029330395</v>
      </c>
      <c r="D414" s="1">
        <f>w+a*C413^2+b*D413</f>
        <v>6.5465416310478179</v>
      </c>
      <c r="E414" s="1">
        <f t="shared" si="6"/>
        <v>-4.3931341625851896</v>
      </c>
      <c r="F414" s="7">
        <f>SQRT(IRS_returns_2015_25[[#This Row],[  σ2]])</f>
        <v>2.5586210409218122</v>
      </c>
    </row>
    <row r="415" spans="1:6" x14ac:dyDescent="0.3">
      <c r="A415" s="2">
        <v>42625</v>
      </c>
      <c r="B415" s="1">
        <v>-0.8185630925346743</v>
      </c>
      <c r="C415" s="1">
        <f>IRS_returns_2015_25[[#This Row],[IRSrtn]]-AVERAGE($B$2:$B$2600)</f>
        <v>-0.82433958660129014</v>
      </c>
      <c r="D415" s="1">
        <f>w+a*C414^2+b*D414</f>
        <v>13.789507484325746</v>
      </c>
      <c r="E415" s="1">
        <f t="shared" si="6"/>
        <v>-2.2555321158854365</v>
      </c>
      <c r="F415" s="7">
        <f>SQRT(IRS_returns_2015_25[[#This Row],[  σ2]])</f>
        <v>3.7134226105206158</v>
      </c>
    </row>
    <row r="416" spans="1:6" x14ac:dyDescent="0.3">
      <c r="A416" s="2">
        <v>42628</v>
      </c>
      <c r="B416" s="1">
        <v>0.16424459790731483</v>
      </c>
      <c r="C416" s="1">
        <f>IRS_returns_2015_25[[#This Row],[IRSrtn]]-AVERAGE($B$2:$B$2600)</f>
        <v>0.15846810384069904</v>
      </c>
      <c r="D416" s="1">
        <f>w+a*C415^2+b*D415</f>
        <v>10.690738784965593</v>
      </c>
      <c r="E416" s="1">
        <f t="shared" si="6"/>
        <v>-2.1048019305217971</v>
      </c>
      <c r="F416" s="7">
        <f>SQRT(IRS_returns_2015_25[[#This Row],[  σ2]])</f>
        <v>3.2696695222859438</v>
      </c>
    </row>
    <row r="417" spans="1:6" x14ac:dyDescent="0.3">
      <c r="A417" s="2">
        <v>42629</v>
      </c>
      <c r="B417" s="1">
        <v>-0.16424459790731483</v>
      </c>
      <c r="C417" s="1">
        <f>IRS_returns_2015_25[[#This Row],[IRSrtn]]-AVERAGE($B$2:$B$2600)</f>
        <v>-0.17002109197393062</v>
      </c>
      <c r="D417" s="1">
        <f>w+a*C416^2+b*D416</f>
        <v>8.4683865088375398</v>
      </c>
      <c r="E417" s="1">
        <f t="shared" si="6"/>
        <v>-1.9888153007933815</v>
      </c>
      <c r="F417" s="7">
        <f>SQRT(IRS_returns_2015_25[[#This Row],[  σ2]])</f>
        <v>2.910049227906212</v>
      </c>
    </row>
    <row r="418" spans="1:6" x14ac:dyDescent="0.3">
      <c r="A418" s="2">
        <v>42632</v>
      </c>
      <c r="B418" s="1">
        <v>-0.21942359275151091</v>
      </c>
      <c r="C418" s="1">
        <f>IRS_returns_2015_25[[#This Row],[IRSrtn]]-AVERAGE($B$2:$B$2600)</f>
        <v>-0.2252000868181267</v>
      </c>
      <c r="D418" s="1">
        <f>w+a*C417^2+b*D417</f>
        <v>6.9898541143432684</v>
      </c>
      <c r="E418" s="1">
        <f t="shared" si="6"/>
        <v>-1.8947961396824091</v>
      </c>
      <c r="F418" s="7">
        <f>SQRT(IRS_returns_2015_25[[#This Row],[  σ2]])</f>
        <v>2.6438332236249829</v>
      </c>
    </row>
    <row r="419" spans="1:6" x14ac:dyDescent="0.3">
      <c r="A419" s="2">
        <v>42633</v>
      </c>
      <c r="B419" s="1">
        <v>0.21942359275151091</v>
      </c>
      <c r="C419" s="1">
        <f>IRS_returns_2015_25[[#This Row],[IRSrtn]]-AVERAGE($B$2:$B$2600)</f>
        <v>0.21364709868489512</v>
      </c>
      <c r="D419" s="1">
        <f>w+a*C418^2+b*D418</f>
        <v>6.0108838797305193</v>
      </c>
      <c r="E419" s="1">
        <f t="shared" si="6"/>
        <v>-1.8195213056118562</v>
      </c>
      <c r="F419" s="7">
        <f>SQRT(IRS_returns_2015_25[[#This Row],[  σ2]])</f>
        <v>2.4517103988298699</v>
      </c>
    </row>
    <row r="420" spans="1:6" x14ac:dyDescent="0.3">
      <c r="A420" s="2">
        <v>42634</v>
      </c>
      <c r="B420" s="1">
        <v>2.2752872528041035</v>
      </c>
      <c r="C420" s="1">
        <f>IRS_returns_2015_25[[#This Row],[IRSrtn]]-AVERAGE($B$2:$B$2600)</f>
        <v>2.2695107587374879</v>
      </c>
      <c r="D420" s="1">
        <f>w+a*C419^2+b*D419</f>
        <v>5.3579317292704438</v>
      </c>
      <c r="E420" s="1">
        <f t="shared" si="6"/>
        <v>-2.2388868156283732</v>
      </c>
      <c r="F420" s="7">
        <f>SQRT(IRS_returns_2015_25[[#This Row],[  σ2]])</f>
        <v>2.3147206590149154</v>
      </c>
    </row>
    <row r="421" spans="1:6" x14ac:dyDescent="0.3">
      <c r="A421" s="2">
        <v>42635</v>
      </c>
      <c r="B421" s="1">
        <v>1.8047158344294711</v>
      </c>
      <c r="C421" s="1">
        <f>IRS_returns_2015_25[[#This Row],[IRSrtn]]-AVERAGE($B$2:$B$2600)</f>
        <v>1.7989393403628553</v>
      </c>
      <c r="D421" s="1">
        <f>w+a*C420^2+b*D420</f>
        <v>6.1670909235791225</v>
      </c>
      <c r="E421" s="1">
        <f t="shared" si="6"/>
        <v>-2.0909272979143529</v>
      </c>
      <c r="F421" s="7">
        <f>SQRT(IRS_returns_2015_25[[#This Row],[  σ2]])</f>
        <v>2.4833628256014308</v>
      </c>
    </row>
    <row r="422" spans="1:6" x14ac:dyDescent="0.3">
      <c r="A422" s="2">
        <v>42636</v>
      </c>
      <c r="B422" s="1">
        <v>-1.4304829870438684</v>
      </c>
      <c r="C422" s="1">
        <f>IRS_returns_2015_25[[#This Row],[IRSrtn]]-AVERAGE($B$2:$B$2600)</f>
        <v>-1.4362594811104843</v>
      </c>
      <c r="D422" s="1">
        <f>w+a*C421^2+b*D421</f>
        <v>6.2392951339839655</v>
      </c>
      <c r="E422" s="1">
        <f t="shared" si="6"/>
        <v>-1.9996825855073772</v>
      </c>
      <c r="F422" s="7">
        <f>SQRT(IRS_returns_2015_25[[#This Row],[  σ2]])</f>
        <v>2.4978581092576024</v>
      </c>
    </row>
    <row r="423" spans="1:6" x14ac:dyDescent="0.3">
      <c r="A423" s="2">
        <v>42639</v>
      </c>
      <c r="B423" s="1">
        <v>0.3196695122073212</v>
      </c>
      <c r="C423" s="1">
        <f>IRS_returns_2015_25[[#This Row],[IRSrtn]]-AVERAGE($B$2:$B$2600)</f>
        <v>0.31389301814070542</v>
      </c>
      <c r="D423" s="1">
        <f>w+a*C422^2+b*D422</f>
        <v>6.0014783098784443</v>
      </c>
      <c r="E423" s="1">
        <f t="shared" si="6"/>
        <v>-1.8231501582008609</v>
      </c>
      <c r="F423" s="7">
        <f>SQRT(IRS_returns_2015_25[[#This Row],[  σ2]])</f>
        <v>2.4497914829385876</v>
      </c>
    </row>
    <row r="424" spans="1:6" x14ac:dyDescent="0.3">
      <c r="A424" s="2">
        <v>42640</v>
      </c>
      <c r="B424" s="1">
        <v>2.4692444360340016</v>
      </c>
      <c r="C424" s="1">
        <f>IRS_returns_2015_25[[#This Row],[IRSrtn]]-AVERAGE($B$2:$B$2600)</f>
        <v>2.4634679419673859</v>
      </c>
      <c r="D424" s="1">
        <f>w+a*C423^2+b*D423</f>
        <v>5.3645553962327419</v>
      </c>
      <c r="E424" s="1">
        <f t="shared" si="6"/>
        <v>-2.3244722420906672</v>
      </c>
      <c r="F424" s="7">
        <f>SQRT(IRS_returns_2015_25[[#This Row],[  σ2]])</f>
        <v>2.3161509873565542</v>
      </c>
    </row>
    <row r="425" spans="1:6" x14ac:dyDescent="0.3">
      <c r="A425" s="2">
        <v>42641</v>
      </c>
      <c r="B425" s="1">
        <v>-1.2007415876656324</v>
      </c>
      <c r="C425" s="1">
        <f>IRS_returns_2015_25[[#This Row],[IRSrtn]]-AVERAGE($B$2:$B$2600)</f>
        <v>-1.2065180817322483</v>
      </c>
      <c r="D425" s="1">
        <f>w+a*C424^2+b*D424</f>
        <v>6.3951697317344554</v>
      </c>
      <c r="E425" s="1">
        <f t="shared" si="6"/>
        <v>-1.9605213774777854</v>
      </c>
      <c r="F425" s="7">
        <f>SQRT(IRS_returns_2015_25[[#This Row],[  σ2]])</f>
        <v>2.5288672823488496</v>
      </c>
    </row>
    <row r="426" spans="1:6" x14ac:dyDescent="0.3">
      <c r="A426" s="2">
        <v>42642</v>
      </c>
      <c r="B426" s="1">
        <v>-0.210291978449062</v>
      </c>
      <c r="C426" s="1">
        <f>IRS_returns_2015_25[[#This Row],[IRSrtn]]-AVERAGE($B$2:$B$2600)</f>
        <v>-0.21606847251567779</v>
      </c>
      <c r="D426" s="1">
        <f>w+a*C425^2+b*D425</f>
        <v>5.9573133581929607</v>
      </c>
      <c r="E426" s="1">
        <f t="shared" si="6"/>
        <v>-1.8151666757273259</v>
      </c>
      <c r="F426" s="7">
        <f>SQRT(IRS_returns_2015_25[[#This Row],[  σ2]])</f>
        <v>2.4407608154411529</v>
      </c>
    </row>
    <row r="427" spans="1:6" x14ac:dyDescent="0.3">
      <c r="A427" s="2">
        <v>42643</v>
      </c>
      <c r="B427" s="1">
        <v>-5.2665916361815945E-2</v>
      </c>
      <c r="C427" s="1">
        <f>IRS_returns_2015_25[[#This Row],[IRSrtn]]-AVERAGE($B$2:$B$2600)</f>
        <v>-5.8442410428431742E-2</v>
      </c>
      <c r="D427" s="1">
        <f>w+a*C426^2+b*D426</f>
        <v>5.3225224558225896</v>
      </c>
      <c r="E427" s="1">
        <f t="shared" si="6"/>
        <v>-1.7552330565597776</v>
      </c>
      <c r="F427" s="7">
        <f>SQRT(IRS_returns_2015_25[[#This Row],[  σ2]])</f>
        <v>2.3070592657802682</v>
      </c>
    </row>
    <row r="428" spans="1:6" x14ac:dyDescent="0.3">
      <c r="A428" s="2">
        <v>42646</v>
      </c>
      <c r="B428" s="1">
        <v>-0.31646017601030252</v>
      </c>
      <c r="C428" s="1">
        <f>IRS_returns_2015_25[[#This Row],[IRSrtn]]-AVERAGE($B$2:$B$2600)</f>
        <v>-0.32223667007691831</v>
      </c>
      <c r="D428" s="1">
        <f>w+a*C427^2+b*D427</f>
        <v>4.8893888002268673</v>
      </c>
      <c r="E428" s="1">
        <f t="shared" si="6"/>
        <v>-1.723090739516967</v>
      </c>
      <c r="F428" s="7">
        <f>SQRT(IRS_returns_2015_25[[#This Row],[  σ2]])</f>
        <v>2.2111962373852907</v>
      </c>
    </row>
    <row r="429" spans="1:6" x14ac:dyDescent="0.3">
      <c r="A429" s="2">
        <v>42647</v>
      </c>
      <c r="B429" s="1">
        <v>-0.74230511775592589</v>
      </c>
      <c r="C429" s="1">
        <f>IRS_returns_2015_25[[#This Row],[IRSrtn]]-AVERAGE($B$2:$B$2600)</f>
        <v>-0.74808161182254174</v>
      </c>
      <c r="D429" s="1">
        <f>w+a*C428^2+b*D428</f>
        <v>4.6255120293512926</v>
      </c>
      <c r="E429" s="1">
        <f t="shared" si="6"/>
        <v>-1.7452254916752443</v>
      </c>
      <c r="F429" s="7">
        <f>SQRT(IRS_returns_2015_25[[#This Row],[  σ2]])</f>
        <v>2.1507003578721262</v>
      </c>
    </row>
    <row r="430" spans="1:6" x14ac:dyDescent="0.3">
      <c r="A430" s="2">
        <v>42648</v>
      </c>
      <c r="B430" s="1">
        <v>-1.5553963852061425</v>
      </c>
      <c r="C430" s="1">
        <f>IRS_returns_2015_25[[#This Row],[IRSrtn]]-AVERAGE($B$2:$B$2600)</f>
        <v>-1.5611728792727584</v>
      </c>
      <c r="D430" s="1">
        <f>w+a*C429^2+b*D429</f>
        <v>4.5608978897943047</v>
      </c>
      <c r="E430" s="1">
        <f t="shared" si="6"/>
        <v>-1.9448891809800157</v>
      </c>
      <c r="F430" s="7">
        <f>SQRT(IRS_returns_2015_25[[#This Row],[  σ2]])</f>
        <v>2.1356258777684598</v>
      </c>
    </row>
    <row r="431" spans="1:6" x14ac:dyDescent="0.3">
      <c r="A431" s="2">
        <v>42649</v>
      </c>
      <c r="B431" s="1">
        <v>0.53907575371558991</v>
      </c>
      <c r="C431" s="1">
        <f>IRS_returns_2015_25[[#This Row],[IRSrtn]]-AVERAGE($B$2:$B$2600)</f>
        <v>0.53329925964897407</v>
      </c>
      <c r="D431" s="1">
        <f>w+a*C430^2+b*D430</f>
        <v>4.9753684281329873</v>
      </c>
      <c r="E431" s="1">
        <f t="shared" si="6"/>
        <v>-1.7497698571324372</v>
      </c>
      <c r="F431" s="7">
        <f>SQRT(IRS_returns_2015_25[[#This Row],[  σ2]])</f>
        <v>2.2305533905587169</v>
      </c>
    </row>
    <row r="432" spans="1:6" x14ac:dyDescent="0.3">
      <c r="A432" s="2">
        <v>42650</v>
      </c>
      <c r="B432" s="1">
        <v>0.58964966437708988</v>
      </c>
      <c r="C432" s="1">
        <f>IRS_returns_2015_25[[#This Row],[IRSrtn]]-AVERAGE($B$2:$B$2600)</f>
        <v>0.58387317031047403</v>
      </c>
      <c r="D432" s="1">
        <f>w+a*C431^2+b*D431</f>
        <v>4.7267463402537828</v>
      </c>
      <c r="E432" s="1">
        <f t="shared" si="6"/>
        <v>-1.7316186570685765</v>
      </c>
      <c r="F432" s="7">
        <f>SQRT(IRS_returns_2015_25[[#This Row],[  σ2]])</f>
        <v>2.1741081712402863</v>
      </c>
    </row>
    <row r="433" spans="1:6" x14ac:dyDescent="0.3">
      <c r="A433" s="2">
        <v>42653</v>
      </c>
      <c r="B433" s="1">
        <v>5.3447840269482683E-2</v>
      </c>
      <c r="C433" s="1">
        <f>IRS_returns_2015_25[[#This Row],[IRSrtn]]-AVERAGE($B$2:$B$2600)</f>
        <v>4.7671346202866886E-2</v>
      </c>
      <c r="D433" s="1">
        <f>w+a*C432^2+b*D432</f>
        <v>4.5750006190578212</v>
      </c>
      <c r="E433" s="1">
        <f t="shared" si="6"/>
        <v>-1.679490317103832</v>
      </c>
      <c r="F433" s="7">
        <f>SQRT(IRS_returns_2015_25[[#This Row],[  σ2]])</f>
        <v>2.1389251083331136</v>
      </c>
    </row>
    <row r="434" spans="1:6" x14ac:dyDescent="0.3">
      <c r="A434" s="2">
        <v>42654</v>
      </c>
      <c r="B434" s="1">
        <v>1.6949463154210864</v>
      </c>
      <c r="C434" s="1">
        <f>IRS_returns_2015_25[[#This Row],[IRSrtn]]-AVERAGE($B$2:$B$2600)</f>
        <v>1.6891698213544706</v>
      </c>
      <c r="D434" s="1">
        <f>w+a*C433^2+b*D433</f>
        <v>4.3914725384447486</v>
      </c>
      <c r="E434" s="1">
        <f t="shared" si="6"/>
        <v>-1.9836384789479409</v>
      </c>
      <c r="F434" s="7">
        <f>SQRT(IRS_returns_2015_25[[#This Row],[  σ2]])</f>
        <v>2.0955840566402362</v>
      </c>
    </row>
    <row r="435" spans="1:6" x14ac:dyDescent="0.3">
      <c r="A435" s="2">
        <v>42655</v>
      </c>
      <c r="B435" s="1">
        <v>-0.63225496263874525</v>
      </c>
      <c r="C435" s="1">
        <f>IRS_returns_2015_25[[#This Row],[IRSrtn]]-AVERAGE($B$2:$B$2600)</f>
        <v>-0.6380314567053611</v>
      </c>
      <c r="D435" s="1">
        <f>w+a*C434^2+b*D434</f>
        <v>4.9639457100383613</v>
      </c>
      <c r="E435" s="1">
        <f t="shared" si="6"/>
        <v>-1.7610430871123401</v>
      </c>
      <c r="F435" s="7">
        <f>SQRT(IRS_returns_2015_25[[#This Row],[  σ2]])</f>
        <v>2.2279914070836004</v>
      </c>
    </row>
    <row r="436" spans="1:6" x14ac:dyDescent="0.3">
      <c r="A436" s="2">
        <v>42656</v>
      </c>
      <c r="B436" s="1">
        <v>1.3648490295255833</v>
      </c>
      <c r="C436" s="1">
        <f>IRS_returns_2015_25[[#This Row],[IRSrtn]]-AVERAGE($B$2:$B$2600)</f>
        <v>1.3590725354589674</v>
      </c>
      <c r="D436" s="1">
        <f>w+a*C435^2+b*D435</f>
        <v>4.7490320345385442</v>
      </c>
      <c r="E436" s="1">
        <f t="shared" si="6"/>
        <v>-1.8923778496922972</v>
      </c>
      <c r="F436" s="7">
        <f>SQRT(IRS_returns_2015_25[[#This Row],[  σ2]])</f>
        <v>2.1792273939491822</v>
      </c>
    </row>
    <row r="437" spans="1:6" x14ac:dyDescent="0.3">
      <c r="A437" s="2">
        <v>42657</v>
      </c>
      <c r="B437" s="1">
        <v>2.4209396311747344</v>
      </c>
      <c r="C437" s="1">
        <f>IRS_returns_2015_25[[#This Row],[IRSrtn]]-AVERAGE($B$2:$B$2600)</f>
        <v>2.4151631371081188</v>
      </c>
      <c r="D437" s="1">
        <f>w+a*C436^2+b*D436</f>
        <v>4.9568146180554828</v>
      </c>
      <c r="E437" s="1">
        <f t="shared" si="6"/>
        <v>-2.3077034019715743</v>
      </c>
      <c r="F437" s="7">
        <f>SQRT(IRS_returns_2015_25[[#This Row],[  σ2]])</f>
        <v>2.2263904909192105</v>
      </c>
    </row>
    <row r="438" spans="1:6" x14ac:dyDescent="0.3">
      <c r="A438" s="2">
        <v>42660</v>
      </c>
      <c r="B438" s="1">
        <v>0.25413690848621329</v>
      </c>
      <c r="C438" s="1">
        <f>IRS_returns_2015_25[[#This Row],[IRSrtn]]-AVERAGE($B$2:$B$2600)</f>
        <v>0.2483604144195975</v>
      </c>
      <c r="D438" s="1">
        <f>w+a*C437^2+b*D437</f>
        <v>6.066311054327465</v>
      </c>
      <c r="E438" s="1">
        <f t="shared" si="6"/>
        <v>-1.8253979294773155</v>
      </c>
      <c r="F438" s="7">
        <f>SQRT(IRS_returns_2015_25[[#This Row],[  σ2]])</f>
        <v>2.4629882367415936</v>
      </c>
    </row>
    <row r="439" spans="1:6" x14ac:dyDescent="0.3">
      <c r="A439" s="2">
        <v>42661</v>
      </c>
      <c r="B439" s="1">
        <v>-0.50892131854483047</v>
      </c>
      <c r="C439" s="1">
        <f>IRS_returns_2015_25[[#This Row],[IRSrtn]]-AVERAGE($B$2:$B$2600)</f>
        <v>-0.51469781261144631</v>
      </c>
      <c r="D439" s="1">
        <f>w+a*C438^2+b*D438</f>
        <v>5.3987381351212518</v>
      </c>
      <c r="E439" s="1">
        <f t="shared" si="6"/>
        <v>-1.7865559493560277</v>
      </c>
      <c r="F439" s="7">
        <f>SQRT(IRS_returns_2015_25[[#This Row],[  σ2]])</f>
        <v>2.3235184817688133</v>
      </c>
    </row>
    <row r="440" spans="1:6" x14ac:dyDescent="0.3">
      <c r="A440" s="2">
        <v>42662</v>
      </c>
      <c r="B440" s="1">
        <v>-1.128795526172599</v>
      </c>
      <c r="C440" s="1">
        <f>IRS_returns_2015_25[[#This Row],[IRSrtn]]-AVERAGE($B$2:$B$2600)</f>
        <v>-1.1345720202392149</v>
      </c>
      <c r="D440" s="1">
        <f>w+a*C439^2+b*D439</f>
        <v>5.0038408576737554</v>
      </c>
      <c r="E440" s="1">
        <f t="shared" si="6"/>
        <v>-1.85266798739196</v>
      </c>
      <c r="F440" s="7">
        <f>SQRT(IRS_returns_2015_25[[#This Row],[  σ2]])</f>
        <v>2.2369266545136779</v>
      </c>
    </row>
    <row r="441" spans="1:6" x14ac:dyDescent="0.3">
      <c r="A441" s="2">
        <v>42663</v>
      </c>
      <c r="B441" s="1">
        <v>0.3605588642221047</v>
      </c>
      <c r="C441" s="1">
        <f>IRS_returns_2015_25[[#This Row],[IRSrtn]]-AVERAGE($B$2:$B$2600)</f>
        <v>0.35478237015548891</v>
      </c>
      <c r="D441" s="1">
        <f>w+a*C440^2+b*D440</f>
        <v>4.9900440033911631</v>
      </c>
      <c r="E441" s="1">
        <f t="shared" si="6"/>
        <v>-1.7352730635787825</v>
      </c>
      <c r="F441" s="7">
        <f>SQRT(IRS_returns_2015_25[[#This Row],[  σ2]])</f>
        <v>2.2338406396587835</v>
      </c>
    </row>
    <row r="442" spans="1:6" x14ac:dyDescent="0.3">
      <c r="A442" s="2">
        <v>42664</v>
      </c>
      <c r="B442" s="1">
        <v>1.2263639156674611</v>
      </c>
      <c r="C442" s="1">
        <f>IRS_returns_2015_25[[#This Row],[IRSrtn]]-AVERAGE($B$2:$B$2600)</f>
        <v>1.2205874216008452</v>
      </c>
      <c r="D442" s="1">
        <f>w+a*C441^2+b*D441</f>
        <v>4.6978884736707611</v>
      </c>
      <c r="E442" s="1">
        <f t="shared" si="6"/>
        <v>-1.8510592852075312</v>
      </c>
      <c r="F442" s="7">
        <f>SQRT(IRS_returns_2015_25[[#This Row],[  σ2]])</f>
        <v>2.1674612969256826</v>
      </c>
    </row>
    <row r="443" spans="1:6" x14ac:dyDescent="0.3">
      <c r="A443" s="2">
        <v>42667</v>
      </c>
      <c r="B443" s="1">
        <v>2.2597180372097458</v>
      </c>
      <c r="C443" s="1">
        <f>IRS_returns_2015_25[[#This Row],[IRSrtn]]-AVERAGE($B$2:$B$2600)</f>
        <v>2.2539415431431302</v>
      </c>
      <c r="D443" s="1">
        <f>w+a*C442^2+b*D442</f>
        <v>4.8357249542954257</v>
      </c>
      <c r="E443" s="1">
        <f t="shared" si="6"/>
        <v>-2.2322375016785303</v>
      </c>
      <c r="F443" s="7">
        <f>SQRT(IRS_returns_2015_25[[#This Row],[  σ2]])</f>
        <v>2.1990281840611834</v>
      </c>
    </row>
    <row r="444" spans="1:6" x14ac:dyDescent="0.3">
      <c r="A444" s="2">
        <v>42668</v>
      </c>
      <c r="B444" s="1">
        <v>-2.7688755590591363</v>
      </c>
      <c r="C444" s="1">
        <f>IRS_returns_2015_25[[#This Row],[IRSrtn]]-AVERAGE($B$2:$B$2600)</f>
        <v>-2.7746520531257519</v>
      </c>
      <c r="D444" s="1">
        <f>w+a*C443^2+b*D443</f>
        <v>5.802289719860223</v>
      </c>
      <c r="E444" s="1">
        <f t="shared" si="6"/>
        <v>-2.4614834573577324</v>
      </c>
      <c r="F444" s="7">
        <f>SQRT(IRS_returns_2015_25[[#This Row],[  σ2]])</f>
        <v>2.4087942460617557</v>
      </c>
    </row>
    <row r="445" spans="1:6" x14ac:dyDescent="0.3">
      <c r="A445" s="2">
        <v>42669</v>
      </c>
      <c r="B445" s="1">
        <v>-2.952809730709971</v>
      </c>
      <c r="C445" s="1">
        <f>IRS_returns_2015_25[[#This Row],[IRSrtn]]-AVERAGE($B$2:$B$2600)</f>
        <v>-2.9585862247765866</v>
      </c>
      <c r="D445" s="1">
        <f>w+a*C444^2+b*D444</f>
        <v>7.0837307135424439</v>
      </c>
      <c r="E445" s="1">
        <f t="shared" si="6"/>
        <v>-2.5156794565513958</v>
      </c>
      <c r="F445" s="7">
        <f>SQRT(IRS_returns_2015_25[[#This Row],[  σ2]])</f>
        <v>2.6615278908067905</v>
      </c>
    </row>
    <row r="446" spans="1:6" x14ac:dyDescent="0.3">
      <c r="A446" s="2">
        <v>42670</v>
      </c>
      <c r="B446" s="1">
        <v>-0.63292782740669296</v>
      </c>
      <c r="C446" s="1">
        <f>IRS_returns_2015_25[[#This Row],[IRSrtn]]-AVERAGE($B$2:$B$2600)</f>
        <v>-0.6387043214733088</v>
      </c>
      <c r="D446" s="1">
        <f>w+a*C445^2+b*D445</f>
        <v>8.1937454456409746</v>
      </c>
      <c r="E446" s="1">
        <f t="shared" si="6"/>
        <v>-1.9955176631313594</v>
      </c>
      <c r="F446" s="7">
        <f>SQRT(IRS_returns_2015_25[[#This Row],[  σ2]])</f>
        <v>2.8624719117645459</v>
      </c>
    </row>
    <row r="447" spans="1:6" x14ac:dyDescent="0.3">
      <c r="A447" s="2">
        <v>42671</v>
      </c>
      <c r="B447" s="1">
        <v>-5.2914810867710216E-2</v>
      </c>
      <c r="C447" s="1">
        <f>IRS_returns_2015_25[[#This Row],[IRSrtn]]-AVERAGE($B$2:$B$2600)</f>
        <v>-5.8691304934326012E-2</v>
      </c>
      <c r="D447" s="1">
        <f>w+a*C446^2+b*D446</f>
        <v>6.8993730115501331</v>
      </c>
      <c r="E447" s="1">
        <f t="shared" si="6"/>
        <v>-1.8849034393957738</v>
      </c>
      <c r="F447" s="7">
        <f>SQRT(IRS_returns_2015_25[[#This Row],[  σ2]])</f>
        <v>2.6266657593896738</v>
      </c>
    </row>
    <row r="448" spans="1:6" x14ac:dyDescent="0.3">
      <c r="A448" s="2">
        <v>42674</v>
      </c>
      <c r="B448" s="1">
        <v>-0.79723901146184772</v>
      </c>
      <c r="C448" s="1">
        <f>IRS_returns_2015_25[[#This Row],[IRSrtn]]-AVERAGE($B$2:$B$2600)</f>
        <v>-0.80301550552846357</v>
      </c>
      <c r="D448" s="1">
        <f>w+a*C447^2+b*D447</f>
        <v>5.9391316729378643</v>
      </c>
      <c r="E448" s="1">
        <f t="shared" si="6"/>
        <v>-1.8640068868552613</v>
      </c>
      <c r="F448" s="7">
        <f>SQRT(IRS_returns_2015_25[[#This Row],[  σ2]])</f>
        <v>2.437033375425512</v>
      </c>
    </row>
    <row r="449" spans="1:6" x14ac:dyDescent="0.3">
      <c r="A449" s="2">
        <v>42675</v>
      </c>
      <c r="B449" s="1">
        <v>-3.3092094865549093</v>
      </c>
      <c r="C449" s="1">
        <f>IRS_returns_2015_25[[#This Row],[IRSrtn]]-AVERAGE($B$2:$B$2600)</f>
        <v>-3.3149859806215249</v>
      </c>
      <c r="D449" s="1">
        <f>w+a*C448^2+b*D448</f>
        <v>5.4561573032617794</v>
      </c>
      <c r="E449" s="1">
        <f t="shared" si="6"/>
        <v>-2.7743504278144497</v>
      </c>
      <c r="F449" s="7">
        <f>SQRT(IRS_returns_2015_25[[#This Row],[  σ2]])</f>
        <v>2.3358418831893952</v>
      </c>
    </row>
    <row r="450" spans="1:6" x14ac:dyDescent="0.3">
      <c r="A450" s="2">
        <v>42676</v>
      </c>
      <c r="B450" s="1">
        <v>-1.053539004513393</v>
      </c>
      <c r="C450" s="1">
        <f>IRS_returns_2015_25[[#This Row],[IRSrtn]]-AVERAGE($B$2:$B$2600)</f>
        <v>-1.0593154985800088</v>
      </c>
      <c r="D450" s="1">
        <f>w+a*C449^2+b*D449</f>
        <v>7.6550190453026499</v>
      </c>
      <c r="E450" s="1">
        <f t="shared" ref="E450:E513" si="7">-0.5*(LN(2*PI())+LN(D450)+C450^2/D450)</f>
        <v>-2.0099142972016679</v>
      </c>
      <c r="F450" s="7">
        <f>SQRT(IRS_returns_2015_25[[#This Row],[  σ2]])</f>
        <v>2.7667705082465099</v>
      </c>
    </row>
    <row r="451" spans="1:6" x14ac:dyDescent="0.3">
      <c r="A451" s="2">
        <v>42677</v>
      </c>
      <c r="B451" s="1">
        <v>0.3894312363795116</v>
      </c>
      <c r="C451" s="1">
        <f>IRS_returns_2015_25[[#This Row],[IRSrtn]]-AVERAGE($B$2:$B$2600)</f>
        <v>0.38365474231289581</v>
      </c>
      <c r="D451" s="1">
        <f>w+a*C450^2+b*D450</f>
        <v>6.7147499977609124</v>
      </c>
      <c r="E451" s="1">
        <f t="shared" si="7"/>
        <v>-1.8820521037835451</v>
      </c>
      <c r="F451" s="7">
        <f>SQRT(IRS_returns_2015_25[[#This Row],[  σ2]])</f>
        <v>2.5912834653431709</v>
      </c>
    </row>
    <row r="452" spans="1:6" x14ac:dyDescent="0.3">
      <c r="A452" s="2">
        <v>42678</v>
      </c>
      <c r="B452" s="1">
        <v>0.22186382517395131</v>
      </c>
      <c r="C452" s="1">
        <f>IRS_returns_2015_25[[#This Row],[IRSrtn]]-AVERAGE($B$2:$B$2600)</f>
        <v>0.21608733110733552</v>
      </c>
      <c r="D452" s="1">
        <f>w+a*C451^2+b*D451</f>
        <v>5.8512487978048222</v>
      </c>
      <c r="E452" s="1">
        <f t="shared" si="7"/>
        <v>-1.8062561530255266</v>
      </c>
      <c r="F452" s="7">
        <f>SQRT(IRS_returns_2015_25[[#This Row],[  σ2]])</f>
        <v>2.4189354678876454</v>
      </c>
    </row>
    <row r="453" spans="1:6" x14ac:dyDescent="0.3">
      <c r="A453" s="2">
        <v>42681</v>
      </c>
      <c r="B453" s="1">
        <v>0.93742471337145972</v>
      </c>
      <c r="C453" s="1">
        <f>IRS_returns_2015_25[[#This Row],[IRSrtn]]-AVERAGE($B$2:$B$2600)</f>
        <v>0.93164821930484387</v>
      </c>
      <c r="D453" s="1">
        <f>w+a*C452^2+b*D452</f>
        <v>5.2519154909899628</v>
      </c>
      <c r="E453" s="1">
        <f t="shared" si="7"/>
        <v>-1.8308684742387229</v>
      </c>
      <c r="F453" s="7">
        <f>SQRT(IRS_returns_2015_25[[#This Row],[  σ2]])</f>
        <v>2.2917058037605882</v>
      </c>
    </row>
    <row r="454" spans="1:6" x14ac:dyDescent="0.3">
      <c r="A454" s="2">
        <v>42682</v>
      </c>
      <c r="B454" s="1">
        <v>0.87432368805098193</v>
      </c>
      <c r="C454" s="1">
        <f>IRS_returns_2015_25[[#This Row],[IRSrtn]]-AVERAGE($B$2:$B$2600)</f>
        <v>0.86854719398436608</v>
      </c>
      <c r="D454" s="1">
        <f>w+a*C453^2+b*D453</f>
        <v>5.0530326751866737</v>
      </c>
      <c r="E454" s="1">
        <f t="shared" si="7"/>
        <v>-1.8035785202795453</v>
      </c>
      <c r="F454" s="7">
        <f>SQRT(IRS_returns_2015_25[[#This Row],[  σ2]])</f>
        <v>2.2478951655241115</v>
      </c>
    </row>
    <row r="455" spans="1:6" x14ac:dyDescent="0.3">
      <c r="A455" s="2">
        <v>42683</v>
      </c>
      <c r="B455" s="1">
        <v>0.65075781488483919</v>
      </c>
      <c r="C455" s="1">
        <f>IRS_returns_2015_25[[#This Row],[IRSrtn]]-AVERAGE($B$2:$B$2600)</f>
        <v>0.64498132081822335</v>
      </c>
      <c r="D455" s="1">
        <f>w+a*C454^2+b*D454</f>
        <v>4.8929558659131143</v>
      </c>
      <c r="E455" s="1">
        <f t="shared" si="7"/>
        <v>-1.7553470129954807</v>
      </c>
      <c r="F455" s="7">
        <f>SQRT(IRS_returns_2015_25[[#This Row],[  σ2]])</f>
        <v>2.2120026821667995</v>
      </c>
    </row>
    <row r="456" spans="1:6" x14ac:dyDescent="0.3">
      <c r="A456" s="2">
        <v>42684</v>
      </c>
      <c r="B456" s="1">
        <v>-2.7399004663250182</v>
      </c>
      <c r="C456" s="1">
        <f>IRS_returns_2015_25[[#This Row],[IRSrtn]]-AVERAGE($B$2:$B$2600)</f>
        <v>-2.7456769603916338</v>
      </c>
      <c r="D456" s="1">
        <f>w+a*C455^2+b*D455</f>
        <v>4.7039454764265702</v>
      </c>
      <c r="E456" s="1">
        <f t="shared" si="7"/>
        <v>-2.4944604901951015</v>
      </c>
      <c r="F456" s="7">
        <f>SQRT(IRS_returns_2015_25[[#This Row],[  σ2]])</f>
        <v>2.1688581042628332</v>
      </c>
    </row>
    <row r="457" spans="1:6" x14ac:dyDescent="0.3">
      <c r="A457" s="2">
        <v>42685</v>
      </c>
      <c r="B457" s="1">
        <v>-1.5677787265956145</v>
      </c>
      <c r="C457" s="1">
        <f>IRS_returns_2015_25[[#This Row],[IRSrtn]]-AVERAGE($B$2:$B$2600)</f>
        <v>-1.5735552206622303</v>
      </c>
      <c r="D457" s="1">
        <f>w+a*C456^2+b*D456</f>
        <v>6.313572314909103</v>
      </c>
      <c r="E457" s="1">
        <f t="shared" si="7"/>
        <v>-2.036380882987443</v>
      </c>
      <c r="F457" s="7">
        <f>SQRT(IRS_returns_2015_25[[#This Row],[  σ2]])</f>
        <v>2.5126822948612313</v>
      </c>
    </row>
    <row r="458" spans="1:6" x14ac:dyDescent="0.3">
      <c r="A458" s="2">
        <v>42688</v>
      </c>
      <c r="B458" s="1">
        <v>-3.7957580585098682</v>
      </c>
      <c r="C458" s="1">
        <f>IRS_returns_2015_25[[#This Row],[IRSrtn]]-AVERAGE($B$2:$B$2600)</f>
        <v>-3.8015345525764839</v>
      </c>
      <c r="D458" s="1">
        <f>w+a*C457^2+b*D457</f>
        <v>6.1516104183573646</v>
      </c>
      <c r="E458" s="1">
        <f t="shared" si="7"/>
        <v>-3.0019200121769334</v>
      </c>
      <c r="F458" s="7">
        <f>SQRT(IRS_returns_2015_25[[#This Row],[  σ2]])</f>
        <v>2.4802440239535635</v>
      </c>
    </row>
    <row r="459" spans="1:6" x14ac:dyDescent="0.3">
      <c r="A459" s="2">
        <v>42689</v>
      </c>
      <c r="B459" s="1">
        <v>2.6035753032833231</v>
      </c>
      <c r="C459" s="1">
        <f>IRS_returns_2015_25[[#This Row],[IRSrtn]]-AVERAGE($B$2:$B$2600)</f>
        <v>2.5977988092167075</v>
      </c>
      <c r="D459" s="1">
        <f>w+a*C458^2+b*D458</f>
        <v>8.9616391483937985</v>
      </c>
      <c r="E459" s="1">
        <f t="shared" si="7"/>
        <v>-2.3919399018111811</v>
      </c>
      <c r="F459" s="7">
        <f>SQRT(IRS_returns_2015_25[[#This Row],[  σ2]])</f>
        <v>2.9935996974201142</v>
      </c>
    </row>
    <row r="460" spans="1:6" x14ac:dyDescent="0.3">
      <c r="A460" s="2">
        <v>42690</v>
      </c>
      <c r="B460" s="1">
        <v>-0.74519518748741298</v>
      </c>
      <c r="C460" s="1">
        <f>IRS_returns_2015_25[[#This Row],[IRSrtn]]-AVERAGE($B$2:$B$2600)</f>
        <v>-0.75097168155402882</v>
      </c>
      <c r="D460" s="1">
        <f>w+a*C459^2+b*D459</f>
        <v>8.9554621699296284</v>
      </c>
      <c r="E460" s="1">
        <f t="shared" si="7"/>
        <v>-2.0465571986413869</v>
      </c>
      <c r="F460" s="7">
        <f>SQRT(IRS_returns_2015_25[[#This Row],[  σ2]])</f>
        <v>2.9925678221102405</v>
      </c>
    </row>
    <row r="461" spans="1:6" x14ac:dyDescent="0.3">
      <c r="A461" s="2">
        <v>42691</v>
      </c>
      <c r="B461" s="1">
        <v>2.7243428439349682</v>
      </c>
      <c r="C461" s="1">
        <f>IRS_returns_2015_25[[#This Row],[IRSrtn]]-AVERAGE($B$2:$B$2600)</f>
        <v>2.7185663498683525</v>
      </c>
      <c r="D461" s="1">
        <f>w+a*C460^2+b*D460</f>
        <v>7.4444736468282731</v>
      </c>
      <c r="E461" s="1">
        <f t="shared" si="7"/>
        <v>-2.4190563519117134</v>
      </c>
      <c r="F461" s="7">
        <f>SQRT(IRS_returns_2015_25[[#This Row],[  σ2]])</f>
        <v>2.7284562754107444</v>
      </c>
    </row>
    <row r="462" spans="1:6" x14ac:dyDescent="0.3">
      <c r="A462" s="2">
        <v>42692</v>
      </c>
      <c r="B462" s="1">
        <v>-0.95641720247705564</v>
      </c>
      <c r="C462" s="1">
        <f>IRS_returns_2015_25[[#This Row],[IRSrtn]]-AVERAGE($B$2:$B$2600)</f>
        <v>-0.96219369654367148</v>
      </c>
      <c r="D462" s="1">
        <f>w+a*C461^2+b*D461</f>
        <v>8.101893694961543</v>
      </c>
      <c r="E462" s="1">
        <f t="shared" si="7"/>
        <v>-2.0221232669861826</v>
      </c>
      <c r="F462" s="7">
        <f>SQRT(IRS_returns_2015_25[[#This Row],[  σ2]])</f>
        <v>2.8463825630019488</v>
      </c>
    </row>
    <row r="463" spans="1:6" x14ac:dyDescent="0.3">
      <c r="A463" s="2">
        <v>42695</v>
      </c>
      <c r="B463" s="1">
        <v>0.50746619730479559</v>
      </c>
      <c r="C463" s="1">
        <f>IRS_returns_2015_25[[#This Row],[IRSrtn]]-AVERAGE($B$2:$B$2600)</f>
        <v>0.50168970323817974</v>
      </c>
      <c r="D463" s="1">
        <f>w+a*C462^2+b*D462</f>
        <v>6.9644055243458514</v>
      </c>
      <c r="E463" s="1">
        <f t="shared" si="7"/>
        <v>-1.9074145831643987</v>
      </c>
      <c r="F463" s="7">
        <f>SQRT(IRS_returns_2015_25[[#This Row],[  σ2]])</f>
        <v>2.6390160144163302</v>
      </c>
    </row>
    <row r="464" spans="1:6" x14ac:dyDescent="0.3">
      <c r="A464" s="2">
        <v>42696</v>
      </c>
      <c r="B464" s="1">
        <v>-5.6248963308469513E-2</v>
      </c>
      <c r="C464" s="1">
        <f>IRS_returns_2015_25[[#This Row],[IRSrtn]]-AVERAGE($B$2:$B$2600)</f>
        <v>-6.2025457375085309E-2</v>
      </c>
      <c r="D464" s="1">
        <f>w+a*C463^2+b*D463</f>
        <v>6.0429104443778439</v>
      </c>
      <c r="E464" s="1">
        <f t="shared" si="7"/>
        <v>-1.8186997318804421</v>
      </c>
      <c r="F464" s="7">
        <f>SQRT(IRS_returns_2015_25[[#This Row],[  σ2]])</f>
        <v>2.458233195687066</v>
      </c>
    </row>
    <row r="465" spans="1:6" x14ac:dyDescent="0.3">
      <c r="A465" s="2">
        <v>42697</v>
      </c>
      <c r="B465" s="1">
        <v>2.7748759689939728</v>
      </c>
      <c r="C465" s="1">
        <f>IRS_returns_2015_25[[#This Row],[IRSrtn]]-AVERAGE($B$2:$B$2600)</f>
        <v>2.7690994749273572</v>
      </c>
      <c r="D465" s="1">
        <f>w+a*C464^2+b*D464</f>
        <v>5.3690682937651282</v>
      </c>
      <c r="E465" s="1">
        <f t="shared" si="7"/>
        <v>-2.4733479013008823</v>
      </c>
      <c r="F465" s="7">
        <f>SQRT(IRS_returns_2015_25[[#This Row],[  σ2]])</f>
        <v>2.3171250060722075</v>
      </c>
    </row>
    <row r="466" spans="1:6" x14ac:dyDescent="0.3">
      <c r="A466" s="2">
        <v>42699</v>
      </c>
      <c r="B466" s="1">
        <v>4.1806736722797222</v>
      </c>
      <c r="C466" s="1">
        <f>IRS_returns_2015_25[[#This Row],[IRSrtn]]-AVERAGE($B$2:$B$2600)</f>
        <v>4.1748971782131061</v>
      </c>
      <c r="D466" s="1">
        <f>w+a*C465^2+b*D465</f>
        <v>6.7878279146946809</v>
      </c>
      <c r="E466" s="1">
        <f t="shared" si="7"/>
        <v>-3.1604026999190928</v>
      </c>
      <c r="F466" s="7">
        <f>SQRT(IRS_returns_2015_25[[#This Row],[  σ2]])</f>
        <v>2.6053460259041756</v>
      </c>
    </row>
    <row r="467" spans="1:6" x14ac:dyDescent="0.3">
      <c r="A467" s="2">
        <v>42702</v>
      </c>
      <c r="B467" s="1">
        <v>0.10492529827730301</v>
      </c>
      <c r="C467" s="1">
        <f>IRS_returns_2015_25[[#This Row],[IRSrtn]]-AVERAGE($B$2:$B$2600)</f>
        <v>9.9148804210687225E-2</v>
      </c>
      <c r="D467" s="1">
        <f>w+a*C466^2+b*D466</f>
        <v>10.110793509397574</v>
      </c>
      <c r="E467" s="1">
        <f t="shared" si="7"/>
        <v>-2.0762264301424693</v>
      </c>
      <c r="F467" s="7">
        <f>SQRT(IRS_returns_2015_25[[#This Row],[  σ2]])</f>
        <v>3.1797473971052441</v>
      </c>
    </row>
    <row r="468" spans="1:6" x14ac:dyDescent="0.3">
      <c r="A468" s="2">
        <v>42703</v>
      </c>
      <c r="B468" s="1">
        <v>-3.1427327546078132</v>
      </c>
      <c r="C468" s="1">
        <f>IRS_returns_2015_25[[#This Row],[IRSrtn]]-AVERAGE($B$2:$B$2600)</f>
        <v>-3.1485092486744288</v>
      </c>
      <c r="D468" s="1">
        <f>w+a*C467^2+b*D467</f>
        <v>8.0785838744798184</v>
      </c>
      <c r="E468" s="1">
        <f t="shared" si="7"/>
        <v>-2.5770894166237133</v>
      </c>
      <c r="F468" s="7">
        <f>SQRT(IRS_returns_2015_25[[#This Row],[  σ2]])</f>
        <v>2.8422849741853504</v>
      </c>
    </row>
    <row r="469" spans="1:6" x14ac:dyDescent="0.3">
      <c r="A469" s="2">
        <v>42704</v>
      </c>
      <c r="B469" s="1">
        <v>-1.2524008117449803</v>
      </c>
      <c r="C469" s="1">
        <f>IRS_returns_2015_25[[#This Row],[IRSrtn]]-AVERAGE($B$2:$B$2600)</f>
        <v>-1.2581773058115961</v>
      </c>
      <c r="D469" s="1">
        <f>w+a*C468^2+b*D468</f>
        <v>9.1386398382952052</v>
      </c>
      <c r="E469" s="1">
        <f t="shared" si="7"/>
        <v>-2.1118051307174031</v>
      </c>
      <c r="F469" s="7">
        <f>SQRT(IRS_returns_2015_25[[#This Row],[  σ2]])</f>
        <v>3.0230183324444471</v>
      </c>
    </row>
    <row r="470" spans="1:6" x14ac:dyDescent="0.3">
      <c r="A470" s="2">
        <v>42705</v>
      </c>
      <c r="B470" s="1">
        <v>-2.4966639738749574</v>
      </c>
      <c r="C470" s="1">
        <f>IRS_returns_2015_25[[#This Row],[IRSrtn]]-AVERAGE($B$2:$B$2600)</f>
        <v>-2.502440467941573</v>
      </c>
      <c r="D470" s="1">
        <f>w+a*C469^2+b*D469</f>
        <v>7.8147097850215204</v>
      </c>
      <c r="E470" s="1">
        <f t="shared" si="7"/>
        <v>-2.3476104479587265</v>
      </c>
      <c r="F470" s="7">
        <f>SQRT(IRS_returns_2015_25[[#This Row],[  σ2]])</f>
        <v>2.7954802422878111</v>
      </c>
    </row>
    <row r="471" spans="1:6" x14ac:dyDescent="0.3">
      <c r="A471" s="2">
        <v>42706</v>
      </c>
      <c r="B471" s="1">
        <v>-0.50689453395573736</v>
      </c>
      <c r="C471" s="1">
        <f>IRS_returns_2015_25[[#This Row],[IRSrtn]]-AVERAGE($B$2:$B$2600)</f>
        <v>-0.5126710280223532</v>
      </c>
      <c r="D471" s="1">
        <f>w+a*C470^2+b*D470</f>
        <v>8.0734329715762616</v>
      </c>
      <c r="E471" s="1">
        <f t="shared" si="7"/>
        <v>-1.9795054889529036</v>
      </c>
      <c r="F471" s="7">
        <f>SQRT(IRS_returns_2015_25[[#This Row],[  σ2]])</f>
        <v>2.8413787096366194</v>
      </c>
    </row>
    <row r="472" spans="1:6" x14ac:dyDescent="0.3">
      <c r="A472" s="2">
        <v>42709</v>
      </c>
      <c r="B472" s="1">
        <v>2.7841349150791839</v>
      </c>
      <c r="C472" s="1">
        <f>IRS_returns_2015_25[[#This Row],[IRSrtn]]-AVERAGE($B$2:$B$2600)</f>
        <v>2.7783584210125682</v>
      </c>
      <c r="D472" s="1">
        <f>w+a*C471^2+b*D471</f>
        <v>6.7839225723104457</v>
      </c>
      <c r="E472" s="1">
        <f t="shared" si="7"/>
        <v>-2.4451552217431214</v>
      </c>
      <c r="F472" s="7">
        <f>SQRT(IRS_returns_2015_25[[#This Row],[  σ2]])</f>
        <v>2.6045964317549171</v>
      </c>
    </row>
    <row r="473" spans="1:6" x14ac:dyDescent="0.3">
      <c r="A473" s="2">
        <v>42710</v>
      </c>
      <c r="B473" s="1">
        <v>4.824089853515412</v>
      </c>
      <c r="C473" s="1">
        <f>IRS_returns_2015_25[[#This Row],[IRSrtn]]-AVERAGE($B$2:$B$2600)</f>
        <v>4.8183133594487959</v>
      </c>
      <c r="D473" s="1">
        <f>w+a*C472^2+b*D472</f>
        <v>7.7422347874072184</v>
      </c>
      <c r="E473" s="1">
        <f t="shared" si="7"/>
        <v>-3.4416017013469897</v>
      </c>
      <c r="F473" s="7">
        <f>SQRT(IRS_returns_2015_25[[#This Row],[  σ2]])</f>
        <v>2.7824871585341087</v>
      </c>
    </row>
    <row r="474" spans="1:6" x14ac:dyDescent="0.3">
      <c r="A474" s="2">
        <v>42711</v>
      </c>
      <c r="B474" s="1">
        <v>-1.1579071491123472</v>
      </c>
      <c r="C474" s="1">
        <f>IRS_returns_2015_25[[#This Row],[IRSrtn]]-AVERAGE($B$2:$B$2600)</f>
        <v>-1.163683643178963</v>
      </c>
      <c r="D474" s="1">
        <f>w+a*C473^2+b*D473</f>
        <v>12.156007577976002</v>
      </c>
      <c r="E474" s="1">
        <f t="shared" si="7"/>
        <v>-2.2235494753058851</v>
      </c>
      <c r="F474" s="7">
        <f>SQRT(IRS_returns_2015_25[[#This Row],[  σ2]])</f>
        <v>3.4865466550694544</v>
      </c>
    </row>
    <row r="475" spans="1:6" x14ac:dyDescent="0.3">
      <c r="A475" s="2">
        <v>42712</v>
      </c>
      <c r="B475" s="1">
        <v>-3.5564076319982707</v>
      </c>
      <c r="C475" s="1">
        <f>IRS_returns_2015_25[[#This Row],[IRSrtn]]-AVERAGE($B$2:$B$2600)</f>
        <v>-3.5621841260648863</v>
      </c>
      <c r="D475" s="1">
        <f>w+a*C474^2+b*D474</f>
        <v>9.7676625453740069</v>
      </c>
      <c r="E475" s="1">
        <f t="shared" si="7"/>
        <v>-2.7080263771581938</v>
      </c>
      <c r="F475" s="7">
        <f>SQRT(IRS_returns_2015_25[[#This Row],[  σ2]])</f>
        <v>3.1253259902566977</v>
      </c>
    </row>
    <row r="476" spans="1:6" x14ac:dyDescent="0.3">
      <c r="A476" s="2">
        <v>42713</v>
      </c>
      <c r="B476" s="1">
        <v>2.0092971610444543</v>
      </c>
      <c r="C476" s="1">
        <f>IRS_returns_2015_25[[#This Row],[IRSrtn]]-AVERAGE($B$2:$B$2600)</f>
        <v>2.0035206669778387</v>
      </c>
      <c r="D476" s="1">
        <f>w+a*C475^2+b*D475</f>
        <v>10.939470525024799</v>
      </c>
      <c r="E476" s="1">
        <f t="shared" si="7"/>
        <v>-2.2985956665785805</v>
      </c>
      <c r="F476" s="7">
        <f>SQRT(IRS_returns_2015_25[[#This Row],[  σ2]])</f>
        <v>3.3074870407946877</v>
      </c>
    </row>
    <row r="477" spans="1:6" x14ac:dyDescent="0.3">
      <c r="A477" s="2">
        <v>42716</v>
      </c>
      <c r="B477" s="1">
        <v>5.3763841309617533E-2</v>
      </c>
      <c r="C477" s="1">
        <f>IRS_returns_2015_25[[#This Row],[IRSrtn]]-AVERAGE($B$2:$B$2600)</f>
        <v>4.7987347243001736E-2</v>
      </c>
      <c r="D477" s="1">
        <f>w+a*C476^2+b*D476</f>
        <v>9.6058861520871766</v>
      </c>
      <c r="E477" s="1">
        <f t="shared" si="7"/>
        <v>-2.0502464221672496</v>
      </c>
      <c r="F477" s="7">
        <f>SQRT(IRS_returns_2015_25[[#This Row],[  σ2]])</f>
        <v>3.0993364051175822</v>
      </c>
    </row>
    <row r="478" spans="1:6" x14ac:dyDescent="0.3">
      <c r="A478" s="2">
        <v>42717</v>
      </c>
      <c r="B478" s="1">
        <v>2.7035654755421135</v>
      </c>
      <c r="C478" s="1">
        <f>IRS_returns_2015_25[[#This Row],[IRSrtn]]-AVERAGE($B$2:$B$2600)</f>
        <v>2.6977889814754978</v>
      </c>
      <c r="D478" s="1">
        <f>w+a*C477^2+b*D477</f>
        <v>7.7406244857032434</v>
      </c>
      <c r="E478" s="1">
        <f t="shared" si="7"/>
        <v>-2.4123010489035011</v>
      </c>
      <c r="F478" s="7">
        <f>SQRT(IRS_returns_2015_25[[#This Row],[  σ2]])</f>
        <v>2.7821977797603181</v>
      </c>
    </row>
    <row r="479" spans="1:6" x14ac:dyDescent="0.3">
      <c r="A479" s="2">
        <v>42718</v>
      </c>
      <c r="B479" s="1">
        <v>1.1957591642484999</v>
      </c>
      <c r="C479" s="1">
        <f>IRS_returns_2015_25[[#This Row],[IRSrtn]]-AVERAGE($B$2:$B$2600)</f>
        <v>1.1899826701818841</v>
      </c>
      <c r="D479" s="1">
        <f>w+a*C478^2+b*D478</f>
        <v>8.271626495396923</v>
      </c>
      <c r="E479" s="1">
        <f t="shared" si="7"/>
        <v>-2.0609514735379162</v>
      </c>
      <c r="F479" s="7">
        <f>SQRT(IRS_returns_2015_25[[#This Row],[  σ2]])</f>
        <v>2.8760435489395713</v>
      </c>
    </row>
    <row r="480" spans="1:6" x14ac:dyDescent="0.3">
      <c r="A480" s="2">
        <v>42719</v>
      </c>
      <c r="B480" s="1">
        <v>-1.2480708610340674</v>
      </c>
      <c r="C480" s="1">
        <f>IRS_returns_2015_25[[#This Row],[IRSrtn]]-AVERAGE($B$2:$B$2600)</f>
        <v>-1.2538473551006832</v>
      </c>
      <c r="D480" s="1">
        <f>w+a*C479^2+b*D479</f>
        <v>7.1968468474530747</v>
      </c>
      <c r="E480" s="1">
        <f t="shared" si="7"/>
        <v>-2.0149837785064966</v>
      </c>
      <c r="F480" s="7">
        <f>SQRT(IRS_returns_2015_25[[#This Row],[  σ2]])</f>
        <v>2.6826939533709533</v>
      </c>
    </row>
    <row r="481" spans="1:6" x14ac:dyDescent="0.3">
      <c r="A481" s="2">
        <v>42720</v>
      </c>
      <c r="B481" s="1">
        <v>-6.1508017463535403</v>
      </c>
      <c r="C481" s="1">
        <f>IRS_returns_2015_25[[#This Row],[IRSrtn]]-AVERAGE($B$2:$B$2600)</f>
        <v>-6.1565782404201563</v>
      </c>
      <c r="D481" s="1">
        <f>w+a*C480^2+b*D480</f>
        <v>6.5193755725657354</v>
      </c>
      <c r="E481" s="1">
        <f t="shared" si="7"/>
        <v>-4.7633129585669067</v>
      </c>
      <c r="F481" s="7">
        <f>SQRT(IRS_returns_2015_25[[#This Row],[  σ2]])</f>
        <v>2.5533067917047756</v>
      </c>
    </row>
    <row r="482" spans="1:6" x14ac:dyDescent="0.3">
      <c r="A482" s="2">
        <v>42723</v>
      </c>
      <c r="B482" s="1">
        <v>-1.5139134811549049</v>
      </c>
      <c r="C482" s="1">
        <f>IRS_returns_2015_25[[#This Row],[IRSrtn]]-AVERAGE($B$2:$B$2600)</f>
        <v>-1.5196899752215207</v>
      </c>
      <c r="D482" s="1">
        <f>w+a*C481^2+b*D481</f>
        <v>14.920489933127982</v>
      </c>
      <c r="E482" s="1">
        <f t="shared" si="7"/>
        <v>-2.3476984000266499</v>
      </c>
      <c r="F482" s="7">
        <f>SQRT(IRS_returns_2015_25[[#This Row],[  σ2]])</f>
        <v>3.8627050020844176</v>
      </c>
    </row>
    <row r="483" spans="1:6" x14ac:dyDescent="0.3">
      <c r="A483" s="2">
        <v>42725</v>
      </c>
      <c r="B483" s="1">
        <v>-2.7493051570647076</v>
      </c>
      <c r="C483" s="1">
        <f>IRS_returns_2015_25[[#This Row],[IRSrtn]]-AVERAGE($B$2:$B$2600)</f>
        <v>-2.7550816511313232</v>
      </c>
      <c r="D483" s="1">
        <f>w+a*C482^2+b*D482</f>
        <v>11.84078278952439</v>
      </c>
      <c r="E483" s="1">
        <f t="shared" si="7"/>
        <v>-2.4752359165440381</v>
      </c>
      <c r="F483" s="7">
        <f>SQRT(IRS_returns_2015_25[[#This Row],[  σ2]])</f>
        <v>3.4410438517293542</v>
      </c>
    </row>
    <row r="484" spans="1:6" x14ac:dyDescent="0.3">
      <c r="A484" s="2">
        <v>42726</v>
      </c>
      <c r="B484" s="1">
        <v>-5.8078722567111996E-2</v>
      </c>
      <c r="C484" s="1">
        <f>IRS_returns_2015_25[[#This Row],[IRSrtn]]-AVERAGE($B$2:$B$2600)</f>
        <v>-6.3855216633727785E-2</v>
      </c>
      <c r="D484" s="1">
        <f>w+a*C483^2+b*D483</f>
        <v>11.077288911808846</v>
      </c>
      <c r="E484" s="1">
        <f t="shared" si="7"/>
        <v>-2.1215710645999799</v>
      </c>
      <c r="F484" s="7">
        <f>SQRT(IRS_returns_2015_25[[#This Row],[  σ2]])</f>
        <v>3.3282561367492205</v>
      </c>
    </row>
    <row r="485" spans="1:6" x14ac:dyDescent="0.3">
      <c r="A485" s="2">
        <v>42727</v>
      </c>
      <c r="B485" s="1">
        <v>0.86780169969276066</v>
      </c>
      <c r="C485" s="1">
        <f>IRS_returns_2015_25[[#This Row],[IRSrtn]]-AVERAGE($B$2:$B$2600)</f>
        <v>0.86202520562614482</v>
      </c>
      <c r="D485" s="1">
        <f>w+a*C484^2+b*D484</f>
        <v>8.7205943009030271</v>
      </c>
      <c r="E485" s="1">
        <f t="shared" si="7"/>
        <v>-2.044387549815589</v>
      </c>
      <c r="F485" s="7">
        <f>SQRT(IRS_returns_2015_25[[#This Row],[  σ2]])</f>
        <v>2.9530652381725377</v>
      </c>
    </row>
    <row r="486" spans="1:6" x14ac:dyDescent="0.3">
      <c r="A486" s="2">
        <v>42731</v>
      </c>
      <c r="B486" s="1">
        <v>2.9514085360866638</v>
      </c>
      <c r="C486" s="1">
        <f>IRS_returns_2015_25[[#This Row],[IRSrtn]]-AVERAGE($B$2:$B$2600)</f>
        <v>2.9456320420200481</v>
      </c>
      <c r="D486" s="1">
        <f>w+a*C485^2+b*D485</f>
        <v>7.3317629176530978</v>
      </c>
      <c r="E486" s="1">
        <f t="shared" si="7"/>
        <v>-2.5067697095842423</v>
      </c>
      <c r="F486" s="7">
        <f>SQRT(IRS_returns_2015_25[[#This Row],[  σ2]])</f>
        <v>2.7077228288089419</v>
      </c>
    </row>
    <row r="487" spans="1:6" x14ac:dyDescent="0.3">
      <c r="A487" s="2">
        <v>42732</v>
      </c>
      <c r="B487" s="1">
        <v>-0.72973075436082446</v>
      </c>
      <c r="C487" s="1">
        <f>IRS_returns_2015_25[[#This Row],[IRSrtn]]-AVERAGE($B$2:$B$2600)</f>
        <v>-0.73550724842744031</v>
      </c>
      <c r="D487" s="1">
        <f>w+a*C486^2+b*D486</f>
        <v>8.3402292418787276</v>
      </c>
      <c r="E487" s="1">
        <f t="shared" si="7"/>
        <v>-2.0119153021777318</v>
      </c>
      <c r="F487" s="7">
        <f>SQRT(IRS_returns_2015_25[[#This Row],[  σ2]])</f>
        <v>2.8879455053512917</v>
      </c>
    </row>
    <row r="488" spans="1:6" x14ac:dyDescent="0.3">
      <c r="A488" s="2">
        <v>42733</v>
      </c>
      <c r="B488" s="1">
        <v>1.3986257856148931</v>
      </c>
      <c r="C488" s="1">
        <f>IRS_returns_2015_25[[#This Row],[IRSrtn]]-AVERAGE($B$2:$B$2600)</f>
        <v>1.3928492915482773</v>
      </c>
      <c r="D488" s="1">
        <f>w+a*C487^2+b*D487</f>
        <v>7.0293018918201575</v>
      </c>
      <c r="E488" s="1">
        <f t="shared" si="7"/>
        <v>-2.0319780936694518</v>
      </c>
      <c r="F488" s="7">
        <f>SQRT(IRS_returns_2015_25[[#This Row],[  σ2]])</f>
        <v>2.651283065200726</v>
      </c>
    </row>
    <row r="489" spans="1:6" x14ac:dyDescent="0.3">
      <c r="A489" s="2">
        <v>42734</v>
      </c>
      <c r="B489" s="1">
        <v>2.4150386853969419</v>
      </c>
      <c r="C489" s="1">
        <f>IRS_returns_2015_25[[#This Row],[IRSrtn]]-AVERAGE($B$2:$B$2600)</f>
        <v>2.4092621913303263</v>
      </c>
      <c r="D489" s="1">
        <f>w+a*C488^2+b*D488</f>
        <v>6.497475860720618</v>
      </c>
      <c r="E489" s="1">
        <f t="shared" si="7"/>
        <v>-2.3013222852180522</v>
      </c>
      <c r="F489" s="7">
        <f>SQRT(IRS_returns_2015_25[[#This Row],[  σ2]])</f>
        <v>2.549014684288935</v>
      </c>
    </row>
    <row r="490" spans="1:6" x14ac:dyDescent="0.3">
      <c r="A490" s="2">
        <v>42738</v>
      </c>
      <c r="B490" s="1">
        <v>2.9916893762622632</v>
      </c>
      <c r="C490" s="1">
        <f>IRS_returns_2015_25[[#This Row],[IRSrtn]]-AVERAGE($B$2:$B$2600)</f>
        <v>2.9859128821956475</v>
      </c>
      <c r="D490" s="1">
        <f>w+a*C489^2+b*D489</f>
        <v>7.0850186077230806</v>
      </c>
      <c r="E490" s="1">
        <f t="shared" si="7"/>
        <v>-2.5271219018222286</v>
      </c>
      <c r="F490" s="7">
        <f>SQRT(IRS_returns_2015_25[[#This Row],[  σ2]])</f>
        <v>2.6617698262102003</v>
      </c>
    </row>
    <row r="491" spans="1:6" x14ac:dyDescent="0.3">
      <c r="A491" s="2">
        <v>42740</v>
      </c>
      <c r="B491" s="1">
        <v>0.68186182118958882</v>
      </c>
      <c r="C491" s="1">
        <f>IRS_returns_2015_25[[#This Row],[IRSrtn]]-AVERAGE($B$2:$B$2600)</f>
        <v>0.67608532712297298</v>
      </c>
      <c r="D491" s="1">
        <f>w+a*C490^2+b*D490</f>
        <v>8.2341820885177395</v>
      </c>
      <c r="E491" s="1">
        <f t="shared" si="7"/>
        <v>-2.0008412757904868</v>
      </c>
      <c r="F491" s="7">
        <f>SQRT(IRS_returns_2015_25[[#This Row],[  σ2]])</f>
        <v>2.8695264571907573</v>
      </c>
    </row>
    <row r="492" spans="1:6" x14ac:dyDescent="0.3">
      <c r="A492" s="2">
        <v>42741</v>
      </c>
      <c r="B492" s="1">
        <v>2.9361007638072589</v>
      </c>
      <c r="C492" s="1">
        <f>IRS_returns_2015_25[[#This Row],[IRSrtn]]-AVERAGE($B$2:$B$2600)</f>
        <v>2.9303242697406433</v>
      </c>
      <c r="D492" s="1">
        <f>w+a*C491^2+b*D491</f>
        <v>6.9382672981875428</v>
      </c>
      <c r="E492" s="1">
        <f t="shared" si="7"/>
        <v>-2.5062646221660492</v>
      </c>
      <c r="F492" s="7">
        <f>SQRT(IRS_returns_2015_25[[#This Row],[  σ2]])</f>
        <v>2.6340590916278894</v>
      </c>
    </row>
    <row r="493" spans="1:6" x14ac:dyDescent="0.3">
      <c r="A493" s="2">
        <v>42744</v>
      </c>
      <c r="B493" s="1">
        <v>-0.2032738911990517</v>
      </c>
      <c r="C493" s="1">
        <f>IRS_returns_2015_25[[#This Row],[IRSrtn]]-AVERAGE($B$2:$B$2600)</f>
        <v>-0.20905038526566749</v>
      </c>
      <c r="D493" s="1">
        <f>w+a*C492^2+b*D492</f>
        <v>8.0563568704326336</v>
      </c>
      <c r="E493" s="1">
        <f t="shared" si="7"/>
        <v>-1.9648815318567407</v>
      </c>
      <c r="F493" s="7">
        <f>SQRT(IRS_returns_2015_25[[#This Row],[  σ2]])</f>
        <v>2.8383722219667797</v>
      </c>
    </row>
    <row r="494" spans="1:6" x14ac:dyDescent="0.3">
      <c r="A494" s="2">
        <v>42745</v>
      </c>
      <c r="B494" s="1">
        <v>0.86098663957785426</v>
      </c>
      <c r="C494" s="1">
        <f>IRS_returns_2015_25[[#This Row],[IRSrtn]]-AVERAGE($B$2:$B$2600)</f>
        <v>0.85521014551123842</v>
      </c>
      <c r="D494" s="1">
        <f>w+a*C493^2+b*D493</f>
        <v>6.7191638696539266</v>
      </c>
      <c r="E494" s="1">
        <f t="shared" si="7"/>
        <v>-1.9258456479595187</v>
      </c>
      <c r="F494" s="7">
        <f>SQRT(IRS_returns_2015_25[[#This Row],[  σ2]])</f>
        <v>2.5921350022045391</v>
      </c>
    </row>
    <row r="495" spans="1:6" x14ac:dyDescent="0.3">
      <c r="A495" s="2">
        <v>42746</v>
      </c>
      <c r="B495" s="1">
        <v>0.10081158778612043</v>
      </c>
      <c r="C495" s="1">
        <f>IRS_returns_2015_25[[#This Row],[IRSrtn]]-AVERAGE($B$2:$B$2600)</f>
        <v>9.5035093719504637E-2</v>
      </c>
      <c r="D495" s="1">
        <f>w+a*C494^2+b*D494</f>
        <v>5.996525780630658</v>
      </c>
      <c r="E495" s="1">
        <f t="shared" si="7"/>
        <v>-1.8152817408292812</v>
      </c>
      <c r="F495" s="7">
        <f>SQRT(IRS_returns_2015_25[[#This Row],[  σ2]])</f>
        <v>2.448780468035193</v>
      </c>
    </row>
    <row r="496" spans="1:6" x14ac:dyDescent="0.3">
      <c r="A496" s="2">
        <v>42747</v>
      </c>
      <c r="B496" s="1">
        <v>-0.40383475389718093</v>
      </c>
      <c r="C496" s="1">
        <f>IRS_returns_2015_25[[#This Row],[IRSrtn]]-AVERAGE($B$2:$B$2600)</f>
        <v>-0.40961124796379672</v>
      </c>
      <c r="D496" s="1">
        <f>w+a*C495^2+b*D495</f>
        <v>5.3394524529376213</v>
      </c>
      <c r="E496" s="1">
        <f t="shared" si="7"/>
        <v>-1.7722115661391331</v>
      </c>
      <c r="F496" s="7">
        <f>SQRT(IRS_returns_2015_25[[#This Row],[  σ2]])</f>
        <v>2.3107255252274386</v>
      </c>
    </row>
    <row r="497" spans="1:6" x14ac:dyDescent="0.3">
      <c r="A497" s="2">
        <v>42748</v>
      </c>
      <c r="B497" s="1">
        <v>1.3564704777967673</v>
      </c>
      <c r="C497" s="1">
        <f>IRS_returns_2015_25[[#This Row],[IRSrtn]]-AVERAGE($B$2:$B$2600)</f>
        <v>1.3506939837301515</v>
      </c>
      <c r="D497" s="1">
        <f>w+a*C496^2+b*D496</f>
        <v>4.9407070858284357</v>
      </c>
      <c r="E497" s="1">
        <f t="shared" si="7"/>
        <v>-1.9023195974761131</v>
      </c>
      <c r="F497" s="7">
        <f>SQRT(IRS_returns_2015_25[[#This Row],[  σ2]])</f>
        <v>2.2227701378749076</v>
      </c>
    </row>
    <row r="498" spans="1:6" x14ac:dyDescent="0.3">
      <c r="A498" s="2">
        <v>42752</v>
      </c>
      <c r="B498" s="1">
        <v>-3.1941957826199463</v>
      </c>
      <c r="C498" s="1">
        <f>IRS_returns_2015_25[[#This Row],[IRSrtn]]-AVERAGE($B$2:$B$2600)</f>
        <v>-3.1999722766865619</v>
      </c>
      <c r="D498" s="1">
        <f>w+a*C497^2+b*D497</f>
        <v>5.0788840986233392</v>
      </c>
      <c r="E498" s="1">
        <f t="shared" si="7"/>
        <v>-2.7395623115239216</v>
      </c>
      <c r="F498" s="7">
        <f>SQRT(IRS_returns_2015_25[[#This Row],[  σ2]])</f>
        <v>2.2536379697332354</v>
      </c>
    </row>
    <row r="499" spans="1:6" x14ac:dyDescent="0.3">
      <c r="A499" s="2">
        <v>42753</v>
      </c>
      <c r="B499" s="1">
        <v>0.76983689989487125</v>
      </c>
      <c r="C499" s="1">
        <f>IRS_returns_2015_25[[#This Row],[IRSrtn]]-AVERAGE($B$2:$B$2600)</f>
        <v>0.76406040582825541</v>
      </c>
      <c r="D499" s="1">
        <f>w+a*C498^2+b*D498</f>
        <v>7.2212928859232459</v>
      </c>
      <c r="E499" s="1">
        <f t="shared" si="7"/>
        <v>-1.9478768513215492</v>
      </c>
      <c r="F499" s="7">
        <f>SQRT(IRS_returns_2015_25[[#This Row],[  σ2]])</f>
        <v>2.6872463388984729</v>
      </c>
    </row>
    <row r="500" spans="1:6" x14ac:dyDescent="0.3">
      <c r="A500" s="2">
        <v>42754</v>
      </c>
      <c r="B500" s="1">
        <v>-0.10230699158557677</v>
      </c>
      <c r="C500" s="1">
        <f>IRS_returns_2015_25[[#This Row],[IRSrtn]]-AVERAGE($B$2:$B$2600)</f>
        <v>-0.10808348565219256</v>
      </c>
      <c r="D500" s="1">
        <f>w+a*C499^2+b*D499</f>
        <v>6.2948397059959831</v>
      </c>
      <c r="E500" s="1">
        <f t="shared" si="7"/>
        <v>-1.8397315410037727</v>
      </c>
      <c r="F500" s="7">
        <f>SQRT(IRS_returns_2015_25[[#This Row],[  σ2]])</f>
        <v>2.5089519138468921</v>
      </c>
    </row>
    <row r="501" spans="1:6" x14ac:dyDescent="0.3">
      <c r="A501" s="2">
        <v>42755</v>
      </c>
      <c r="B501" s="1">
        <v>1.7250402162463985</v>
      </c>
      <c r="C501" s="1">
        <f>IRS_returns_2015_25[[#This Row],[IRSrtn]]-AVERAGE($B$2:$B$2600)</f>
        <v>1.7192637221797826</v>
      </c>
      <c r="D501" s="1">
        <f>w+a*C500^2+b*D500</f>
        <v>5.5386907811107786</v>
      </c>
      <c r="E501" s="1">
        <f t="shared" si="7"/>
        <v>-2.0416557359149472</v>
      </c>
      <c r="F501" s="7">
        <f>SQRT(IRS_returns_2015_25[[#This Row],[  σ2]])</f>
        <v>2.3534423258518102</v>
      </c>
    </row>
    <row r="502" spans="1:6" x14ac:dyDescent="0.3">
      <c r="A502" s="2">
        <v>42758</v>
      </c>
      <c r="B502" s="1">
        <v>3.9936486099663604</v>
      </c>
      <c r="C502" s="1">
        <f>IRS_returns_2015_25[[#This Row],[IRSrtn]]-AVERAGE($B$2:$B$2600)</f>
        <v>3.9878721158997448</v>
      </c>
      <c r="D502" s="1">
        <f>w+a*C501^2+b*D501</f>
        <v>5.7526599706100754</v>
      </c>
      <c r="E502" s="1">
        <f t="shared" si="7"/>
        <v>-3.1760106282503071</v>
      </c>
      <c r="F502" s="7">
        <f>SQRT(IRS_returns_2015_25[[#This Row],[  σ2]])</f>
        <v>2.3984703397394922</v>
      </c>
    </row>
    <row r="503" spans="1:6" x14ac:dyDescent="0.3">
      <c r="A503" s="2">
        <v>42759</v>
      </c>
      <c r="B503" s="1">
        <v>3.280541638850254</v>
      </c>
      <c r="C503" s="1">
        <f>IRS_returns_2015_25[[#This Row],[IRSrtn]]-AVERAGE($B$2:$B$2600)</f>
        <v>3.2747651447836383</v>
      </c>
      <c r="D503" s="1">
        <f>w+a*C502^2+b*D502</f>
        <v>9.0496988314562294</v>
      </c>
      <c r="E503" s="1">
        <f t="shared" si="7"/>
        <v>-2.6128149712375661</v>
      </c>
      <c r="F503" s="7">
        <f>SQRT(IRS_returns_2015_25[[#This Row],[  σ2]])</f>
        <v>3.0082717349761192</v>
      </c>
    </row>
    <row r="504" spans="1:6" x14ac:dyDescent="0.3">
      <c r="A504" s="2">
        <v>42760</v>
      </c>
      <c r="B504" s="1">
        <v>0.23359696473965741</v>
      </c>
      <c r="C504" s="1">
        <f>IRS_returns_2015_25[[#This Row],[IRSrtn]]-AVERAGE($B$2:$B$2600)</f>
        <v>0.22782047067304162</v>
      </c>
      <c r="D504" s="1">
        <f>w+a*C503^2+b*D503</f>
        <v>9.9827214750207851</v>
      </c>
      <c r="E504" s="1">
        <f t="shared" si="7"/>
        <v>-2.0719660062916683</v>
      </c>
      <c r="F504" s="7">
        <f>SQRT(IRS_returns_2015_25[[#This Row],[  σ2]])</f>
        <v>3.1595445043583079</v>
      </c>
    </row>
    <row r="505" spans="1:6" x14ac:dyDescent="0.3">
      <c r="A505" s="2">
        <v>42761</v>
      </c>
      <c r="B505" s="1">
        <v>-2.4564477624817727</v>
      </c>
      <c r="C505" s="1">
        <f>IRS_returns_2015_25[[#This Row],[IRSrtn]]-AVERAGE($B$2:$B$2600)</f>
        <v>-2.4622242565483883</v>
      </c>
      <c r="D505" s="1">
        <f>w+a*C504^2+b*D504</f>
        <v>8.003574936149775</v>
      </c>
      <c r="E505" s="1">
        <f t="shared" si="7"/>
        <v>-2.337622709317885</v>
      </c>
      <c r="F505" s="7">
        <f>SQRT(IRS_returns_2015_25[[#This Row],[  σ2]])</f>
        <v>2.8290590195592906</v>
      </c>
    </row>
    <row r="506" spans="1:6" x14ac:dyDescent="0.3">
      <c r="A506" s="2">
        <v>42762</v>
      </c>
      <c r="B506" s="1">
        <v>-0.96106757621261529</v>
      </c>
      <c r="C506" s="1">
        <f>IRS_returns_2015_25[[#This Row],[IRSrtn]]-AVERAGE($B$2:$B$2600)</f>
        <v>-0.96684407027923114</v>
      </c>
      <c r="D506" s="1">
        <f>w+a*C505^2+b*D505</f>
        <v>8.1505165449421817</v>
      </c>
      <c r="E506" s="1">
        <f t="shared" si="7"/>
        <v>-2.0253244748660024</v>
      </c>
      <c r="F506" s="7">
        <f>SQRT(IRS_returns_2015_25[[#This Row],[  σ2]])</f>
        <v>2.8549109521913607</v>
      </c>
    </row>
    <row r="507" spans="1:6" x14ac:dyDescent="0.3">
      <c r="A507" s="2">
        <v>42765</v>
      </c>
      <c r="B507" s="1">
        <v>4.4388792419923995</v>
      </c>
      <c r="C507" s="1">
        <f>IRS_returns_2015_25[[#This Row],[IRSrtn]]-AVERAGE($B$2:$B$2600)</f>
        <v>4.4331027479257834</v>
      </c>
      <c r="D507" s="1">
        <f>w+a*C506^2+b*D506</f>
        <v>6.9989602885536311</v>
      </c>
      <c r="E507" s="1">
        <f t="shared" si="7"/>
        <v>-3.2957707215643266</v>
      </c>
      <c r="F507" s="7">
        <f>SQRT(IRS_returns_2015_25[[#This Row],[  σ2]])</f>
        <v>2.6455548167735308</v>
      </c>
    </row>
    <row r="508" spans="1:6" x14ac:dyDescent="0.3">
      <c r="A508" s="2">
        <v>42766</v>
      </c>
      <c r="B508" s="1">
        <v>-0.88146930250467825</v>
      </c>
      <c r="C508" s="1">
        <f>IRS_returns_2015_25[[#This Row],[IRSrtn]]-AVERAGE($B$2:$B$2600)</f>
        <v>-0.8872457965712941</v>
      </c>
      <c r="D508" s="1">
        <f>w+a*C507^2+b*D507</f>
        <v>10.792892003787273</v>
      </c>
      <c r="E508" s="1">
        <f t="shared" si="7"/>
        <v>-2.1448511005360604</v>
      </c>
      <c r="F508" s="7">
        <f>SQRT(IRS_returns_2015_25[[#This Row],[  σ2]])</f>
        <v>3.2852537198498495</v>
      </c>
    </row>
    <row r="509" spans="1:6" x14ac:dyDescent="0.3">
      <c r="A509" s="2">
        <v>42767</v>
      </c>
      <c r="B509" s="1">
        <v>-0.88932953875704435</v>
      </c>
      <c r="C509" s="1">
        <f>IRS_returns_2015_25[[#This Row],[IRSrtn]]-AVERAGE($B$2:$B$2600)</f>
        <v>-0.89510603282366019</v>
      </c>
      <c r="D509" s="1">
        <f>w+a*C508^2+b*D508</f>
        <v>8.7220753882744386</v>
      </c>
      <c r="E509" s="1">
        <f t="shared" si="7"/>
        <v>-2.0477974242401227</v>
      </c>
      <c r="F509" s="7">
        <f>SQRT(IRS_returns_2015_25[[#This Row],[  σ2]])</f>
        <v>2.9533159987164326</v>
      </c>
    </row>
    <row r="510" spans="1:6" x14ac:dyDescent="0.3">
      <c r="A510" s="2">
        <v>42768</v>
      </c>
      <c r="B510" s="1">
        <v>2.9189079939965001</v>
      </c>
      <c r="C510" s="1">
        <f>IRS_returns_2015_25[[#This Row],[IRSrtn]]-AVERAGE($B$2:$B$2600)</f>
        <v>2.9131314999298845</v>
      </c>
      <c r="D510" s="1">
        <f>w+a*C509^2+b*D509</f>
        <v>7.3469116188404975</v>
      </c>
      <c r="E510" s="1">
        <f t="shared" si="7"/>
        <v>-2.493622938803437</v>
      </c>
      <c r="F510" s="7">
        <f>SQRT(IRS_returns_2015_25[[#This Row],[  σ2]])</f>
        <v>2.7105186992235448</v>
      </c>
    </row>
    <row r="511" spans="1:6" x14ac:dyDescent="0.3">
      <c r="A511" s="2">
        <v>42769</v>
      </c>
      <c r="B511" s="1">
        <v>4.77024375303996</v>
      </c>
      <c r="C511" s="1">
        <f>IRS_returns_2015_25[[#This Row],[IRSrtn]]-AVERAGE($B$2:$B$2600)</f>
        <v>4.7644672589733439</v>
      </c>
      <c r="D511" s="1">
        <f>w+a*C510^2+b*D510</f>
        <v>8.3039199041976985</v>
      </c>
      <c r="E511" s="1">
        <f t="shared" si="7"/>
        <v>-3.3441356598592211</v>
      </c>
      <c r="F511" s="7">
        <f>SQRT(IRS_returns_2015_25[[#This Row],[  σ2]])</f>
        <v>2.8816522871779133</v>
      </c>
    </row>
    <row r="512" spans="1:6" x14ac:dyDescent="0.3">
      <c r="A512" s="2">
        <v>42772</v>
      </c>
      <c r="B512" s="1">
        <v>-0.83061351387994087</v>
      </c>
      <c r="C512" s="1">
        <f>IRS_returns_2015_25[[#This Row],[IRSrtn]]-AVERAGE($B$2:$B$2600)</f>
        <v>-0.83639000794655671</v>
      </c>
      <c r="D512" s="1">
        <f>w+a*C511^2+b*D511</f>
        <v>12.404208595755136</v>
      </c>
      <c r="E512" s="1">
        <f t="shared" si="7"/>
        <v>-2.2061544622105633</v>
      </c>
      <c r="F512" s="7">
        <f>SQRT(IRS_returns_2015_25[[#This Row],[  σ2]])</f>
        <v>3.5219609020764464</v>
      </c>
    </row>
    <row r="513" spans="1:6" x14ac:dyDescent="0.3">
      <c r="A513" s="2">
        <v>42773</v>
      </c>
      <c r="B513" s="1">
        <v>0.96112534337104982</v>
      </c>
      <c r="C513" s="1">
        <f>IRS_returns_2015_25[[#This Row],[IRSrtn]]-AVERAGE($B$2:$B$2600)</f>
        <v>0.95534884930443398</v>
      </c>
      <c r="D513" s="1">
        <f>w+a*C512^2+b*D512</f>
        <v>9.7733982007869216</v>
      </c>
      <c r="E513" s="1">
        <f t="shared" si="7"/>
        <v>-2.105463280659567</v>
      </c>
      <c r="F513" s="7">
        <f>SQRT(IRS_returns_2015_25[[#This Row],[  σ2]])</f>
        <v>3.1262434647331805</v>
      </c>
    </row>
    <row r="514" spans="1:6" x14ac:dyDescent="0.3">
      <c r="A514" s="2">
        <v>42774</v>
      </c>
      <c r="B514" s="1">
        <v>-0.52309215405839105</v>
      </c>
      <c r="C514" s="1">
        <f>IRS_returns_2015_25[[#This Row],[IRSrtn]]-AVERAGE($B$2:$B$2600)</f>
        <v>-0.52886864812500689</v>
      </c>
      <c r="D514" s="1">
        <f>w+a*C513^2+b*D513</f>
        <v>8.0739560374185064</v>
      </c>
      <c r="E514" s="1">
        <f t="shared" ref="E514:E577" si="8">-0.5*(LN(2*PI())+LN(D514)+C514^2/D514)</f>
        <v>-1.9805815734788939</v>
      </c>
      <c r="F514" s="7">
        <f>SQRT(IRS_returns_2015_25[[#This Row],[  σ2]])</f>
        <v>2.8414707525185801</v>
      </c>
    </row>
    <row r="515" spans="1:6" x14ac:dyDescent="0.3">
      <c r="A515" s="2">
        <v>42775</v>
      </c>
      <c r="B515" s="1">
        <v>2.5459819749566126</v>
      </c>
      <c r="C515" s="1">
        <f>IRS_returns_2015_25[[#This Row],[IRSrtn]]-AVERAGE($B$2:$B$2600)</f>
        <v>2.540205480889997</v>
      </c>
      <c r="D515" s="1">
        <f>w+a*C514^2+b*D514</f>
        <v>6.7883812706351625</v>
      </c>
      <c r="E515" s="1">
        <f t="shared" si="8"/>
        <v>-2.3518159652278734</v>
      </c>
      <c r="F515" s="7">
        <f>SQRT(IRS_returns_2015_25[[#This Row],[  σ2]])</f>
        <v>2.6054522199869954</v>
      </c>
    </row>
    <row r="516" spans="1:6" x14ac:dyDescent="0.3">
      <c r="A516" s="2">
        <v>42776</v>
      </c>
      <c r="B516" s="1">
        <v>-2.7647587284609809</v>
      </c>
      <c r="C516" s="1">
        <f>IRS_returns_2015_25[[#This Row],[IRSrtn]]-AVERAGE($B$2:$B$2600)</f>
        <v>-2.7705352225275965</v>
      </c>
      <c r="D516" s="1">
        <f>w+a*C515^2+b*D515</f>
        <v>7.4365885135454528</v>
      </c>
      <c r="E516" s="1">
        <f t="shared" si="8"/>
        <v>-2.4382324524931835</v>
      </c>
      <c r="F516" s="7">
        <f>SQRT(IRS_returns_2015_25[[#This Row],[  σ2]])</f>
        <v>2.7270109118860257</v>
      </c>
    </row>
    <row r="517" spans="1:6" x14ac:dyDescent="0.3">
      <c r="A517" s="2">
        <v>42779</v>
      </c>
      <c r="B517" s="1">
        <v>1.8229617831513334</v>
      </c>
      <c r="C517" s="1">
        <f>IRS_returns_2015_25[[#This Row],[IRSrtn]]-AVERAGE($B$2:$B$2600)</f>
        <v>1.8171852890847175</v>
      </c>
      <c r="D517" s="1">
        <f>w+a*C516^2+b*D516</f>
        <v>8.1661485527681172</v>
      </c>
      <c r="E517" s="1">
        <f t="shared" si="8"/>
        <v>-2.171123259196154</v>
      </c>
      <c r="F517" s="7">
        <f>SQRT(IRS_returns_2015_25[[#This Row],[  σ2]])</f>
        <v>2.8576473807606351</v>
      </c>
    </row>
    <row r="518" spans="1:6" x14ac:dyDescent="0.3">
      <c r="A518" s="2">
        <v>42780</v>
      </c>
      <c r="B518" s="1">
        <v>-0.60396250212528813</v>
      </c>
      <c r="C518" s="1">
        <f>IRS_returns_2015_25[[#This Row],[IRSrtn]]-AVERAGE($B$2:$B$2600)</f>
        <v>-0.60973899619190397</v>
      </c>
      <c r="D518" s="1">
        <f>w+a*C517^2+b*D517</f>
        <v>7.5861771288977016</v>
      </c>
      <c r="E518" s="1">
        <f t="shared" si="8"/>
        <v>-1.9566063157142572</v>
      </c>
      <c r="F518" s="7">
        <f>SQRT(IRS_returns_2015_25[[#This Row],[  σ2]])</f>
        <v>2.7543015682560439</v>
      </c>
    </row>
    <row r="519" spans="1:6" x14ac:dyDescent="0.3">
      <c r="A519" s="2">
        <v>42781</v>
      </c>
      <c r="B519" s="1">
        <v>0.56093546034863273</v>
      </c>
      <c r="C519" s="1">
        <f>IRS_returns_2015_25[[#This Row],[IRSrtn]]-AVERAGE($B$2:$B$2600)</f>
        <v>0.55515896628201689</v>
      </c>
      <c r="D519" s="1">
        <f>w+a*C518^2+b*D518</f>
        <v>6.4860938712220939</v>
      </c>
      <c r="E519" s="1">
        <f t="shared" si="8"/>
        <v>-1.877527408861841</v>
      </c>
      <c r="F519" s="7">
        <f>SQRT(IRS_returns_2015_25[[#This Row],[  σ2]])</f>
        <v>2.5467810803487003</v>
      </c>
    </row>
    <row r="520" spans="1:6" x14ac:dyDescent="0.3">
      <c r="A520" s="2">
        <v>42782</v>
      </c>
      <c r="B520" s="1">
        <v>-4.3035855043838112E-2</v>
      </c>
      <c r="C520" s="1">
        <f>IRS_returns_2015_25[[#This Row],[IRSrtn]]-AVERAGE($B$2:$B$2600)</f>
        <v>-4.8812349110453908E-2</v>
      </c>
      <c r="D520" s="1">
        <f>w+a*C519^2+b*D519</f>
        <v>5.738258767886661</v>
      </c>
      <c r="E520" s="1">
        <f t="shared" si="8"/>
        <v>-1.7927240505788744</v>
      </c>
      <c r="F520" s="7">
        <f>SQRT(IRS_returns_2015_25[[#This Row],[  σ2]])</f>
        <v>2.3954662944584841</v>
      </c>
    </row>
    <row r="521" spans="1:6" x14ac:dyDescent="0.3">
      <c r="A521" s="2">
        <v>42783</v>
      </c>
      <c r="B521" s="1">
        <v>-2.9709413243809824</v>
      </c>
      <c r="C521" s="1">
        <f>IRS_returns_2015_25[[#This Row],[IRSrtn]]-AVERAGE($B$2:$B$2600)</f>
        <v>-2.976717818447598</v>
      </c>
      <c r="D521" s="1">
        <f>w+a*C520^2+b*D520</f>
        <v>5.1658997529882758</v>
      </c>
      <c r="E521" s="1">
        <f t="shared" si="8"/>
        <v>-2.5976069932138595</v>
      </c>
      <c r="F521" s="7">
        <f>SQRT(IRS_returns_2015_25[[#This Row],[  σ2]])</f>
        <v>2.2728615780527144</v>
      </c>
    </row>
    <row r="522" spans="1:6" x14ac:dyDescent="0.3">
      <c r="A522" s="2">
        <v>42787</v>
      </c>
      <c r="B522" s="1">
        <v>4.4663894262697568</v>
      </c>
      <c r="C522" s="1">
        <f>IRS_returns_2015_25[[#This Row],[IRSrtn]]-AVERAGE($B$2:$B$2600)</f>
        <v>4.4606129322031407</v>
      </c>
      <c r="D522" s="1">
        <f>w+a*C521^2+b*D521</f>
        <v>6.9432340623819258</v>
      </c>
      <c r="E522" s="1">
        <f t="shared" si="8"/>
        <v>-3.3206609810616579</v>
      </c>
      <c r="F522" s="7">
        <f>SQRT(IRS_returns_2015_25[[#This Row],[  σ2]])</f>
        <v>2.6350017196165028</v>
      </c>
    </row>
    <row r="523" spans="1:6" x14ac:dyDescent="0.3">
      <c r="A523" s="2">
        <v>42788</v>
      </c>
      <c r="B523" s="1">
        <v>-0.59550407276280914</v>
      </c>
      <c r="C523" s="1">
        <f>IRS_returns_2015_25[[#This Row],[IRSrtn]]-AVERAGE($B$2:$B$2600)</f>
        <v>-0.60128056682942499</v>
      </c>
      <c r="D523" s="1">
        <f>w+a*C522^2+b*D522</f>
        <v>10.815407366134192</v>
      </c>
      <c r="E523" s="1">
        <f t="shared" si="8"/>
        <v>-2.1261384367417029</v>
      </c>
      <c r="F523" s="7">
        <f>SQRT(IRS_returns_2015_25[[#This Row],[  σ2]])</f>
        <v>3.2886786656853833</v>
      </c>
    </row>
    <row r="524" spans="1:6" x14ac:dyDescent="0.3">
      <c r="A524" s="2">
        <v>42789</v>
      </c>
      <c r="B524" s="1">
        <v>-2.4617891552595861</v>
      </c>
      <c r="C524" s="1">
        <f>IRS_returns_2015_25[[#This Row],[IRSrtn]]-AVERAGE($B$2:$B$2600)</f>
        <v>-2.4675656493262017</v>
      </c>
      <c r="D524" s="1">
        <f>w+a*C523^2+b*D523</f>
        <v>8.6333506279337904</v>
      </c>
      <c r="E524" s="1">
        <f t="shared" si="8"/>
        <v>-2.3493920197994673</v>
      </c>
      <c r="F524" s="7">
        <f>SQRT(IRS_returns_2015_25[[#This Row],[  σ2]])</f>
        <v>2.9382563924773124</v>
      </c>
    </row>
    <row r="525" spans="1:6" x14ac:dyDescent="0.3">
      <c r="A525" s="2">
        <v>42790</v>
      </c>
      <c r="B525" s="1">
        <v>-0.83426061744313884</v>
      </c>
      <c r="C525" s="1">
        <f>IRS_returns_2015_25[[#This Row],[IRSrtn]]-AVERAGE($B$2:$B$2600)</f>
        <v>-0.84003711150975469</v>
      </c>
      <c r="D525" s="1">
        <f>w+a*C524^2+b*D524</f>
        <v>8.5761845207223786</v>
      </c>
      <c r="E525" s="1">
        <f t="shared" si="8"/>
        <v>-2.0345739028121783</v>
      </c>
      <c r="F525" s="7">
        <f>SQRT(IRS_returns_2015_25[[#This Row],[  σ2]])</f>
        <v>2.9285123391787815</v>
      </c>
    </row>
    <row r="526" spans="1:6" x14ac:dyDescent="0.3">
      <c r="A526" s="2">
        <v>42793</v>
      </c>
      <c r="B526" s="1">
        <v>1.2270024685752556</v>
      </c>
      <c r="C526" s="1">
        <f>IRS_returns_2015_25[[#This Row],[IRSrtn]]-AVERAGE($B$2:$B$2600)</f>
        <v>1.2212259745086398</v>
      </c>
      <c r="D526" s="1">
        <f>w+a*C525^2+b*D525</f>
        <v>7.2265082948945274</v>
      </c>
      <c r="E526" s="1">
        <f t="shared" si="8"/>
        <v>-2.0110055577676467</v>
      </c>
      <c r="F526" s="7">
        <f>SQRT(IRS_returns_2015_25[[#This Row],[  σ2]])</f>
        <v>2.6882165639870848</v>
      </c>
    </row>
    <row r="527" spans="1:6" x14ac:dyDescent="0.3">
      <c r="A527" s="2">
        <v>42794</v>
      </c>
      <c r="B527" s="1">
        <v>1.6415207410131583</v>
      </c>
      <c r="C527" s="1">
        <f>IRS_returns_2015_25[[#This Row],[IRSrtn]]-AVERAGE($B$2:$B$2600)</f>
        <v>1.6357442469465424</v>
      </c>
      <c r="D527" s="1">
        <f>w+a*C526^2+b*D526</f>
        <v>6.5194493362330288</v>
      </c>
      <c r="E527" s="1">
        <f t="shared" si="8"/>
        <v>-2.0615394139139882</v>
      </c>
      <c r="F527" s="7">
        <f>SQRT(IRS_returns_2015_25[[#This Row],[  σ2]])</f>
        <v>2.5533212363964366</v>
      </c>
    </row>
    <row r="528" spans="1:6" x14ac:dyDescent="0.3">
      <c r="A528" s="2">
        <v>42795</v>
      </c>
      <c r="B528" s="1">
        <v>0.21398211352861018</v>
      </c>
      <c r="C528" s="1">
        <f>IRS_returns_2015_25[[#This Row],[IRSrtn]]-AVERAGE($B$2:$B$2600)</f>
        <v>0.2082056194619944</v>
      </c>
      <c r="D528" s="1">
        <f>w+a*C527^2+b*D527</f>
        <v>6.337294595048002</v>
      </c>
      <c r="E528" s="1">
        <f t="shared" si="8"/>
        <v>-1.845584707939079</v>
      </c>
      <c r="F528" s="7">
        <f>SQRT(IRS_returns_2015_25[[#This Row],[  σ2]])</f>
        <v>2.5173983782961331</v>
      </c>
    </row>
    <row r="529" spans="1:6" x14ac:dyDescent="0.3">
      <c r="A529" s="2">
        <v>42796</v>
      </c>
      <c r="B529" s="1">
        <v>-1.9862422168315241</v>
      </c>
      <c r="C529" s="1">
        <f>IRS_returns_2015_25[[#This Row],[IRSrtn]]-AVERAGE($B$2:$B$2600)</f>
        <v>-1.99201871089814</v>
      </c>
      <c r="D529" s="1">
        <f>w+a*C528^2+b*D528</f>
        <v>5.5746694991384409</v>
      </c>
      <c r="E529" s="1">
        <f t="shared" si="8"/>
        <v>-2.1339630138228252</v>
      </c>
      <c r="F529" s="7">
        <f>SQRT(IRS_returns_2015_25[[#This Row],[  σ2]])</f>
        <v>2.3610738021371636</v>
      </c>
    </row>
    <row r="530" spans="1:6" x14ac:dyDescent="0.3">
      <c r="A530" s="2">
        <v>42797</v>
      </c>
      <c r="B530" s="1">
        <v>1.8150931723617703</v>
      </c>
      <c r="C530" s="1">
        <f>IRS_returns_2015_25[[#This Row],[IRSrtn]]-AVERAGE($B$2:$B$2600)</f>
        <v>1.8093166782951544</v>
      </c>
      <c r="D530" s="1">
        <f>w+a*C529^2+b*D529</f>
        <v>6.0232511504112729</v>
      </c>
      <c r="E530" s="1">
        <f t="shared" si="8"/>
        <v>-2.0885012758561809</v>
      </c>
      <c r="F530" s="7">
        <f>SQRT(IRS_returns_2015_25[[#This Row],[  σ2]])</f>
        <v>2.4542312748417321</v>
      </c>
    </row>
    <row r="531" spans="1:6" x14ac:dyDescent="0.3">
      <c r="A531" s="2">
        <v>42800</v>
      </c>
      <c r="B531" s="1">
        <v>-3.797106739904299</v>
      </c>
      <c r="C531" s="1">
        <f>IRS_returns_2015_25[[#This Row],[IRSrtn]]-AVERAGE($B$2:$B$2600)</f>
        <v>-3.8028832339709147</v>
      </c>
      <c r="D531" s="1">
        <f>w+a*C530^2+b*D530</f>
        <v>6.1526618373150477</v>
      </c>
      <c r="E531" s="1">
        <f t="shared" si="8"/>
        <v>-3.0026381891897476</v>
      </c>
      <c r="F531" s="7">
        <f>SQRT(IRS_returns_2015_25[[#This Row],[  σ2]])</f>
        <v>2.4804559736699718</v>
      </c>
    </row>
    <row r="532" spans="1:6" x14ac:dyDescent="0.3">
      <c r="A532" s="2">
        <v>42801</v>
      </c>
      <c r="B532" s="1">
        <v>-0.40114463341263118</v>
      </c>
      <c r="C532" s="1">
        <f>IRS_returns_2015_25[[#This Row],[IRSrtn]]-AVERAGE($B$2:$B$2600)</f>
        <v>-0.40692112747924697</v>
      </c>
      <c r="D532" s="1">
        <f>w+a*C531^2+b*D531</f>
        <v>8.9648379521924273</v>
      </c>
      <c r="E532" s="1">
        <f t="shared" si="8"/>
        <v>-2.0248287857190888</v>
      </c>
      <c r="F532" s="7">
        <f>SQRT(IRS_returns_2015_25[[#This Row],[  σ2]])</f>
        <v>2.994133923556598</v>
      </c>
    </row>
    <row r="533" spans="1:6" x14ac:dyDescent="0.3">
      <c r="A533" s="2">
        <v>42802</v>
      </c>
      <c r="B533" s="1">
        <v>3.5968735257293272</v>
      </c>
      <c r="C533" s="1">
        <f>IRS_returns_2015_25[[#This Row],[IRSrtn]]-AVERAGE($B$2:$B$2600)</f>
        <v>3.5910970316627115</v>
      </c>
      <c r="D533" s="1">
        <f>w+a*C532^2+b*D532</f>
        <v>7.3536516110347527</v>
      </c>
      <c r="E533" s="1">
        <f t="shared" si="8"/>
        <v>-2.7933788139559894</v>
      </c>
      <c r="F533" s="7">
        <f>SQRT(IRS_returns_2015_25[[#This Row],[  σ2]])</f>
        <v>2.7117617172301021</v>
      </c>
    </row>
    <row r="534" spans="1:6" x14ac:dyDescent="0.3">
      <c r="A534" s="2">
        <v>42803</v>
      </c>
      <c r="B534" s="1">
        <v>-5.081724618959127</v>
      </c>
      <c r="C534" s="1">
        <f>IRS_returns_2015_25[[#This Row],[IRSrtn]]-AVERAGE($B$2:$B$2600)</f>
        <v>-5.087501113025743</v>
      </c>
      <c r="D534" s="1">
        <f>w+a*C533^2+b*D533</f>
        <v>9.3828152671630143</v>
      </c>
      <c r="E534" s="1">
        <f t="shared" si="8"/>
        <v>-3.4176376073486212</v>
      </c>
      <c r="F534" s="7">
        <f>SQRT(IRS_returns_2015_25[[#This Row],[  σ2]])</f>
        <v>3.0631381403983422</v>
      </c>
    </row>
    <row r="535" spans="1:6" x14ac:dyDescent="0.3">
      <c r="A535" s="2">
        <v>42804</v>
      </c>
      <c r="B535" s="1">
        <v>2.639381743232061</v>
      </c>
      <c r="C535" s="1">
        <f>IRS_returns_2015_25[[#This Row],[IRSrtn]]-AVERAGE($B$2:$B$2600)</f>
        <v>2.6336052491654454</v>
      </c>
      <c r="D535" s="1">
        <f>w+a*C534^2+b*D534</f>
        <v>13.897867365516978</v>
      </c>
      <c r="E535" s="1">
        <f t="shared" si="8"/>
        <v>-2.48433648291175</v>
      </c>
      <c r="F535" s="7">
        <f>SQRT(IRS_returns_2015_25[[#This Row],[  σ2]])</f>
        <v>3.727984356930294</v>
      </c>
    </row>
    <row r="536" spans="1:6" x14ac:dyDescent="0.3">
      <c r="A536" s="2">
        <v>42807</v>
      </c>
      <c r="B536" s="1">
        <v>-0.35382414247000504</v>
      </c>
      <c r="C536" s="1">
        <f>IRS_returns_2015_25[[#This Row],[IRSrtn]]-AVERAGE($B$2:$B$2600)</f>
        <v>-0.35960063653662083</v>
      </c>
      <c r="D536" s="1">
        <f>w+a*C535^2+b*D535</f>
        <v>12.28723177132877</v>
      </c>
      <c r="E536" s="1">
        <f t="shared" si="8"/>
        <v>-2.1784809339912141</v>
      </c>
      <c r="F536" s="7">
        <f>SQRT(IRS_returns_2015_25[[#This Row],[  σ2]])</f>
        <v>3.5053147891920875</v>
      </c>
    </row>
    <row r="537" spans="1:6" x14ac:dyDescent="0.3">
      <c r="A537" s="2">
        <v>42808</v>
      </c>
      <c r="B537" s="1">
        <v>-1.427960345829371</v>
      </c>
      <c r="C537" s="1">
        <f>IRS_returns_2015_25[[#This Row],[IRSrtn]]-AVERAGE($B$2:$B$2600)</f>
        <v>-1.4337368398959869</v>
      </c>
      <c r="D537" s="1">
        <f>w+a*C536^2+b*D536</f>
        <v>9.5565869948976481</v>
      </c>
      <c r="E537" s="1">
        <f t="shared" si="8"/>
        <v>-2.1551027859441785</v>
      </c>
      <c r="F537" s="7">
        <f>SQRT(IRS_returns_2015_25[[#This Row],[  σ2]])</f>
        <v>3.0913729951103681</v>
      </c>
    </row>
    <row r="538" spans="1:6" x14ac:dyDescent="0.3">
      <c r="A538" s="2">
        <v>42809</v>
      </c>
      <c r="B538" s="1">
        <v>-0.90293563863830251</v>
      </c>
      <c r="C538" s="1">
        <f>IRS_returns_2015_25[[#This Row],[IRSrtn]]-AVERAGE($B$2:$B$2600)</f>
        <v>-0.90871213270491835</v>
      </c>
      <c r="D538" s="1">
        <f>w+a*C537^2+b*D537</f>
        <v>8.2080909273983877</v>
      </c>
      <c r="E538" s="1">
        <f t="shared" si="8"/>
        <v>-2.0218001656900797</v>
      </c>
      <c r="F538" s="7">
        <f>SQRT(IRS_returns_2015_25[[#This Row],[  σ2]])</f>
        <v>2.8649766015446598</v>
      </c>
    </row>
    <row r="539" spans="1:6" x14ac:dyDescent="0.3">
      <c r="A539" s="2">
        <v>42810</v>
      </c>
      <c r="B539" s="1">
        <v>5.8995898947221015</v>
      </c>
      <c r="C539" s="1">
        <f>IRS_returns_2015_25[[#This Row],[IRSrtn]]-AVERAGE($B$2:$B$2600)</f>
        <v>5.8938134006554854</v>
      </c>
      <c r="D539" s="1">
        <f>w+a*C538^2+b*D538</f>
        <v>7.010723452097043</v>
      </c>
      <c r="E539" s="1">
        <f t="shared" si="8"/>
        <v>-4.3700806522521827</v>
      </c>
      <c r="F539" s="7">
        <f>SQRT(IRS_returns_2015_25[[#This Row],[  σ2]])</f>
        <v>2.6477770774929379</v>
      </c>
    </row>
    <row r="540" spans="1:6" x14ac:dyDescent="0.3">
      <c r="A540" s="2">
        <v>42811</v>
      </c>
      <c r="B540" s="1">
        <v>1.1054521336962164</v>
      </c>
      <c r="C540" s="1">
        <f>IRS_returns_2015_25[[#This Row],[IRSrtn]]-AVERAGE($B$2:$B$2600)</f>
        <v>1.0996756396296006</v>
      </c>
      <c r="D540" s="1">
        <f>w+a*C539^2+b*D539</f>
        <v>14.476091115754</v>
      </c>
      <c r="E540" s="1">
        <f t="shared" si="8"/>
        <v>-2.296956139535054</v>
      </c>
      <c r="F540" s="7">
        <f>SQRT(IRS_returns_2015_25[[#This Row],[  σ2]])</f>
        <v>3.804745867433724</v>
      </c>
    </row>
    <row r="541" spans="1:6" x14ac:dyDescent="0.3">
      <c r="A541" s="2">
        <v>42814</v>
      </c>
      <c r="B541" s="1">
        <v>2.7113343321292227</v>
      </c>
      <c r="C541" s="1">
        <f>IRS_returns_2015_25[[#This Row],[IRSrtn]]-AVERAGE($B$2:$B$2600)</f>
        <v>2.7055578380626071</v>
      </c>
      <c r="D541" s="1">
        <f>w+a*C540^2+b*D540</f>
        <v>11.276882633270766</v>
      </c>
      <c r="E541" s="1">
        <f t="shared" si="8"/>
        <v>-2.4548756527260021</v>
      </c>
      <c r="F541" s="7">
        <f>SQRT(IRS_returns_2015_25[[#This Row],[  σ2]])</f>
        <v>3.3581070014623964</v>
      </c>
    </row>
    <row r="542" spans="1:6" x14ac:dyDescent="0.3">
      <c r="A542" s="2">
        <v>42815</v>
      </c>
      <c r="B542" s="1">
        <v>-0.24721287302909012</v>
      </c>
      <c r="C542" s="1">
        <f>IRS_returns_2015_25[[#This Row],[IRSrtn]]-AVERAGE($B$2:$B$2600)</f>
        <v>-0.25298936709570591</v>
      </c>
      <c r="D542" s="1">
        <f>w+a*C541^2+b*D541</f>
        <v>10.636000534584767</v>
      </c>
      <c r="E542" s="1">
        <f t="shared" si="8"/>
        <v>-2.1040696149134543</v>
      </c>
      <c r="F542" s="7">
        <f>SQRT(IRS_returns_2015_25[[#This Row],[  σ2]])</f>
        <v>3.2612881710429646</v>
      </c>
    </row>
    <row r="543" spans="1:6" x14ac:dyDescent="0.3">
      <c r="A543" s="2">
        <v>42816</v>
      </c>
      <c r="B543" s="1">
        <v>-1.8738895428862534</v>
      </c>
      <c r="C543" s="1">
        <f>IRS_returns_2015_25[[#This Row],[IRSrtn]]-AVERAGE($B$2:$B$2600)</f>
        <v>-1.8796660369528693</v>
      </c>
      <c r="D543" s="1">
        <f>w+a*C542^2+b*D542</f>
        <v>8.4414222407919492</v>
      </c>
      <c r="E543" s="1">
        <f t="shared" si="8"/>
        <v>-2.1947881741633379</v>
      </c>
      <c r="F543" s="7">
        <f>SQRT(IRS_returns_2015_25[[#This Row],[  σ2]])</f>
        <v>2.9054125766906065</v>
      </c>
    </row>
    <row r="544" spans="1:6" x14ac:dyDescent="0.3">
      <c r="A544" s="2">
        <v>42817</v>
      </c>
      <c r="B544" s="1">
        <v>-1.0139446613494751</v>
      </c>
      <c r="C544" s="1">
        <f>IRS_returns_2015_25[[#This Row],[IRSrtn]]-AVERAGE($B$2:$B$2600)</f>
        <v>-1.019721155416091</v>
      </c>
      <c r="D544" s="1">
        <f>w+a*C543^2+b*D543</f>
        <v>7.8257101433148364</v>
      </c>
      <c r="E544" s="1">
        <f t="shared" si="8"/>
        <v>-2.0140826369775624</v>
      </c>
      <c r="F544" s="7">
        <f>SQRT(IRS_returns_2015_25[[#This Row],[  σ2]])</f>
        <v>2.7974470760525278</v>
      </c>
    </row>
    <row r="545" spans="1:6" x14ac:dyDescent="0.3">
      <c r="A545" s="2">
        <v>42818</v>
      </c>
      <c r="B545" s="1">
        <v>0.97189447974108667</v>
      </c>
      <c r="C545" s="1">
        <f>IRS_returns_2015_25[[#This Row],[IRSrtn]]-AVERAGE($B$2:$B$2600)</f>
        <v>0.96611798567447082</v>
      </c>
      <c r="D545" s="1">
        <f>w+a*C544^2+b*D544</f>
        <v>6.8083251307530332</v>
      </c>
      <c r="E545" s="1">
        <f t="shared" si="8"/>
        <v>-1.9465588592451546</v>
      </c>
      <c r="F545" s="7">
        <f>SQRT(IRS_returns_2015_25[[#This Row],[  σ2]])</f>
        <v>2.6092767447614738</v>
      </c>
    </row>
    <row r="546" spans="1:6" x14ac:dyDescent="0.3">
      <c r="A546" s="2">
        <v>42821</v>
      </c>
      <c r="B546" s="1">
        <v>1.1705942182239415</v>
      </c>
      <c r="C546" s="1">
        <f>IRS_returns_2015_25[[#This Row],[IRSrtn]]-AVERAGE($B$2:$B$2600)</f>
        <v>1.1648177241573257</v>
      </c>
      <c r="D546" s="1">
        <f>w+a*C545^2+b*D545</f>
        <v>6.1050990706628969</v>
      </c>
      <c r="E546" s="1">
        <f t="shared" si="8"/>
        <v>-1.9346209557702383</v>
      </c>
      <c r="F546" s="7">
        <f>SQRT(IRS_returns_2015_25[[#This Row],[  σ2]])</f>
        <v>2.4708498680945583</v>
      </c>
    </row>
    <row r="547" spans="1:6" x14ac:dyDescent="0.3">
      <c r="A547" s="2">
        <v>42822</v>
      </c>
      <c r="B547" s="1">
        <v>-0.8766514198421671</v>
      </c>
      <c r="C547" s="1">
        <f>IRS_returns_2015_25[[#This Row],[IRSrtn]]-AVERAGE($B$2:$B$2600)</f>
        <v>-0.88242791390878295</v>
      </c>
      <c r="D547" s="1">
        <f>w+a*C546^2+b*D546</f>
        <v>5.7401150294302443</v>
      </c>
      <c r="E547" s="1">
        <f t="shared" si="8"/>
        <v>-1.8605059821971688</v>
      </c>
      <c r="F547" s="7">
        <f>SQRT(IRS_returns_2015_25[[#This Row],[  σ2]])</f>
        <v>2.3958537162001865</v>
      </c>
    </row>
    <row r="548" spans="1:6" x14ac:dyDescent="0.3">
      <c r="A548" s="2">
        <v>42823</v>
      </c>
      <c r="B548" s="1">
        <v>2.3208629844670092</v>
      </c>
      <c r="C548" s="1">
        <f>IRS_returns_2015_25[[#This Row],[IRSrtn]]-AVERAGE($B$2:$B$2600)</f>
        <v>2.3150864904003936</v>
      </c>
      <c r="D548" s="1">
        <f>w+a*C547^2+b*D547</f>
        <v>5.3562799302601505</v>
      </c>
      <c r="E548" s="1">
        <f t="shared" si="8"/>
        <v>-2.2583856783994962</v>
      </c>
      <c r="F548" s="7">
        <f>SQRT(IRS_returns_2015_25[[#This Row],[  σ2]])</f>
        <v>2.3143638284116328</v>
      </c>
    </row>
    <row r="549" spans="1:6" x14ac:dyDescent="0.3">
      <c r="A549" s="2">
        <v>42824</v>
      </c>
      <c r="B549" s="1">
        <v>1.8669405617640411</v>
      </c>
      <c r="C549" s="1">
        <f>IRS_returns_2015_25[[#This Row],[IRSrtn]]-AVERAGE($B$2:$B$2600)</f>
        <v>1.8611640676974253</v>
      </c>
      <c r="D549" s="1">
        <f>w+a*C548^2+b*D548</f>
        <v>6.2169010290796205</v>
      </c>
      <c r="E549" s="1">
        <f t="shared" si="8"/>
        <v>-2.1111642122812566</v>
      </c>
      <c r="F549" s="7">
        <f>SQRT(IRS_returns_2015_25[[#This Row],[  σ2]])</f>
        <v>2.4933714181965794</v>
      </c>
    </row>
    <row r="550" spans="1:6" x14ac:dyDescent="0.3">
      <c r="A550" s="2">
        <v>42825</v>
      </c>
      <c r="B550" s="1">
        <v>-1.4581069376381706</v>
      </c>
      <c r="C550" s="1">
        <f>IRS_returns_2015_25[[#This Row],[IRSrtn]]-AVERAGE($B$2:$B$2600)</f>
        <v>-1.4638834317047864</v>
      </c>
      <c r="D550" s="1">
        <f>w+a*C549^2+b*D549</f>
        <v>6.3279455294397389</v>
      </c>
      <c r="E550" s="1">
        <f t="shared" si="8"/>
        <v>-2.0107510243258946</v>
      </c>
      <c r="F550" s="7">
        <f>SQRT(IRS_returns_2015_25[[#This Row],[  σ2]])</f>
        <v>2.5155408025789878</v>
      </c>
    </row>
    <row r="551" spans="1:6" x14ac:dyDescent="0.3">
      <c r="A551" s="2">
        <v>42828</v>
      </c>
      <c r="B551" s="1">
        <v>2.1792553518037661</v>
      </c>
      <c r="C551" s="1">
        <f>IRS_returns_2015_25[[#This Row],[IRSrtn]]-AVERAGE($B$2:$B$2600)</f>
        <v>2.1734788577371504</v>
      </c>
      <c r="D551" s="1">
        <f>w+a*C550^2+b*D550</f>
        <v>6.08001397226609</v>
      </c>
      <c r="E551" s="1">
        <f t="shared" si="8"/>
        <v>-2.2099288303054325</v>
      </c>
      <c r="F551" s="7">
        <f>SQRT(IRS_returns_2015_25[[#This Row],[  σ2]])</f>
        <v>2.4657684344370399</v>
      </c>
    </row>
    <row r="552" spans="1:6" x14ac:dyDescent="0.3">
      <c r="A552" s="2">
        <v>42829</v>
      </c>
      <c r="B552" s="1">
        <v>3.2982960077815537</v>
      </c>
      <c r="C552" s="1">
        <f>IRS_returns_2015_25[[#This Row],[IRSrtn]]-AVERAGE($B$2:$B$2600)</f>
        <v>3.2925195137149381</v>
      </c>
      <c r="D552" s="1">
        <f>w+a*C551^2+b*D551</f>
        <v>6.5438354015458122</v>
      </c>
      <c r="E552" s="1">
        <f t="shared" si="8"/>
        <v>-2.6865130181902974</v>
      </c>
      <c r="F552" s="7">
        <f>SQRT(IRS_returns_2015_25[[#This Row],[  σ2]])</f>
        <v>2.5580921409413331</v>
      </c>
    </row>
    <row r="553" spans="1:6" x14ac:dyDescent="0.3">
      <c r="A553" s="2">
        <v>42830</v>
      </c>
      <c r="B553" s="1">
        <v>0.99924708953786912</v>
      </c>
      <c r="C553" s="1">
        <f>IRS_returns_2015_25[[#This Row],[IRSrtn]]-AVERAGE($B$2:$B$2600)</f>
        <v>0.99347059547125327</v>
      </c>
      <c r="D553" s="1">
        <f>w+a*C552^2+b*D552</f>
        <v>8.3429353828706176</v>
      </c>
      <c r="E553" s="1">
        <f t="shared" si="8"/>
        <v>-2.038796965704353</v>
      </c>
      <c r="F553" s="7">
        <f>SQRT(IRS_returns_2015_25[[#This Row],[  σ2]])</f>
        <v>2.8884139909075737</v>
      </c>
    </row>
    <row r="554" spans="1:6" x14ac:dyDescent="0.3">
      <c r="A554" s="2">
        <v>42831</v>
      </c>
      <c r="B554" s="1">
        <v>-0.2680459966728499</v>
      </c>
      <c r="C554" s="1">
        <f>IRS_returns_2015_25[[#This Row],[IRSrtn]]-AVERAGE($B$2:$B$2600)</f>
        <v>-0.27382249073946568</v>
      </c>
      <c r="D554" s="1">
        <f>w+a*C553^2+b*D553</f>
        <v>7.1397743578726898</v>
      </c>
      <c r="E554" s="1">
        <f t="shared" si="8"/>
        <v>-1.9070298989949777</v>
      </c>
      <c r="F554" s="7">
        <f>SQRT(IRS_returns_2015_25[[#This Row],[  σ2]])</f>
        <v>2.6720356206219802</v>
      </c>
    </row>
    <row r="555" spans="1:6" x14ac:dyDescent="0.3">
      <c r="A555" s="2">
        <v>42832</v>
      </c>
      <c r="B555" s="1">
        <v>-0.9632141031560959</v>
      </c>
      <c r="C555" s="1">
        <f>IRS_returns_2015_25[[#This Row],[IRSrtn]]-AVERAGE($B$2:$B$2600)</f>
        <v>-0.96899059722271175</v>
      </c>
      <c r="D555" s="1">
        <f>w+a*C554^2+b*D554</f>
        <v>6.1166001308844891</v>
      </c>
      <c r="E555" s="1">
        <f t="shared" si="8"/>
        <v>-1.9011953877086711</v>
      </c>
      <c r="F555" s="7">
        <f>SQRT(IRS_returns_2015_25[[#This Row],[  σ2]])</f>
        <v>2.4731761220916897</v>
      </c>
    </row>
    <row r="556" spans="1:6" x14ac:dyDescent="0.3">
      <c r="A556" s="2">
        <v>42835</v>
      </c>
      <c r="B556" s="1">
        <v>-0.89443153393964359</v>
      </c>
      <c r="C556" s="1">
        <f>IRS_returns_2015_25[[#This Row],[IRSrtn]]-AVERAGE($B$2:$B$2600)</f>
        <v>-0.90020802800625943</v>
      </c>
      <c r="D556" s="1">
        <f>w+a*C555^2+b*D555</f>
        <v>5.6459605812801623</v>
      </c>
      <c r="E556" s="1">
        <f t="shared" si="8"/>
        <v>-1.8561745726037215</v>
      </c>
      <c r="F556" s="7">
        <f>SQRT(IRS_returns_2015_25[[#This Row],[  σ2]])</f>
        <v>2.3761230147616859</v>
      </c>
    </row>
    <row r="557" spans="1:6" x14ac:dyDescent="0.3">
      <c r="A557" s="2">
        <v>42836</v>
      </c>
      <c r="B557" s="1">
        <v>-0.82369764822196601</v>
      </c>
      <c r="C557" s="1">
        <f>IRS_returns_2015_25[[#This Row],[IRSrtn]]-AVERAGE($B$2:$B$2600)</f>
        <v>-0.82947414228858185</v>
      </c>
      <c r="D557" s="1">
        <f>w+a*C556^2+b*D556</f>
        <v>5.3013223345364526</v>
      </c>
      <c r="E557" s="1">
        <f t="shared" si="8"/>
        <v>-1.81780872691117</v>
      </c>
      <c r="F557" s="7">
        <f>SQRT(IRS_returns_2015_25[[#This Row],[  σ2]])</f>
        <v>2.3024600614422073</v>
      </c>
    </row>
    <row r="558" spans="1:6" x14ac:dyDescent="0.3">
      <c r="A558" s="2">
        <v>42837</v>
      </c>
      <c r="B558" s="1">
        <v>0.51071892391547635</v>
      </c>
      <c r="C558" s="1">
        <f>IRS_returns_2015_25[[#This Row],[IRSrtn]]-AVERAGE($B$2:$B$2600)</f>
        <v>0.50494242984886051</v>
      </c>
      <c r="D558" s="1">
        <f>w+a*C557^2+b*D557</f>
        <v>5.0420810410261589</v>
      </c>
      <c r="E558" s="1">
        <f t="shared" si="8"/>
        <v>-1.753131875371309</v>
      </c>
      <c r="F558" s="7">
        <f>SQRT(IRS_returns_2015_25[[#This Row],[  σ2]])</f>
        <v>2.2454578689047273</v>
      </c>
    </row>
    <row r="559" spans="1:6" x14ac:dyDescent="0.3">
      <c r="A559" s="2">
        <v>42838</v>
      </c>
      <c r="B559" s="1">
        <v>-7.8404609528970326E-2</v>
      </c>
      <c r="C559" s="1">
        <f>IRS_returns_2015_25[[#This Row],[IRSrtn]]-AVERAGE($B$2:$B$2600)</f>
        <v>-8.4181103595586115E-2</v>
      </c>
      <c r="D559" s="1">
        <f>w+a*C558^2+b*D558</f>
        <v>4.7639846896266542</v>
      </c>
      <c r="E559" s="1">
        <f t="shared" si="8"/>
        <v>-1.7002245053175831</v>
      </c>
      <c r="F559" s="7">
        <f>SQRT(IRS_returns_2015_25[[#This Row],[  σ2]])</f>
        <v>2.1826554216427874</v>
      </c>
    </row>
    <row r="560" spans="1:6" x14ac:dyDescent="0.3">
      <c r="A560" s="2">
        <v>42842</v>
      </c>
      <c r="B560" s="1">
        <v>1.2083515959587121</v>
      </c>
      <c r="C560" s="1">
        <f>IRS_returns_2015_25[[#This Row],[IRSrtn]]-AVERAGE($B$2:$B$2600)</f>
        <v>1.2025751018920963</v>
      </c>
      <c r="D560" s="1">
        <f>w+a*C559^2+b*D559</f>
        <v>4.518455298628437</v>
      </c>
      <c r="E560" s="1">
        <f t="shared" si="8"/>
        <v>-1.8330547415066345</v>
      </c>
      <c r="F560" s="7">
        <f>SQRT(IRS_returns_2015_25[[#This Row],[  σ2]])</f>
        <v>2.1256658482998771</v>
      </c>
    </row>
    <row r="561" spans="1:6" x14ac:dyDescent="0.3">
      <c r="A561" s="2">
        <v>42843</v>
      </c>
      <c r="B561" s="1">
        <v>-1.7194543513848082</v>
      </c>
      <c r="C561" s="1">
        <f>IRS_returns_2015_25[[#This Row],[IRSrtn]]-AVERAGE($B$2:$B$2600)</f>
        <v>-1.725230845451424</v>
      </c>
      <c r="D561" s="1">
        <f>w+a*C560^2+b*D560</f>
        <v>4.7056387633593406</v>
      </c>
      <c r="E561" s="1">
        <f t="shared" si="8"/>
        <v>-2.0095804482067385</v>
      </c>
      <c r="F561" s="7">
        <f>SQRT(IRS_returns_2015_25[[#This Row],[  σ2]])</f>
        <v>2.1692484328355155</v>
      </c>
    </row>
    <row r="562" spans="1:6" x14ac:dyDescent="0.3">
      <c r="A562" s="2">
        <v>42844</v>
      </c>
      <c r="B562" s="1">
        <v>-0.19729210109984407</v>
      </c>
      <c r="C562" s="1">
        <f>IRS_returns_2015_25[[#This Row],[IRSrtn]]-AVERAGE($B$2:$B$2600)</f>
        <v>-0.20306859516645986</v>
      </c>
      <c r="D562" s="1">
        <f>w+a*C561^2+b*D561</f>
        <v>5.2030912293502913</v>
      </c>
      <c r="E562" s="1">
        <f t="shared" si="8"/>
        <v>-1.7475277177144597</v>
      </c>
      <c r="F562" s="7">
        <f>SQRT(IRS_returns_2015_25[[#This Row],[  σ2]])</f>
        <v>2.2810285463690039</v>
      </c>
    </row>
    <row r="563" spans="1:6" x14ac:dyDescent="0.3">
      <c r="A563" s="2">
        <v>42845</v>
      </c>
      <c r="B563" s="1">
        <v>-1.5121527674304858</v>
      </c>
      <c r="C563" s="1">
        <f>IRS_returns_2015_25[[#This Row],[IRSrtn]]-AVERAGE($B$2:$B$2600)</f>
        <v>-1.5179292614971016</v>
      </c>
      <c r="D563" s="1">
        <f>w+a*C562^2+b*D562</f>
        <v>4.8190965971742905</v>
      </c>
      <c r="E563" s="1">
        <f t="shared" si="8"/>
        <v>-1.9442920626810667</v>
      </c>
      <c r="F563" s="7">
        <f>SQRT(IRS_returns_2015_25[[#This Row],[  σ2]])</f>
        <v>2.1952440860128268</v>
      </c>
    </row>
    <row r="564" spans="1:6" x14ac:dyDescent="0.3">
      <c r="A564" s="2">
        <v>42846</v>
      </c>
      <c r="B564" s="1">
        <v>-1.2507771440449122</v>
      </c>
      <c r="C564" s="1">
        <f>IRS_returns_2015_25[[#This Row],[IRSrtn]]-AVERAGE($B$2:$B$2600)</f>
        <v>-1.2565536381115281</v>
      </c>
      <c r="D564" s="1">
        <f>w+a*C563^2+b*D563</f>
        <v>5.1148132868955436</v>
      </c>
      <c r="E564" s="1">
        <f t="shared" si="8"/>
        <v>-1.8893574349296312</v>
      </c>
      <c r="F564" s="7">
        <f>SQRT(IRS_returns_2015_25[[#This Row],[  σ2]])</f>
        <v>2.2615952968857056</v>
      </c>
    </row>
    <row r="565" spans="1:6" x14ac:dyDescent="0.3">
      <c r="A565" s="2">
        <v>42849</v>
      </c>
      <c r="B565" s="1">
        <v>2.9602220125752421</v>
      </c>
      <c r="C565" s="1">
        <f>IRS_returns_2015_25[[#This Row],[IRSrtn]]-AVERAGE($B$2:$B$2600)</f>
        <v>2.9544455185086265</v>
      </c>
      <c r="D565" s="1">
        <f>w+a*C564^2+b*D564</f>
        <v>5.1349863549386345</v>
      </c>
      <c r="E565" s="1">
        <f t="shared" si="8"/>
        <v>-2.586906193105718</v>
      </c>
      <c r="F565" s="7">
        <f>SQRT(IRS_returns_2015_25[[#This Row],[  σ2]])</f>
        <v>2.2660508279689213</v>
      </c>
    </row>
    <row r="566" spans="1:6" x14ac:dyDescent="0.3">
      <c r="A566" s="2">
        <v>42850</v>
      </c>
      <c r="B566" s="1">
        <v>0.51110275542609607</v>
      </c>
      <c r="C566" s="1">
        <f>IRS_returns_2015_25[[#This Row],[IRSrtn]]-AVERAGE($B$2:$B$2600)</f>
        <v>0.50532626135948022</v>
      </c>
      <c r="D566" s="1">
        <f>w+a*C565^2+b*D565</f>
        <v>6.8904682040959377</v>
      </c>
      <c r="E566" s="1">
        <f t="shared" si="8"/>
        <v>-1.9025376074576696</v>
      </c>
      <c r="F566" s="7">
        <f>SQRT(IRS_returns_2015_25[[#This Row],[  σ2]])</f>
        <v>2.6249701339436107</v>
      </c>
    </row>
    <row r="567" spans="1:6" x14ac:dyDescent="0.3">
      <c r="A567" s="2">
        <v>42852</v>
      </c>
      <c r="B567" s="1">
        <v>-0.58997111378942257</v>
      </c>
      <c r="C567" s="1">
        <f>IRS_returns_2015_25[[#This Row],[IRSrtn]]-AVERAGE($B$2:$B$2600)</f>
        <v>-0.59574760785603842</v>
      </c>
      <c r="D567" s="1">
        <f>w+a*C566^2+b*D566</f>
        <v>5.9945813975656508</v>
      </c>
      <c r="E567" s="1">
        <f t="shared" si="8"/>
        <v>-1.8439695157675304</v>
      </c>
      <c r="F567" s="7">
        <f>SQRT(IRS_returns_2015_25[[#This Row],[  σ2]])</f>
        <v>2.4483834253575667</v>
      </c>
    </row>
    <row r="568" spans="1:6" x14ac:dyDescent="0.3">
      <c r="A568" s="2">
        <v>42853</v>
      </c>
      <c r="B568" s="1">
        <v>-0.51414375610323582</v>
      </c>
      <c r="C568" s="1">
        <f>IRS_returns_2015_25[[#This Row],[IRSrtn]]-AVERAGE($B$2:$B$2600)</f>
        <v>-0.51992025016985166</v>
      </c>
      <c r="D568" s="1">
        <f>w+a*C567^2+b*D567</f>
        <v>5.4224324899564005</v>
      </c>
      <c r="E568" s="1">
        <f t="shared" si="8"/>
        <v>-1.7891366021142019</v>
      </c>
      <c r="F568" s="7">
        <f>SQRT(IRS_returns_2015_25[[#This Row],[  σ2]])</f>
        <v>2.328611708713241</v>
      </c>
    </row>
    <row r="569" spans="1:6" x14ac:dyDescent="0.3">
      <c r="A569" s="2">
        <v>42856</v>
      </c>
      <c r="B569" s="1">
        <v>-0.6763532598227151</v>
      </c>
      <c r="C569" s="1">
        <f>IRS_returns_2015_25[[#This Row],[IRSrtn]]-AVERAGE($B$2:$B$2600)</f>
        <v>-0.68212975388933095</v>
      </c>
      <c r="D569" s="1">
        <f>w+a*C568^2+b*D568</f>
        <v>5.0209310810075918</v>
      </c>
      <c r="E569" s="1">
        <f t="shared" si="8"/>
        <v>-1.7720823556777892</v>
      </c>
      <c r="F569" s="7">
        <f>SQRT(IRS_returns_2015_25[[#This Row],[  σ2]])</f>
        <v>2.240743421502692</v>
      </c>
    </row>
    <row r="570" spans="1:6" x14ac:dyDescent="0.3">
      <c r="A570" s="2">
        <v>42857</v>
      </c>
      <c r="B570" s="1">
        <v>1.3875380873761056</v>
      </c>
      <c r="C570" s="1">
        <f>IRS_returns_2015_25[[#This Row],[IRSrtn]]-AVERAGE($B$2:$B$2600)</f>
        <v>1.3817615933094898</v>
      </c>
      <c r="D570" s="1">
        <f>w+a*C569^2+b*D569</f>
        <v>4.8011526732241148</v>
      </c>
      <c r="E570" s="1">
        <f t="shared" si="8"/>
        <v>-1.9022005811467448</v>
      </c>
      <c r="F570" s="7">
        <f>SQRT(IRS_returns_2015_25[[#This Row],[  σ2]])</f>
        <v>2.1911532746989915</v>
      </c>
    </row>
    <row r="571" spans="1:6" x14ac:dyDescent="0.3">
      <c r="A571" s="2">
        <v>42858</v>
      </c>
      <c r="B571" s="1">
        <v>0.35370909682579388</v>
      </c>
      <c r="C571" s="1">
        <f>IRS_returns_2015_25[[#This Row],[IRSrtn]]-AVERAGE($B$2:$B$2600)</f>
        <v>0.34793260275917809</v>
      </c>
      <c r="D571" s="1">
        <f>w+a*C570^2+b*D570</f>
        <v>5.006664032888378</v>
      </c>
      <c r="E571" s="1">
        <f t="shared" si="8"/>
        <v>-1.7364130455239413</v>
      </c>
      <c r="F571" s="7">
        <f>SQRT(IRS_returns_2015_25[[#This Row],[  σ2]])</f>
        <v>2.2375576043732099</v>
      </c>
    </row>
    <row r="572" spans="1:6" x14ac:dyDescent="0.3">
      <c r="A572" s="2">
        <v>42859</v>
      </c>
      <c r="B572" s="1">
        <v>-2.542859283970289</v>
      </c>
      <c r="C572" s="1">
        <f>IRS_returns_2015_25[[#This Row],[IRSrtn]]-AVERAGE($B$2:$B$2600)</f>
        <v>-2.5486357780369047</v>
      </c>
      <c r="D572" s="1">
        <f>w+a*C571^2+b*D571</f>
        <v>4.7077799129750906</v>
      </c>
      <c r="E572" s="1">
        <f t="shared" si="8"/>
        <v>-2.3834201599015166</v>
      </c>
      <c r="F572" s="7">
        <f>SQRT(IRS_returns_2015_25[[#This Row],[  σ2]])</f>
        <v>2.1697419000828395</v>
      </c>
    </row>
    <row r="573" spans="1:6" x14ac:dyDescent="0.3">
      <c r="A573" s="2">
        <v>42860</v>
      </c>
      <c r="B573" s="1">
        <v>0.40161831390004288</v>
      </c>
      <c r="C573" s="1">
        <f>IRS_returns_2015_25[[#This Row],[IRSrtn]]-AVERAGE($B$2:$B$2600)</f>
        <v>0.39584181983342709</v>
      </c>
      <c r="D573" s="1">
        <f>w+a*C572^2+b*D572</f>
        <v>6.0619500992351503</v>
      </c>
      <c r="E573" s="1">
        <f t="shared" si="8"/>
        <v>-1.8328784270759091</v>
      </c>
      <c r="F573" s="7">
        <f>SQRT(IRS_returns_2015_25[[#This Row],[  σ2]])</f>
        <v>2.4621027799901349</v>
      </c>
    </row>
    <row r="574" spans="1:6" x14ac:dyDescent="0.3">
      <c r="A574" s="2">
        <v>42863</v>
      </c>
      <c r="B574" s="1">
        <v>-0.12030536326865793</v>
      </c>
      <c r="C574" s="1">
        <f>IRS_returns_2015_25[[#This Row],[IRSrtn]]-AVERAGE($B$2:$B$2600)</f>
        <v>-0.12608185733527372</v>
      </c>
      <c r="D574" s="1">
        <f>w+a*C573^2+b*D573</f>
        <v>5.4189836153262894</v>
      </c>
      <c r="E574" s="1">
        <f t="shared" si="8"/>
        <v>-1.7653594239874542</v>
      </c>
      <c r="F574" s="7">
        <f>SQRT(IRS_returns_2015_25[[#This Row],[  σ2]])</f>
        <v>2.3278710478302465</v>
      </c>
    </row>
    <row r="575" spans="1:6" x14ac:dyDescent="0.3">
      <c r="A575" s="2">
        <v>42864</v>
      </c>
      <c r="B575" s="1">
        <v>-1.9449632190381649</v>
      </c>
      <c r="C575" s="1">
        <f>IRS_returns_2015_25[[#This Row],[IRSrtn]]-AVERAGE($B$2:$B$2600)</f>
        <v>-1.9507397131047808</v>
      </c>
      <c r="D575" s="1">
        <f>w+a*C574^2+b*D574</f>
        <v>4.9566456281536002</v>
      </c>
      <c r="E575" s="1">
        <f t="shared" si="8"/>
        <v>-2.1031701522648634</v>
      </c>
      <c r="F575" s="7">
        <f>SQRT(IRS_returns_2015_25[[#This Row],[  σ2]])</f>
        <v>2.2263525390543162</v>
      </c>
    </row>
    <row r="576" spans="1:6" x14ac:dyDescent="0.3">
      <c r="A576" s="2">
        <v>42865</v>
      </c>
      <c r="B576" s="1">
        <v>2.1453918253140358</v>
      </c>
      <c r="C576" s="1">
        <f>IRS_returns_2015_25[[#This Row],[IRSrtn]]-AVERAGE($B$2:$B$2600)</f>
        <v>2.1396153312474202</v>
      </c>
      <c r="D576" s="1">
        <f>w+a*C575^2+b*D575</f>
        <v>5.5721675711178644</v>
      </c>
      <c r="E576" s="1">
        <f t="shared" si="8"/>
        <v>-2.1886181151889543</v>
      </c>
      <c r="F576" s="7">
        <f>SQRT(IRS_returns_2015_25[[#This Row],[  σ2]])</f>
        <v>2.3605439142532099</v>
      </c>
    </row>
    <row r="577" spans="1:6" x14ac:dyDescent="0.3">
      <c r="A577" s="2">
        <v>42866</v>
      </c>
      <c r="B577" s="1">
        <v>1.3129374688462647</v>
      </c>
      <c r="C577" s="1">
        <f>IRS_returns_2015_25[[#This Row],[IRSrtn]]-AVERAGE($B$2:$B$2600)</f>
        <v>1.3071609747796489</v>
      </c>
      <c r="D577" s="1">
        <f>w+a*C576^2+b*D576</f>
        <v>6.170166912724218</v>
      </c>
      <c r="E577" s="1">
        <f t="shared" si="8"/>
        <v>-1.9672636816808462</v>
      </c>
      <c r="F577" s="7">
        <f>SQRT(IRS_returns_2015_25[[#This Row],[  σ2]])</f>
        <v>2.4839820677138991</v>
      </c>
    </row>
    <row r="578" spans="1:6" x14ac:dyDescent="0.3">
      <c r="A578" s="2">
        <v>42867</v>
      </c>
      <c r="B578" s="1">
        <v>0.3944711613909746</v>
      </c>
      <c r="C578" s="1">
        <f>IRS_returns_2015_25[[#This Row],[IRSrtn]]-AVERAGE($B$2:$B$2600)</f>
        <v>0.38869466732435881</v>
      </c>
      <c r="D578" s="1">
        <f>w+a*C577^2+b*D577</f>
        <v>5.8691646976697545</v>
      </c>
      <c r="E578" s="1">
        <f t="shared" ref="E578:E641" si="9">-0.5*(LN(2*PI())+LN(D578)+C578^2/D578)</f>
        <v>-1.8166656529288525</v>
      </c>
      <c r="F578" s="7">
        <f>SQRT(IRS_returns_2015_25[[#This Row],[  σ2]])</f>
        <v>2.4226358986999581</v>
      </c>
    </row>
    <row r="579" spans="1:6" x14ac:dyDescent="0.3">
      <c r="A579" s="2">
        <v>42870</v>
      </c>
      <c r="B579" s="1">
        <v>-0.55269814619607338</v>
      </c>
      <c r="C579" s="1">
        <f>IRS_returns_2015_25[[#This Row],[IRSrtn]]-AVERAGE($B$2:$B$2600)</f>
        <v>-0.55847464026268923</v>
      </c>
      <c r="D579" s="1">
        <f>w+a*C578^2+b*D578</f>
        <v>5.2892769579677008</v>
      </c>
      <c r="E579" s="1">
        <f t="shared" si="9"/>
        <v>-1.7812629177787773</v>
      </c>
      <c r="F579" s="7">
        <f>SQRT(IRS_returns_2015_25[[#This Row],[  σ2]])</f>
        <v>2.2998428115781522</v>
      </c>
    </row>
    <row r="580" spans="1:6" x14ac:dyDescent="0.3">
      <c r="A580" s="2">
        <v>42871</v>
      </c>
      <c r="B580" s="1">
        <v>0.47392297036181752</v>
      </c>
      <c r="C580" s="1">
        <f>IRS_returns_2015_25[[#This Row],[IRSrtn]]-AVERAGE($B$2:$B$2600)</f>
        <v>0.46814647629520173</v>
      </c>
      <c r="D580" s="1">
        <f>w+a*C579^2+b*D579</f>
        <v>4.9424174095529123</v>
      </c>
      <c r="E580" s="1">
        <f t="shared" si="9"/>
        <v>-1.7400372662719477</v>
      </c>
      <c r="F580" s="7">
        <f>SQRT(IRS_returns_2015_25[[#This Row],[  σ2]])</f>
        <v>2.2231548325640551</v>
      </c>
    </row>
    <row r="581" spans="1:6" x14ac:dyDescent="0.3">
      <c r="A581" s="2">
        <v>42872</v>
      </c>
      <c r="B581" s="1">
        <v>-0.51352556443404751</v>
      </c>
      <c r="C581" s="1">
        <f>IRS_returns_2015_25[[#This Row],[IRSrtn]]-AVERAGE($B$2:$B$2600)</f>
        <v>-0.51930205850066335</v>
      </c>
      <c r="D581" s="1">
        <f>w+a*C580^2+b*D580</f>
        <v>4.6889128855880955</v>
      </c>
      <c r="E581" s="1">
        <f t="shared" si="9"/>
        <v>-1.720295539894674</v>
      </c>
      <c r="F581" s="7">
        <f>SQRT(IRS_returns_2015_25[[#This Row],[  σ2]])</f>
        <v>2.1653897768272796</v>
      </c>
    </row>
    <row r="582" spans="1:6" x14ac:dyDescent="0.3">
      <c r="A582" s="2">
        <v>42873</v>
      </c>
      <c r="B582" s="1">
        <v>-2.3643729660343116</v>
      </c>
      <c r="C582" s="1">
        <f>IRS_returns_2015_25[[#This Row],[IRSrtn]]-AVERAGE($B$2:$B$2600)</f>
        <v>-2.3701494601009272</v>
      </c>
      <c r="D582" s="1">
        <f>w+a*C581^2+b*D581</f>
        <v>4.5324582908195321</v>
      </c>
      <c r="E582" s="1">
        <f t="shared" si="9"/>
        <v>-2.2942795513420231</v>
      </c>
      <c r="F582" s="7">
        <f>SQRT(IRS_returns_2015_25[[#This Row],[  σ2]])</f>
        <v>2.1289570899432269</v>
      </c>
    </row>
    <row r="583" spans="1:6" x14ac:dyDescent="0.3">
      <c r="A583" s="2">
        <v>42874</v>
      </c>
      <c r="B583" s="1">
        <v>2.1661601948828935</v>
      </c>
      <c r="C583" s="1">
        <f>IRS_returns_2015_25[[#This Row],[IRSrtn]]-AVERAGE($B$2:$B$2600)</f>
        <v>2.1603837008162778</v>
      </c>
      <c r="D583" s="1">
        <f>w+a*C582^2+b*D582</f>
        <v>5.7313266944610941</v>
      </c>
      <c r="E583" s="1">
        <f t="shared" si="9"/>
        <v>-2.199082851200016</v>
      </c>
      <c r="F583" s="7">
        <f>SQRT(IRS_returns_2015_25[[#This Row],[  σ2]])</f>
        <v>2.3940189419595441</v>
      </c>
    </row>
    <row r="584" spans="1:6" x14ac:dyDescent="0.3">
      <c r="A584" s="2">
        <v>42877</v>
      </c>
      <c r="B584" s="1">
        <v>-0.79682147523798541</v>
      </c>
      <c r="C584" s="1">
        <f>IRS_returns_2015_25[[#This Row],[IRSrtn]]-AVERAGE($B$2:$B$2600)</f>
        <v>-0.80259796930460126</v>
      </c>
      <c r="D584" s="1">
        <f>w+a*C583^2+b*D583</f>
        <v>6.2978806926176905</v>
      </c>
      <c r="E584" s="1">
        <f t="shared" si="9"/>
        <v>-1.8901864137634157</v>
      </c>
      <c r="F584" s="7">
        <f>SQRT(IRS_returns_2015_25[[#This Row],[  σ2]])</f>
        <v>2.509557867955567</v>
      </c>
    </row>
    <row r="585" spans="1:6" x14ac:dyDescent="0.3">
      <c r="A585" s="2">
        <v>42878</v>
      </c>
      <c r="B585" s="1">
        <v>-2.3882920766480353</v>
      </c>
      <c r="C585" s="1">
        <f>IRS_returns_2015_25[[#This Row],[IRSrtn]]-AVERAGE($B$2:$B$2600)</f>
        <v>-2.394068570714651</v>
      </c>
      <c r="D585" s="1">
        <f>w+a*C584^2+b*D584</f>
        <v>5.6948191783104907</v>
      </c>
      <c r="E585" s="1">
        <f t="shared" si="9"/>
        <v>-2.2919431464166187</v>
      </c>
      <c r="F585" s="7">
        <f>SQRT(IRS_returns_2015_25[[#This Row],[  σ2]])</f>
        <v>2.3863820268998195</v>
      </c>
    </row>
    <row r="586" spans="1:6" x14ac:dyDescent="0.3">
      <c r="A586" s="2">
        <v>42880</v>
      </c>
      <c r="B586" s="1">
        <v>0.12282660775446708</v>
      </c>
      <c r="C586" s="1">
        <f>IRS_returns_2015_25[[#This Row],[IRSrtn]]-AVERAGE($B$2:$B$2600)</f>
        <v>0.11705011368785129</v>
      </c>
      <c r="D586" s="1">
        <f>w+a*C585^2+b*D585</f>
        <v>6.5328950826427743</v>
      </c>
      <c r="E586" s="1">
        <f t="shared" si="9"/>
        <v>-1.8584122267964913</v>
      </c>
      <c r="F586" s="7">
        <f>SQRT(IRS_returns_2015_25[[#This Row],[  σ2]])</f>
        <v>2.5559528717569839</v>
      </c>
    </row>
    <row r="587" spans="1:6" x14ac:dyDescent="0.3">
      <c r="A587" s="2">
        <v>42881</v>
      </c>
      <c r="B587" s="1">
        <v>0.20437021476684691</v>
      </c>
      <c r="C587" s="1">
        <f>IRS_returns_2015_25[[#This Row],[IRSrtn]]-AVERAGE($B$2:$B$2600)</f>
        <v>0.19859372070023112</v>
      </c>
      <c r="D587" s="1">
        <f>w+a*C586^2+b*D586</f>
        <v>5.6976600772083668</v>
      </c>
      <c r="E587" s="1">
        <f t="shared" si="9"/>
        <v>-1.792427345164211</v>
      </c>
      <c r="F587" s="7">
        <f>SQRT(IRS_returns_2015_25[[#This Row],[  σ2]])</f>
        <v>2.3869771840569332</v>
      </c>
    </row>
    <row r="588" spans="1:6" x14ac:dyDescent="0.3">
      <c r="A588" s="2">
        <v>42885</v>
      </c>
      <c r="B588" s="1">
        <v>-0.36817873491723496</v>
      </c>
      <c r="C588" s="1">
        <f>IRS_returns_2015_25[[#This Row],[IRSrtn]]-AVERAGE($B$2:$B$2600)</f>
        <v>-0.37395522898385075</v>
      </c>
      <c r="D588" s="1">
        <f>w+a*C587^2+b*D587</f>
        <v>5.1479014118042938</v>
      </c>
      <c r="E588" s="1">
        <f t="shared" si="9"/>
        <v>-1.7518155803917939</v>
      </c>
      <c r="F588" s="7">
        <f>SQRT(IRS_returns_2015_25[[#This Row],[  σ2]])</f>
        <v>2.2688987222448458</v>
      </c>
    </row>
    <row r="589" spans="1:6" x14ac:dyDescent="0.3">
      <c r="A589" s="2">
        <v>42886</v>
      </c>
      <c r="B589" s="1">
        <v>0.40900086406079339</v>
      </c>
      <c r="C589" s="1">
        <f>IRS_returns_2015_25[[#This Row],[IRSrtn]]-AVERAGE($B$2:$B$2600)</f>
        <v>0.4032243699941776</v>
      </c>
      <c r="D589" s="1">
        <f>w+a*C588^2+b*D588</f>
        <v>4.8063810592272986</v>
      </c>
      <c r="E589" s="1">
        <f t="shared" si="9"/>
        <v>-1.7208247063391326</v>
      </c>
      <c r="F589" s="7">
        <f>SQRT(IRS_returns_2015_25[[#This Row],[  σ2]])</f>
        <v>2.1923460172215741</v>
      </c>
    </row>
    <row r="590" spans="1:6" x14ac:dyDescent="0.3">
      <c r="A590" s="2">
        <v>42887</v>
      </c>
      <c r="B590" s="1">
        <v>1.297668128796392</v>
      </c>
      <c r="C590" s="1">
        <f>IRS_returns_2015_25[[#This Row],[IRSrtn]]-AVERAGE($B$2:$B$2600)</f>
        <v>1.2918916347297762</v>
      </c>
      <c r="D590" s="1">
        <f>w+a*C589^2+b*D589</f>
        <v>4.5845676462763025</v>
      </c>
      <c r="E590" s="1">
        <f t="shared" si="9"/>
        <v>-1.8623083971298802</v>
      </c>
      <c r="F590" s="7">
        <f>SQRT(IRS_returns_2015_25[[#This Row],[  σ2]])</f>
        <v>2.14116035043532</v>
      </c>
    </row>
    <row r="591" spans="1:6" x14ac:dyDescent="0.3">
      <c r="A591" s="2">
        <v>42888</v>
      </c>
      <c r="B591" s="1">
        <v>-8.0598569832313061E-2</v>
      </c>
      <c r="C591" s="1">
        <f>IRS_returns_2015_25[[#This Row],[IRSrtn]]-AVERAGE($B$2:$B$2600)</f>
        <v>-8.637506389892885E-2</v>
      </c>
      <c r="D591" s="1">
        <f>w+a*C590^2+b*D590</f>
        <v>4.8039353249592072</v>
      </c>
      <c r="E591" s="1">
        <f t="shared" si="9"/>
        <v>-1.7044327684764908</v>
      </c>
      <c r="F591" s="7">
        <f>SQRT(IRS_returns_2015_25[[#This Row],[  σ2]])</f>
        <v>2.1917881569529496</v>
      </c>
    </row>
    <row r="592" spans="1:6" x14ac:dyDescent="0.3">
      <c r="A592" s="2">
        <v>42891</v>
      </c>
      <c r="B592" s="1">
        <v>0.12087804854599149</v>
      </c>
      <c r="C592" s="1">
        <f>IRS_returns_2015_25[[#This Row],[IRSrtn]]-AVERAGE($B$2:$B$2600)</f>
        <v>0.1151015544793757</v>
      </c>
      <c r="D592" s="1">
        <f>w+a*C591^2+b*D591</f>
        <v>4.5451422764274296</v>
      </c>
      <c r="E592" s="1">
        <f t="shared" si="9"/>
        <v>-1.6774254693330295</v>
      </c>
      <c r="F592" s="7">
        <f>SQRT(IRS_returns_2015_25[[#This Row],[  σ2]])</f>
        <v>2.131933928719985</v>
      </c>
    </row>
    <row r="593" spans="1:6" x14ac:dyDescent="0.3">
      <c r="A593" s="2">
        <v>42892</v>
      </c>
      <c r="B593" s="1">
        <v>-1.5422343257731175</v>
      </c>
      <c r="C593" s="1">
        <f>IRS_returns_2015_25[[#This Row],[IRSrtn]]-AVERAGE($B$2:$B$2600)</f>
        <v>-1.5480108198397333</v>
      </c>
      <c r="D593" s="1">
        <f>w+a*C592^2+b*D592</f>
        <v>4.3742695944368402</v>
      </c>
      <c r="E593" s="1">
        <f t="shared" si="9"/>
        <v>-1.9307211835976905</v>
      </c>
      <c r="F593" s="7">
        <f>SQRT(IRS_returns_2015_25[[#This Row],[  σ2]])</f>
        <v>2.0914754587221052</v>
      </c>
    </row>
    <row r="594" spans="1:6" x14ac:dyDescent="0.3">
      <c r="A594" s="2">
        <v>42893</v>
      </c>
      <c r="B594" s="1">
        <v>-1.2345906288000918</v>
      </c>
      <c r="C594" s="1">
        <f>IRS_returns_2015_25[[#This Row],[IRSrtn]]-AVERAGE($B$2:$B$2600)</f>
        <v>-1.2403671228667077</v>
      </c>
      <c r="D594" s="1">
        <f>w+a*C593^2+b*D593</f>
        <v>4.8411559097440406</v>
      </c>
      <c r="E594" s="1">
        <f t="shared" si="9"/>
        <v>-1.8664143879074959</v>
      </c>
      <c r="F594" s="7">
        <f>SQRT(IRS_returns_2015_25[[#This Row],[  σ2]])</f>
        <v>2.2002626910766905</v>
      </c>
    </row>
    <row r="595" spans="1:6" x14ac:dyDescent="0.3">
      <c r="A595" s="2">
        <v>42894</v>
      </c>
      <c r="B595" s="1">
        <v>-1.1243052626168204</v>
      </c>
      <c r="C595" s="1">
        <f>IRS_returns_2015_25[[#This Row],[IRSrtn]]-AVERAGE($B$2:$B$2600)</f>
        <v>-1.1300817566834362</v>
      </c>
      <c r="D595" s="1">
        <f>w+a*C594^2+b*D594</f>
        <v>4.9429606075321626</v>
      </c>
      <c r="E595" s="1">
        <f t="shared" si="9"/>
        <v>-1.8471029378820589</v>
      </c>
      <c r="F595" s="7">
        <f>SQRT(IRS_returns_2015_25[[#This Row],[  σ2]])</f>
        <v>2.2232769974819067</v>
      </c>
    </row>
    <row r="596" spans="1:6" x14ac:dyDescent="0.3">
      <c r="A596" s="2">
        <v>42895</v>
      </c>
      <c r="B596" s="1">
        <v>-1.3915366045747835</v>
      </c>
      <c r="C596" s="1">
        <f>IRS_returns_2015_25[[#This Row],[IRSrtn]]-AVERAGE($B$2:$B$2600)</f>
        <v>-1.3973130986413993</v>
      </c>
      <c r="D596" s="1">
        <f>w+a*C595^2+b*D595</f>
        <v>4.9470373550981526</v>
      </c>
      <c r="E596" s="1">
        <f t="shared" si="9"/>
        <v>-1.9156716803643008</v>
      </c>
      <c r="F596" s="7">
        <f>SQRT(IRS_returns_2015_25[[#This Row],[  σ2]])</f>
        <v>2.2241936415470107</v>
      </c>
    </row>
    <row r="597" spans="1:6" x14ac:dyDescent="0.3">
      <c r="A597" s="2">
        <v>42898</v>
      </c>
      <c r="B597" s="1">
        <v>-0.21254592135706574</v>
      </c>
      <c r="C597" s="1">
        <f>IRS_returns_2015_25[[#This Row],[IRSrtn]]-AVERAGE($B$2:$B$2600)</f>
        <v>-0.21832241542368153</v>
      </c>
      <c r="D597" s="1">
        <f>w+a*C596^2+b*D596</f>
        <v>5.1143121532103129</v>
      </c>
      <c r="E597" s="1">
        <f t="shared" si="9"/>
        <v>-1.7396199205574265</v>
      </c>
      <c r="F597" s="7">
        <f>SQRT(IRS_returns_2015_25[[#This Row],[  σ2]])</f>
        <v>2.2614845020937713</v>
      </c>
    </row>
    <row r="598" spans="1:6" x14ac:dyDescent="0.3">
      <c r="A598" s="2">
        <v>42899</v>
      </c>
      <c r="B598" s="1">
        <v>0.3822522550023244</v>
      </c>
      <c r="C598" s="1">
        <f>IRS_returns_2015_25[[#This Row],[IRSrtn]]-AVERAGE($B$2:$B$2600)</f>
        <v>0.37647576093570861</v>
      </c>
      <c r="D598" s="1">
        <f>w+a*C597^2+b*D597</f>
        <v>4.7615610199171226</v>
      </c>
      <c r="E598" s="1">
        <f t="shared" si="9"/>
        <v>-1.7141094573275466</v>
      </c>
      <c r="F598" s="7">
        <f>SQRT(IRS_returns_2015_25[[#This Row],[  σ2]])</f>
        <v>2.1821001397546178</v>
      </c>
    </row>
    <row r="599" spans="1:6" x14ac:dyDescent="0.3">
      <c r="A599" s="2">
        <v>42900</v>
      </c>
      <c r="B599" s="1">
        <v>-0.97977038254142279</v>
      </c>
      <c r="C599" s="1">
        <f>IRS_returns_2015_25[[#This Row],[IRSrtn]]-AVERAGE($B$2:$B$2600)</f>
        <v>-0.98554687660803864</v>
      </c>
      <c r="D599" s="1">
        <f>w+a*C598^2+b*D598</f>
        <v>4.5496486632691582</v>
      </c>
      <c r="E599" s="1">
        <f t="shared" si="9"/>
        <v>-1.7832083367665184</v>
      </c>
      <c r="F599" s="7">
        <f>SQRT(IRS_returns_2015_25[[#This Row],[  σ2]])</f>
        <v>2.1329905445803452</v>
      </c>
    </row>
    <row r="600" spans="1:6" x14ac:dyDescent="0.3">
      <c r="A600" s="2">
        <v>42901</v>
      </c>
      <c r="B600" s="1">
        <v>1.06451089465458</v>
      </c>
      <c r="C600" s="1">
        <f>IRS_returns_2015_25[[#This Row],[IRSrtn]]-AVERAGE($B$2:$B$2600)</f>
        <v>1.0587344005879642</v>
      </c>
      <c r="D600" s="1">
        <f>w+a*C599^2+b*D599</f>
        <v>4.6106992747958131</v>
      </c>
      <c r="E600" s="1">
        <f t="shared" si="9"/>
        <v>-1.8046845387507178</v>
      </c>
      <c r="F600" s="7">
        <f>SQRT(IRS_returns_2015_25[[#This Row],[  σ2]])</f>
        <v>2.1472538915544694</v>
      </c>
    </row>
    <row r="601" spans="1:6" x14ac:dyDescent="0.3">
      <c r="A601" s="2">
        <v>42902</v>
      </c>
      <c r="B601" s="1">
        <v>1.6383505517742591</v>
      </c>
      <c r="C601" s="1">
        <f>IRS_returns_2015_25[[#This Row],[IRSrtn]]-AVERAGE($B$2:$B$2600)</f>
        <v>1.6325740577076433</v>
      </c>
      <c r="D601" s="1">
        <f>w+a*C600^2+b*D600</f>
        <v>4.6877955630285761</v>
      </c>
      <c r="E601" s="1">
        <f t="shared" si="9"/>
        <v>-1.9757002887974193</v>
      </c>
      <c r="F601" s="7">
        <f>SQRT(IRS_returns_2015_25[[#This Row],[  σ2]])</f>
        <v>2.1651317657428093</v>
      </c>
    </row>
    <row r="602" spans="1:6" x14ac:dyDescent="0.3">
      <c r="A602" s="2">
        <v>42905</v>
      </c>
      <c r="B602" s="1">
        <v>2.0619218167220676</v>
      </c>
      <c r="C602" s="1">
        <f>IRS_returns_2015_25[[#This Row],[IRSrtn]]-AVERAGE($B$2:$B$2600)</f>
        <v>2.056145322655452</v>
      </c>
      <c r="D602" s="1">
        <f>w+a*C601^2+b*D601</f>
        <v>5.1154075642615009</v>
      </c>
      <c r="E602" s="1">
        <f t="shared" si="9"/>
        <v>-2.1483023351599058</v>
      </c>
      <c r="F602" s="7">
        <f>SQRT(IRS_returns_2015_25[[#This Row],[  σ2]])</f>
        <v>2.2617266776207732</v>
      </c>
    </row>
    <row r="603" spans="1:6" x14ac:dyDescent="0.3">
      <c r="A603" s="2">
        <v>42906</v>
      </c>
      <c r="B603" s="1">
        <v>-0.44999033226433838</v>
      </c>
      <c r="C603" s="1">
        <f>IRS_returns_2015_25[[#This Row],[IRSrtn]]-AVERAGE($B$2:$B$2600)</f>
        <v>-0.45576682633095417</v>
      </c>
      <c r="D603" s="1">
        <f>w+a*C602^2+b*D602</f>
        <v>5.7807630768418647</v>
      </c>
      <c r="E603" s="1">
        <f t="shared" si="9"/>
        <v>-1.8141731605668339</v>
      </c>
      <c r="F603" s="7">
        <f>SQRT(IRS_returns_2015_25[[#This Row],[  σ2]])</f>
        <v>2.4043217498583389</v>
      </c>
    </row>
    <row r="604" spans="1:6" x14ac:dyDescent="0.3">
      <c r="A604" s="2">
        <v>42907</v>
      </c>
      <c r="B604" s="1">
        <v>-4.3576173150207786</v>
      </c>
      <c r="C604" s="1">
        <f>IRS_returns_2015_25[[#This Row],[IRSrtn]]-AVERAGE($B$2:$B$2600)</f>
        <v>-4.3633938090873947</v>
      </c>
      <c r="D604" s="1">
        <f>w+a*C603^2+b*D603</f>
        <v>5.2442268092112432</v>
      </c>
      <c r="E604" s="1">
        <f t="shared" si="9"/>
        <v>-3.5627562647550266</v>
      </c>
      <c r="F604" s="7">
        <f>SQRT(IRS_returns_2015_25[[#This Row],[  σ2]])</f>
        <v>2.2900276874333296</v>
      </c>
    </row>
    <row r="605" spans="1:6" x14ac:dyDescent="0.3">
      <c r="A605" s="2">
        <v>42908</v>
      </c>
      <c r="B605" s="1">
        <v>4.1934819602296169</v>
      </c>
      <c r="C605" s="1">
        <f>IRS_returns_2015_25[[#This Row],[IRSrtn]]-AVERAGE($B$2:$B$2600)</f>
        <v>4.1877054661630009</v>
      </c>
      <c r="D605" s="1">
        <f>w+a*C604^2+b*D604</f>
        <v>9.475331915537847</v>
      </c>
      <c r="E605" s="1">
        <f t="shared" si="9"/>
        <v>-2.9686808756616729</v>
      </c>
      <c r="F605" s="7">
        <f>SQRT(IRS_returns_2015_25[[#This Row],[  σ2]])</f>
        <v>3.0782027086496182</v>
      </c>
    </row>
    <row r="606" spans="1:6" x14ac:dyDescent="0.3">
      <c r="A606" s="2">
        <v>42909</v>
      </c>
      <c r="B606" s="1">
        <v>-3.1285079613046829</v>
      </c>
      <c r="C606" s="1">
        <f>IRS_returns_2015_25[[#This Row],[IRSrtn]]-AVERAGE($B$2:$B$2600)</f>
        <v>-3.1342844553712985</v>
      </c>
      <c r="D606" s="1">
        <f>w+a*C605^2+b*D605</f>
        <v>11.926007318328342</v>
      </c>
      <c r="E606" s="1">
        <f t="shared" si="9"/>
        <v>-2.5701613103187215</v>
      </c>
      <c r="F606" s="7">
        <f>SQRT(IRS_returns_2015_25[[#This Row],[  σ2]])</f>
        <v>3.453405177260314</v>
      </c>
    </row>
    <row r="607" spans="1:6" x14ac:dyDescent="0.3">
      <c r="A607" s="2">
        <v>42912</v>
      </c>
      <c r="B607" s="1">
        <v>2.6757486383411688</v>
      </c>
      <c r="C607" s="1">
        <f>IRS_returns_2015_25[[#This Row],[IRSrtn]]-AVERAGE($B$2:$B$2600)</f>
        <v>2.6699721442745532</v>
      </c>
      <c r="D607" s="1">
        <f>w+a*C606^2+b*D606</f>
        <v>11.678158596967371</v>
      </c>
      <c r="E607" s="1">
        <f t="shared" si="9"/>
        <v>-2.4530159533685749</v>
      </c>
      <c r="F607" s="7">
        <f>SQRT(IRS_returns_2015_25[[#This Row],[  σ2]])</f>
        <v>3.4173320876039206</v>
      </c>
    </row>
    <row r="608" spans="1:6" x14ac:dyDescent="0.3">
      <c r="A608" s="2">
        <v>42913</v>
      </c>
      <c r="B608" s="1">
        <v>-2.3795767743455709</v>
      </c>
      <c r="C608" s="1">
        <f>IRS_returns_2015_25[[#This Row],[IRSrtn]]-AVERAGE($B$2:$B$2600)</f>
        <v>-2.3853532684121865</v>
      </c>
      <c r="D608" s="1">
        <f>w+a*C607^2+b*D607</f>
        <v>10.856528407504294</v>
      </c>
      <c r="E608" s="1">
        <f t="shared" si="9"/>
        <v>-2.3733720003302761</v>
      </c>
      <c r="F608" s="7">
        <f>SQRT(IRS_returns_2015_25[[#This Row],[  σ2]])</f>
        <v>3.2949246436761332</v>
      </c>
    </row>
    <row r="609" spans="1:6" x14ac:dyDescent="0.3">
      <c r="A609" s="2">
        <v>42914</v>
      </c>
      <c r="B609" s="1">
        <v>0.54771026285949098</v>
      </c>
      <c r="C609" s="1">
        <f>IRS_returns_2015_25[[#This Row],[IRSrtn]]-AVERAGE($B$2:$B$2600)</f>
        <v>0.54193376879287514</v>
      </c>
      <c r="D609" s="1">
        <f>w+a*C608^2+b*D608</f>
        <v>9.9589821724981817</v>
      </c>
      <c r="E609" s="1">
        <f t="shared" si="9"/>
        <v>-2.0829210622843322</v>
      </c>
      <c r="F609" s="7">
        <f>SQRT(IRS_returns_2015_25[[#This Row],[  σ2]])</f>
        <v>3.1557855079992656</v>
      </c>
    </row>
    <row r="610" spans="1:6" x14ac:dyDescent="0.3">
      <c r="A610" s="2">
        <v>42915</v>
      </c>
      <c r="B610" s="1">
        <v>0.41928076896393662</v>
      </c>
      <c r="C610" s="1">
        <f>IRS_returns_2015_25[[#This Row],[IRSrtn]]-AVERAGE($B$2:$B$2600)</f>
        <v>0.41350427489732083</v>
      </c>
      <c r="D610" s="1">
        <f>w+a*C609^2+b*D609</f>
        <v>8.0466833737368102</v>
      </c>
      <c r="E610" s="1">
        <f t="shared" si="9"/>
        <v>-1.9721931473307579</v>
      </c>
      <c r="F610" s="7">
        <f>SQRT(IRS_returns_2015_25[[#This Row],[  σ2]])</f>
        <v>2.8366676530282517</v>
      </c>
    </row>
    <row r="611" spans="1:6" x14ac:dyDescent="0.3">
      <c r="A611" s="2">
        <v>42916</v>
      </c>
      <c r="B611" s="1">
        <v>0.91630028199749525</v>
      </c>
      <c r="C611" s="1">
        <f>IRS_returns_2015_25[[#This Row],[IRSrtn]]-AVERAGE($B$2:$B$2600)</f>
        <v>0.9105237879308794</v>
      </c>
      <c r="D611" s="1">
        <f>w+a*C610^2+b*D610</f>
        <v>6.743736710604372</v>
      </c>
      <c r="E611" s="1">
        <f t="shared" si="9"/>
        <v>-1.9347140345549438</v>
      </c>
      <c r="F611" s="7">
        <f>SQRT(IRS_returns_2015_25[[#This Row],[  σ2]])</f>
        <v>2.5968705610030649</v>
      </c>
    </row>
    <row r="612" spans="1:6" x14ac:dyDescent="0.3">
      <c r="A612" s="2">
        <v>42919</v>
      </c>
      <c r="B612" s="1">
        <v>2.4166628276621971</v>
      </c>
      <c r="C612" s="1">
        <f>IRS_returns_2015_25[[#This Row],[IRSrtn]]-AVERAGE($B$2:$B$2600)</f>
        <v>2.4108863335955815</v>
      </c>
      <c r="D612" s="1">
        <f>w+a*C611^2+b*D611</f>
        <v>6.0366814035461553</v>
      </c>
      <c r="E612" s="1">
        <f t="shared" si="9"/>
        <v>-2.2992869539530205</v>
      </c>
      <c r="F612" s="7">
        <f>SQRT(IRS_returns_2015_25[[#This Row],[  σ2]])</f>
        <v>2.4569658938508194</v>
      </c>
    </row>
    <row r="613" spans="1:6" x14ac:dyDescent="0.3">
      <c r="A613" s="2">
        <v>42921</v>
      </c>
      <c r="B613" s="1">
        <v>-1.3444982158834939</v>
      </c>
      <c r="C613" s="1">
        <f>IRS_returns_2015_25[[#This Row],[IRSrtn]]-AVERAGE($B$2:$B$2600)</f>
        <v>-1.3502747099501098</v>
      </c>
      <c r="D613" s="1">
        <f>w+a*C612^2+b*D612</f>
        <v>6.7801674744469622</v>
      </c>
      <c r="E613" s="1">
        <f t="shared" si="9"/>
        <v>-2.0103934727854029</v>
      </c>
      <c r="F613" s="7">
        <f>SQRT(IRS_returns_2015_25[[#This Row],[  σ2]])</f>
        <v>2.6038754721466542</v>
      </c>
    </row>
    <row r="614" spans="1:6" x14ac:dyDescent="0.3">
      <c r="A614" s="2">
        <v>42922</v>
      </c>
      <c r="B614" s="1">
        <v>-3.0400006103541877</v>
      </c>
      <c r="C614" s="1">
        <f>IRS_returns_2015_25[[#This Row],[IRSrtn]]-AVERAGE($B$2:$B$2600)</f>
        <v>-3.0457771044208033</v>
      </c>
      <c r="D614" s="1">
        <f>w+a*C613^2+b*D613</f>
        <v>6.3031677027739361</v>
      </c>
      <c r="E614" s="1">
        <f t="shared" si="9"/>
        <v>-2.5753453319817892</v>
      </c>
      <c r="F614" s="7">
        <f>SQRT(IRS_returns_2015_25[[#This Row],[  σ2]])</f>
        <v>2.5106110217980673</v>
      </c>
    </row>
    <row r="615" spans="1:6" x14ac:dyDescent="0.3">
      <c r="A615" s="2">
        <v>42923</v>
      </c>
      <c r="B615" s="1">
        <v>1.3022798835461202</v>
      </c>
      <c r="C615" s="1">
        <f>IRS_returns_2015_25[[#This Row],[IRSrtn]]-AVERAGE($B$2:$B$2600)</f>
        <v>1.2965033894795044</v>
      </c>
      <c r="D615" s="1">
        <f>w+a*C614^2+b*D614</f>
        <v>7.8016685242754145</v>
      </c>
      <c r="E615" s="1">
        <f t="shared" si="9"/>
        <v>-2.0538356494237093</v>
      </c>
      <c r="F615" s="7">
        <f>SQRT(IRS_returns_2015_25[[#This Row],[  σ2]])</f>
        <v>2.79314670654361</v>
      </c>
    </row>
    <row r="616" spans="1:6" x14ac:dyDescent="0.3">
      <c r="A616" s="2">
        <v>42926</v>
      </c>
      <c r="B616" s="1">
        <v>0.16680476885095885</v>
      </c>
      <c r="C616" s="1">
        <f>IRS_returns_2015_25[[#This Row],[IRSrtn]]-AVERAGE($B$2:$B$2600)</f>
        <v>0.16102827478434306</v>
      </c>
      <c r="D616" s="1">
        <f>w+a*C615^2+b*D615</f>
        <v>6.948521605667727</v>
      </c>
      <c r="E616" s="1">
        <f t="shared" si="9"/>
        <v>-1.8900688644803572</v>
      </c>
      <c r="F616" s="7">
        <f>SQRT(IRS_returns_2015_25[[#This Row],[  σ2]])</f>
        <v>2.6360048569127725</v>
      </c>
    </row>
    <row r="617" spans="1:6" x14ac:dyDescent="0.3">
      <c r="A617" s="2">
        <v>42927</v>
      </c>
      <c r="B617" s="1">
        <v>0.20812248098542874</v>
      </c>
      <c r="C617" s="1">
        <f>IRS_returns_2015_25[[#This Row],[IRSrtn]]-AVERAGE($B$2:$B$2600)</f>
        <v>0.20234598691881295</v>
      </c>
      <c r="D617" s="1">
        <f>w+a*C616^2+b*D616</f>
        <v>5.977329284761197</v>
      </c>
      <c r="E617" s="1">
        <f t="shared" si="9"/>
        <v>-1.8163503958367113</v>
      </c>
      <c r="F617" s="7">
        <f>SQRT(IRS_returns_2015_25[[#This Row],[  σ2]])</f>
        <v>2.444857722805398</v>
      </c>
    </row>
    <row r="618" spans="1:6" x14ac:dyDescent="0.3">
      <c r="A618" s="2">
        <v>42928</v>
      </c>
      <c r="B618" s="1">
        <v>2.8286188748081642</v>
      </c>
      <c r="C618" s="1">
        <f>IRS_returns_2015_25[[#This Row],[IRSrtn]]-AVERAGE($B$2:$B$2600)</f>
        <v>2.8228423807415486</v>
      </c>
      <c r="D618" s="1">
        <f>w+a*C617^2+b*D617</f>
        <v>5.3344484321097916</v>
      </c>
      <c r="E618" s="1">
        <f t="shared" si="9"/>
        <v>-2.5029162863295031</v>
      </c>
      <c r="F618" s="7">
        <f>SQRT(IRS_returns_2015_25[[#This Row],[  σ2]])</f>
        <v>2.3096424901074606</v>
      </c>
    </row>
    <row r="619" spans="1:6" x14ac:dyDescent="0.3">
      <c r="A619" s="2">
        <v>42929</v>
      </c>
      <c r="B619" s="1">
        <v>-4.2946267130623994</v>
      </c>
      <c r="C619" s="1">
        <f>IRS_returns_2015_25[[#This Row],[IRSrtn]]-AVERAGE($B$2:$B$2600)</f>
        <v>-4.3004032071290155</v>
      </c>
      <c r="D619" s="1">
        <f>w+a*C618^2+b*D618</f>
        <v>6.8380042780497146</v>
      </c>
      <c r="E619" s="1">
        <f t="shared" si="9"/>
        <v>-3.2324427196069649</v>
      </c>
      <c r="F619" s="7">
        <f>SQRT(IRS_returns_2015_25[[#This Row],[  σ2]])</f>
        <v>2.6149577966096729</v>
      </c>
    </row>
    <row r="620" spans="1:6" x14ac:dyDescent="0.3">
      <c r="A620" s="2">
        <v>42930</v>
      </c>
      <c r="B620" s="1">
        <v>0.21075418361289344</v>
      </c>
      <c r="C620" s="1">
        <f>IRS_returns_2015_25[[#This Row],[IRSrtn]]-AVERAGE($B$2:$B$2600)</f>
        <v>0.20497768954627765</v>
      </c>
      <c r="D620" s="1">
        <f>w+a*C619^2+b*D619</f>
        <v>10.403367327700636</v>
      </c>
      <c r="E620" s="1">
        <f t="shared" si="9"/>
        <v>-2.092022639948417</v>
      </c>
      <c r="F620" s="7">
        <f>SQRT(IRS_returns_2015_25[[#This Row],[  σ2]])</f>
        <v>3.225425139063165</v>
      </c>
    </row>
    <row r="621" spans="1:6" x14ac:dyDescent="0.3">
      <c r="A621" s="2">
        <v>42933</v>
      </c>
      <c r="B621" s="1">
        <v>-2.8182892803275905</v>
      </c>
      <c r="C621" s="1">
        <f>IRS_returns_2015_25[[#This Row],[IRSrtn]]-AVERAGE($B$2:$B$2600)</f>
        <v>-2.8240657743942061</v>
      </c>
      <c r="D621" s="1">
        <f>w+a*C620^2+b*D620</f>
        <v>8.2811971126351729</v>
      </c>
      <c r="E621" s="1">
        <f t="shared" si="9"/>
        <v>-2.4574657918331377</v>
      </c>
      <c r="F621" s="7">
        <f>SQRT(IRS_returns_2015_25[[#This Row],[  σ2]])</f>
        <v>2.8777069191693538</v>
      </c>
    </row>
    <row r="622" spans="1:6" x14ac:dyDescent="0.3">
      <c r="A622" s="2">
        <v>42934</v>
      </c>
      <c r="B622" s="1">
        <v>-1.4395105725910184</v>
      </c>
      <c r="C622" s="1">
        <f>IRS_returns_2015_25[[#This Row],[IRSrtn]]-AVERAGE($B$2:$B$2600)</f>
        <v>-1.4452870666576343</v>
      </c>
      <c r="D622" s="1">
        <f>w+a*C621^2+b*D621</f>
        <v>8.8013873526527</v>
      </c>
      <c r="E622" s="1">
        <f t="shared" si="9"/>
        <v>-2.1250594328425492</v>
      </c>
      <c r="F622" s="7">
        <f>SQRT(IRS_returns_2015_25[[#This Row],[  σ2]])</f>
        <v>2.9667132238645344</v>
      </c>
    </row>
    <row r="623" spans="1:6" x14ac:dyDescent="0.3">
      <c r="A623" s="2">
        <v>42935</v>
      </c>
      <c r="B623" s="1">
        <v>-1.1933701467178093</v>
      </c>
      <c r="C623" s="1">
        <f>IRS_returns_2015_25[[#This Row],[IRSrtn]]-AVERAGE($B$2:$B$2600)</f>
        <v>-1.1991466407844251</v>
      </c>
      <c r="D623" s="1">
        <f>w+a*C622^2+b*D622</f>
        <v>7.7134440817572116</v>
      </c>
      <c r="E623" s="1">
        <f t="shared" si="9"/>
        <v>-2.033631733839417</v>
      </c>
      <c r="F623" s="7">
        <f>SQRT(IRS_returns_2015_25[[#This Row],[  σ2]])</f>
        <v>2.7773087840132598</v>
      </c>
    </row>
    <row r="624" spans="1:6" x14ac:dyDescent="0.3">
      <c r="A624" s="2">
        <v>42936</v>
      </c>
      <c r="B624" s="1">
        <v>3.4094069054864562</v>
      </c>
      <c r="C624" s="1">
        <f>IRS_returns_2015_25[[#This Row],[IRSrtn]]-AVERAGE($B$2:$B$2600)</f>
        <v>3.4036304114198406</v>
      </c>
      <c r="D624" s="1">
        <f>w+a*C623^2+b*D623</f>
        <v>6.8305899319065713</v>
      </c>
      <c r="E624" s="1">
        <f t="shared" si="9"/>
        <v>-2.7276454789110383</v>
      </c>
      <c r="F624" s="7">
        <f>SQRT(IRS_returns_2015_25[[#This Row],[  σ2]])</f>
        <v>2.6135397322226748</v>
      </c>
    </row>
    <row r="625" spans="1:6" x14ac:dyDescent="0.3">
      <c r="A625" s="2">
        <v>42937</v>
      </c>
      <c r="B625" s="1">
        <v>-0.68994170313247949</v>
      </c>
      <c r="C625" s="1">
        <f>IRS_returns_2015_25[[#This Row],[IRSrtn]]-AVERAGE($B$2:$B$2600)</f>
        <v>-0.69571819719909533</v>
      </c>
      <c r="D625" s="1">
        <f>w+a*C624^2+b*D624</f>
        <v>8.7151118049308423</v>
      </c>
      <c r="E625" s="1">
        <f t="shared" si="9"/>
        <v>-2.0292370126593946</v>
      </c>
      <c r="F625" s="7">
        <f>SQRT(IRS_returns_2015_25[[#This Row],[  σ2]])</f>
        <v>2.9521368201577043</v>
      </c>
    </row>
    <row r="626" spans="1:6" x14ac:dyDescent="0.3">
      <c r="A626" s="2">
        <v>42940</v>
      </c>
      <c r="B626" s="1">
        <v>-0.69475464150148269</v>
      </c>
      <c r="C626" s="1">
        <f>IRS_returns_2015_25[[#This Row],[IRSrtn]]-AVERAGE($B$2:$B$2600)</f>
        <v>-0.70053113556809854</v>
      </c>
      <c r="D626" s="1">
        <f>w+a*C625^2+b*D625</f>
        <v>7.2649923312038398</v>
      </c>
      <c r="E626" s="1">
        <f t="shared" si="9"/>
        <v>-1.9442467162044805</v>
      </c>
      <c r="F626" s="7">
        <f>SQRT(IRS_returns_2015_25[[#This Row],[  σ2]])</f>
        <v>2.6953649717995223</v>
      </c>
    </row>
    <row r="627" spans="1:6" x14ac:dyDescent="0.3">
      <c r="A627" s="2">
        <v>42941</v>
      </c>
      <c r="B627" s="1">
        <v>-0.4804648046781157</v>
      </c>
      <c r="C627" s="1">
        <f>IRS_returns_2015_25[[#This Row],[IRSrtn]]-AVERAGE($B$2:$B$2600)</f>
        <v>-0.48624129874473149</v>
      </c>
      <c r="D627" s="1">
        <f>w+a*C626^2+b*D626</f>
        <v>6.3012609027774023</v>
      </c>
      <c r="E627" s="1">
        <f t="shared" si="9"/>
        <v>-1.8580739901166949</v>
      </c>
      <c r="F627" s="7">
        <f>SQRT(IRS_returns_2015_25[[#This Row],[  σ2]])</f>
        <v>2.5102312448811168</v>
      </c>
    </row>
    <row r="628" spans="1:6" x14ac:dyDescent="0.3">
      <c r="A628" s="2">
        <v>42942</v>
      </c>
      <c r="B628" s="1">
        <v>-2.9773321210391224</v>
      </c>
      <c r="C628" s="1">
        <f>IRS_returns_2015_25[[#This Row],[IRSrtn]]-AVERAGE($B$2:$B$2600)</f>
        <v>-2.983108615105738</v>
      </c>
      <c r="D628" s="1">
        <f>w+a*C627^2+b*D627</f>
        <v>5.5977254139777219</v>
      </c>
      <c r="E628" s="1">
        <f t="shared" si="9"/>
        <v>-2.5749895075639397</v>
      </c>
      <c r="F628" s="7">
        <f>SQRT(IRS_returns_2015_25[[#This Row],[  σ2]])</f>
        <v>2.3659512704148669</v>
      </c>
    </row>
    <row r="629" spans="1:6" x14ac:dyDescent="0.3">
      <c r="A629" s="2">
        <v>42943</v>
      </c>
      <c r="B629" s="1">
        <v>0.62950004095285728</v>
      </c>
      <c r="C629" s="1">
        <f>IRS_returns_2015_25[[#This Row],[IRSrtn]]-AVERAGE($B$2:$B$2600)</f>
        <v>0.62372354688624143</v>
      </c>
      <c r="D629" s="1">
        <f>w+a*C628^2+b*D628</f>
        <v>7.2399877640035228</v>
      </c>
      <c r="E629" s="1">
        <f t="shared" si="9"/>
        <v>-1.935615122896472</v>
      </c>
      <c r="F629" s="7">
        <f>SQRT(IRS_returns_2015_25[[#This Row],[  σ2]])</f>
        <v>2.6907225356776427</v>
      </c>
    </row>
    <row r="630" spans="1:6" x14ac:dyDescent="0.3">
      <c r="A630" s="2">
        <v>42944</v>
      </c>
      <c r="B630" s="1">
        <v>0.17914035219304125</v>
      </c>
      <c r="C630" s="1">
        <f>IRS_returns_2015_25[[#This Row],[IRSrtn]]-AVERAGE($B$2:$B$2600)</f>
        <v>0.17336385812642546</v>
      </c>
      <c r="D630" s="1">
        <f>w+a*C629^2+b*D629</f>
        <v>6.2598326421006281</v>
      </c>
      <c r="E630" s="1">
        <f t="shared" si="9"/>
        <v>-1.8384158838034257</v>
      </c>
      <c r="F630" s="7">
        <f>SQRT(IRS_returns_2015_25[[#This Row],[  σ2]])</f>
        <v>2.5019657555811246</v>
      </c>
    </row>
    <row r="631" spans="1:6" x14ac:dyDescent="0.3">
      <c r="A631" s="2">
        <v>42947</v>
      </c>
      <c r="B631" s="1">
        <v>-0.40351295569154289</v>
      </c>
      <c r="C631" s="1">
        <f>IRS_returns_2015_25[[#This Row],[IRSrtn]]-AVERAGE($B$2:$B$2600)</f>
        <v>-0.40928944975815867</v>
      </c>
      <c r="D631" s="1">
        <f>w+a*C630^2+b*D630</f>
        <v>5.519862567730768</v>
      </c>
      <c r="E631" s="1">
        <f t="shared" si="9"/>
        <v>-1.7882891110415886</v>
      </c>
      <c r="F631" s="7">
        <f>SQRT(IRS_returns_2015_25[[#This Row],[  σ2]])</f>
        <v>2.3494387771829186</v>
      </c>
    </row>
    <row r="632" spans="1:6" x14ac:dyDescent="0.3">
      <c r="A632" s="2">
        <v>42948</v>
      </c>
      <c r="B632" s="1">
        <v>-1.1748878489884262</v>
      </c>
      <c r="C632" s="1">
        <f>IRS_returns_2015_25[[#This Row],[IRSrtn]]-AVERAGE($B$2:$B$2600)</f>
        <v>-1.1806643430550421</v>
      </c>
      <c r="D632" s="1">
        <f>w+a*C631^2+b*D631</f>
        <v>5.0607449077228583</v>
      </c>
      <c r="E632" s="1">
        <f t="shared" si="9"/>
        <v>-1.8674190042092882</v>
      </c>
      <c r="F632" s="7">
        <f>SQRT(IRS_returns_2015_25[[#This Row],[  σ2]])</f>
        <v>2.2496099456845533</v>
      </c>
    </row>
    <row r="633" spans="1:6" x14ac:dyDescent="0.3">
      <c r="A633" s="2">
        <v>42949</v>
      </c>
      <c r="B633" s="1">
        <v>9.0872411570330769E-2</v>
      </c>
      <c r="C633" s="1">
        <f>IRS_returns_2015_25[[#This Row],[IRSrtn]]-AVERAGE($B$2:$B$2600)</f>
        <v>8.509591750371498E-2</v>
      </c>
      <c r="D633" s="1">
        <f>w+a*C632^2+b*D632</f>
        <v>5.0539269735011922</v>
      </c>
      <c r="E633" s="1">
        <f t="shared" si="9"/>
        <v>-1.7297377178204865</v>
      </c>
      <c r="F633" s="7">
        <f>SQRT(IRS_returns_2015_25[[#This Row],[  σ2]])</f>
        <v>2.2480940757675585</v>
      </c>
    </row>
    <row r="634" spans="1:6" x14ac:dyDescent="0.3">
      <c r="A634" s="2">
        <v>42950</v>
      </c>
      <c r="B634" s="1">
        <v>1.9784909486303182</v>
      </c>
      <c r="C634" s="1">
        <f>IRS_returns_2015_25[[#This Row],[IRSrtn]]-AVERAGE($B$2:$B$2600)</f>
        <v>1.9727144545637023</v>
      </c>
      <c r="D634" s="1">
        <f>w+a*C633^2+b*D633</f>
        <v>4.7115124537685134</v>
      </c>
      <c r="E634" s="1">
        <f t="shared" si="9"/>
        <v>-2.106931667447502</v>
      </c>
      <c r="F634" s="7">
        <f>SQRT(IRS_returns_2015_25[[#This Row],[  σ2]])</f>
        <v>2.1706018644073155</v>
      </c>
    </row>
    <row r="635" spans="1:6" x14ac:dyDescent="0.3">
      <c r="A635" s="2">
        <v>42951</v>
      </c>
      <c r="B635" s="1">
        <v>1.677729172372544</v>
      </c>
      <c r="C635" s="1">
        <f>IRS_returns_2015_25[[#This Row],[IRSrtn]]-AVERAGE($B$2:$B$2600)</f>
        <v>1.6719526783059282</v>
      </c>
      <c r="D635" s="1">
        <f>w+a*C634^2+b*D634</f>
        <v>5.4299850454847007</v>
      </c>
      <c r="E635" s="1">
        <f t="shared" si="9"/>
        <v>-2.0223131188455725</v>
      </c>
      <c r="F635" s="7">
        <f>SQRT(IRS_returns_2015_25[[#This Row],[  σ2]])</f>
        <v>2.3302328307456106</v>
      </c>
    </row>
    <row r="636" spans="1:6" x14ac:dyDescent="0.3">
      <c r="A636" s="2">
        <v>42954</v>
      </c>
      <c r="B636" s="1">
        <v>-2.5272837944896764</v>
      </c>
      <c r="C636" s="1">
        <f>IRS_returns_2015_25[[#This Row],[IRSrtn]]-AVERAGE($B$2:$B$2600)</f>
        <v>-2.5330602885562921</v>
      </c>
      <c r="D636" s="1">
        <f>w+a*C635^2+b*D635</f>
        <v>5.6412010923177043</v>
      </c>
      <c r="E636" s="1">
        <f t="shared" si="9"/>
        <v>-2.3526952155917362</v>
      </c>
      <c r="F636" s="7">
        <f>SQRT(IRS_returns_2015_25[[#This Row],[  σ2]])</f>
        <v>2.375121279496629</v>
      </c>
    </row>
    <row r="637" spans="1:6" x14ac:dyDescent="0.3">
      <c r="A637" s="2">
        <v>42955</v>
      </c>
      <c r="B637" s="1">
        <v>0.13462149521399347</v>
      </c>
      <c r="C637" s="1">
        <f>IRS_returns_2015_25[[#This Row],[IRSrtn]]-AVERAGE($B$2:$B$2600)</f>
        <v>0.12884500114737768</v>
      </c>
      <c r="D637" s="1">
        <f>w+a*C636^2+b*D636</f>
        <v>6.6640593231774732</v>
      </c>
      <c r="E637" s="1">
        <f t="shared" si="9"/>
        <v>-1.8685485013521581</v>
      </c>
      <c r="F637" s="7">
        <f>SQRT(IRS_returns_2015_25[[#This Row],[  σ2]])</f>
        <v>2.5814839381986232</v>
      </c>
    </row>
    <row r="638" spans="1:6" x14ac:dyDescent="0.3">
      <c r="A638" s="2">
        <v>42956</v>
      </c>
      <c r="B638" s="1">
        <v>-0.35938740471430641</v>
      </c>
      <c r="C638" s="1">
        <f>IRS_returns_2015_25[[#This Row],[IRSrtn]]-AVERAGE($B$2:$B$2600)</f>
        <v>-0.3651638987809222</v>
      </c>
      <c r="D638" s="1">
        <f>w+a*C637^2+b*D637</f>
        <v>5.7856849630154805</v>
      </c>
      <c r="E638" s="1">
        <f t="shared" si="9"/>
        <v>-1.8081555837835188</v>
      </c>
      <c r="F638" s="7">
        <f>SQRT(IRS_returns_2015_25[[#This Row],[  σ2]])</f>
        <v>2.405345081898953</v>
      </c>
    </row>
    <row r="639" spans="1:6" x14ac:dyDescent="0.3">
      <c r="A639" s="2">
        <v>42957</v>
      </c>
      <c r="B639" s="1">
        <v>-0.40585817642369015</v>
      </c>
      <c r="C639" s="1">
        <f>IRS_returns_2015_25[[#This Row],[IRSrtn]]-AVERAGE($B$2:$B$2600)</f>
        <v>-0.41163467049030594</v>
      </c>
      <c r="D639" s="1">
        <f>w+a*C638^2+b*D638</f>
        <v>5.2293810314618918</v>
      </c>
      <c r="E639" s="1">
        <f t="shared" si="9"/>
        <v>-1.7622860606448552</v>
      </c>
      <c r="F639" s="7">
        <f>SQRT(IRS_returns_2015_25[[#This Row],[  σ2]])</f>
        <v>2.2867839931794807</v>
      </c>
    </row>
    <row r="640" spans="1:6" x14ac:dyDescent="0.3">
      <c r="A640" s="2">
        <v>42958</v>
      </c>
      <c r="B640" s="1">
        <v>1.1680260936516529</v>
      </c>
      <c r="C640" s="1">
        <f>IRS_returns_2015_25[[#This Row],[IRSrtn]]-AVERAGE($B$2:$B$2600)</f>
        <v>1.162249599585037</v>
      </c>
      <c r="D640" s="1">
        <f>w+a*C639^2+b*D639</f>
        <v>4.867835580411767</v>
      </c>
      <c r="E640" s="1">
        <f t="shared" si="9"/>
        <v>-1.8490132078460071</v>
      </c>
      <c r="F640" s="7">
        <f>SQRT(IRS_returns_2015_25[[#This Row],[  σ2]])</f>
        <v>2.2063171985033718</v>
      </c>
    </row>
    <row r="641" spans="1:6" x14ac:dyDescent="0.3">
      <c r="A641" s="2">
        <v>42961</v>
      </c>
      <c r="B641" s="1">
        <v>11.02613214558521</v>
      </c>
      <c r="C641" s="1">
        <f>IRS_returns_2015_25[[#This Row],[IRSrtn]]-AVERAGE($B$2:$B$2600)</f>
        <v>11.020355651518594</v>
      </c>
      <c r="D641" s="1">
        <f>w+a*C640^2+b*D640</f>
        <v>4.9149919457359017</v>
      </c>
      <c r="E641" s="1">
        <f t="shared" si="9"/>
        <v>-14.069960264588813</v>
      </c>
      <c r="F641" s="7">
        <f>SQRT(IRS_returns_2015_25[[#This Row],[  σ2]])</f>
        <v>2.2169781112442002</v>
      </c>
    </row>
    <row r="642" spans="1:6" x14ac:dyDescent="0.3">
      <c r="A642" s="2">
        <v>42962</v>
      </c>
      <c r="B642" s="1">
        <v>-2.8399452619730869</v>
      </c>
      <c r="C642" s="1">
        <f>IRS_returns_2015_25[[#This Row],[IRSrtn]]-AVERAGE($B$2:$B$2600)</f>
        <v>-2.8457217560397026</v>
      </c>
      <c r="D642" s="1">
        <f>w+a*C641^2+b*D641</f>
        <v>34.208092010000591</v>
      </c>
      <c r="E642" s="1">
        <f t="shared" ref="E642:E705" si="10">-0.5*(LN(2*PI())+LN(D642)+C642^2/D642)</f>
        <v>-2.8035353864101746</v>
      </c>
      <c r="F642" s="7">
        <f>SQRT(IRS_returns_2015_25[[#This Row],[  σ2]])</f>
        <v>5.8487684182228135</v>
      </c>
    </row>
    <row r="643" spans="1:6" x14ac:dyDescent="0.3">
      <c r="A643" s="2">
        <v>42963</v>
      </c>
      <c r="B643" s="1">
        <v>1.0642831227160698</v>
      </c>
      <c r="C643" s="1">
        <f>IRS_returns_2015_25[[#This Row],[IRSrtn]]-AVERAGE($B$2:$B$2600)</f>
        <v>1.058506628649454</v>
      </c>
      <c r="D643" s="1">
        <f>w+a*C642^2+b*D642</f>
        <v>26.09127110210715</v>
      </c>
      <c r="E643" s="1">
        <f t="shared" si="10"/>
        <v>-2.5712104196735543</v>
      </c>
      <c r="F643" s="7">
        <f>SQRT(IRS_returns_2015_25[[#This Row],[  σ2]])</f>
        <v>5.1079615407819148</v>
      </c>
    </row>
    <row r="644" spans="1:6" x14ac:dyDescent="0.3">
      <c r="A644" s="2">
        <v>42964</v>
      </c>
      <c r="B644" s="1">
        <v>0.811020747126312</v>
      </c>
      <c r="C644" s="1">
        <f>IRS_returns_2015_25[[#This Row],[IRSrtn]]-AVERAGE($B$2:$B$2600)</f>
        <v>0.80524425305969616</v>
      </c>
      <c r="D644" s="1">
        <f>w+a*C643^2+b*D643</f>
        <v>18.987653740571268</v>
      </c>
      <c r="E644" s="1">
        <f t="shared" si="10"/>
        <v>-2.4079077504934796</v>
      </c>
      <c r="F644" s="7">
        <f>SQRT(IRS_returns_2015_25[[#This Row],[  σ2]])</f>
        <v>4.3574825003172721</v>
      </c>
    </row>
    <row r="645" spans="1:6" x14ac:dyDescent="0.3">
      <c r="A645" s="2">
        <v>42965</v>
      </c>
      <c r="B645" s="1">
        <v>1.0845620219756658</v>
      </c>
      <c r="C645" s="1">
        <f>IRS_returns_2015_25[[#This Row],[IRSrtn]]-AVERAGE($B$2:$B$2600)</f>
        <v>1.0787855279090499</v>
      </c>
      <c r="D645" s="1">
        <f>w+a*C644^2+b*D644</f>
        <v>14.14364986729225</v>
      </c>
      <c r="E645" s="1">
        <f t="shared" si="10"/>
        <v>-2.2847127768219213</v>
      </c>
      <c r="F645" s="7">
        <f>SQRT(IRS_returns_2015_25[[#This Row],[  σ2]])</f>
        <v>3.7608044175803998</v>
      </c>
    </row>
    <row r="646" spans="1:6" x14ac:dyDescent="0.3">
      <c r="A646" s="2">
        <v>42968</v>
      </c>
      <c r="B646" s="1">
        <v>0.87511361654444286</v>
      </c>
      <c r="C646" s="1">
        <f>IRS_returns_2015_25[[#This Row],[IRSrtn]]-AVERAGE($B$2:$B$2600)</f>
        <v>0.86933712247782702</v>
      </c>
      <c r="D646" s="1">
        <f>w+a*C645^2+b*D645</f>
        <v>11.044482851890351</v>
      </c>
      <c r="E646" s="1">
        <f t="shared" si="10"/>
        <v>-2.1541178210153293</v>
      </c>
      <c r="F646" s="7">
        <f>SQRT(IRS_returns_2015_25[[#This Row],[  σ2]])</f>
        <v>3.3233240666372503</v>
      </c>
    </row>
    <row r="647" spans="1:6" x14ac:dyDescent="0.3">
      <c r="A647" s="2">
        <v>42969</v>
      </c>
      <c r="B647" s="1">
        <v>0.98523078260757124</v>
      </c>
      <c r="C647" s="1">
        <f>IRS_returns_2015_25[[#This Row],[IRSrtn]]-AVERAGE($B$2:$B$2600)</f>
        <v>0.9794542885409554</v>
      </c>
      <c r="D647" s="1">
        <f>w+a*C646^2+b*D646</f>
        <v>8.8818988690475429</v>
      </c>
      <c r="E647" s="1">
        <f t="shared" si="10"/>
        <v>-2.0649510388030414</v>
      </c>
      <c r="F647" s="7">
        <f>SQRT(IRS_returns_2015_25[[#This Row],[  σ2]])</f>
        <v>2.9802514774843321</v>
      </c>
    </row>
    <row r="648" spans="1:6" x14ac:dyDescent="0.3">
      <c r="A648" s="2">
        <v>42970</v>
      </c>
      <c r="B648" s="1">
        <v>-1.8203847798148765</v>
      </c>
      <c r="C648" s="1">
        <f>IRS_returns_2015_25[[#This Row],[IRSrtn]]-AVERAGE($B$2:$B$2600)</f>
        <v>-1.8261612738814923</v>
      </c>
      <c r="D648" s="1">
        <f>w+a*C647^2+b*D647</f>
        <v>7.4918336820217428</v>
      </c>
      <c r="E648" s="1">
        <f t="shared" si="10"/>
        <v>-2.1484119989124619</v>
      </c>
      <c r="F648" s="7">
        <f>SQRT(IRS_returns_2015_25[[#This Row],[  σ2]])</f>
        <v>2.7371214225937699</v>
      </c>
    </row>
    <row r="649" spans="1:6" x14ac:dyDescent="0.3">
      <c r="A649" s="2">
        <v>42971</v>
      </c>
      <c r="B649" s="1">
        <v>-0.56068467126677568</v>
      </c>
      <c r="C649" s="1">
        <f>IRS_returns_2015_25[[#This Row],[IRSrtn]]-AVERAGE($B$2:$B$2600)</f>
        <v>-0.56646116533339153</v>
      </c>
      <c r="D649" s="1">
        <f>w+a*C648^2+b*D648</f>
        <v>7.1452424360183784</v>
      </c>
      <c r="E649" s="1">
        <f t="shared" si="10"/>
        <v>-1.924615883362321</v>
      </c>
      <c r="F649" s="7">
        <f>SQRT(IRS_returns_2015_25[[#This Row],[  σ2]])</f>
        <v>2.6730586293641929</v>
      </c>
    </row>
    <row r="650" spans="1:6" x14ac:dyDescent="0.3">
      <c r="A650" s="2">
        <v>42972</v>
      </c>
      <c r="B650" s="1">
        <v>0.2406771816689357</v>
      </c>
      <c r="C650" s="1">
        <f>IRS_returns_2015_25[[#This Row],[IRSrtn]]-AVERAGE($B$2:$B$2600)</f>
        <v>0.23490068760231991</v>
      </c>
      <c r="D650" s="1">
        <f>w+a*C649^2+b*D649</f>
        <v>6.1801536770850767</v>
      </c>
      <c r="E650" s="1">
        <f t="shared" si="10"/>
        <v>-1.8340742576234237</v>
      </c>
      <c r="F650" s="7">
        <f>SQRT(IRS_returns_2015_25[[#This Row],[  σ2]])</f>
        <v>2.4859914877338332</v>
      </c>
    </row>
    <row r="651" spans="1:6" x14ac:dyDescent="0.3">
      <c r="A651" s="2">
        <v>42975</v>
      </c>
      <c r="B651" s="1">
        <v>-0.2406771816689357</v>
      </c>
      <c r="C651" s="1">
        <f>IRS_returns_2015_25[[#This Row],[IRSrtn]]-AVERAGE($B$2:$B$2600)</f>
        <v>-0.24645367573555149</v>
      </c>
      <c r="D651" s="1">
        <f>w+a*C650^2+b*D650</f>
        <v>5.4729402366513824</v>
      </c>
      <c r="E651" s="1">
        <f t="shared" si="10"/>
        <v>-1.7743955955225619</v>
      </c>
      <c r="F651" s="7">
        <f>SQRT(IRS_returns_2015_25[[#This Row],[  σ2]])</f>
        <v>2.3394316054656059</v>
      </c>
    </row>
    <row r="652" spans="1:6" x14ac:dyDescent="0.3">
      <c r="A652" s="2">
        <v>42976</v>
      </c>
      <c r="B652" s="1">
        <v>-0.16077991403640191</v>
      </c>
      <c r="C652" s="1">
        <f>IRS_returns_2015_25[[#This Row],[IRSrtn]]-AVERAGE($B$2:$B$2600)</f>
        <v>-0.16655640810301769</v>
      </c>
      <c r="D652" s="1">
        <f>w+a*C651^2+b*D651</f>
        <v>5.0034913856278838</v>
      </c>
      <c r="E652" s="1">
        <f t="shared" si="10"/>
        <v>-1.7267786741100299</v>
      </c>
      <c r="F652" s="7">
        <f>SQRT(IRS_returns_2015_25[[#This Row],[  σ2]])</f>
        <v>2.2368485388215009</v>
      </c>
    </row>
    <row r="653" spans="1:6" x14ac:dyDescent="0.3">
      <c r="A653" s="2">
        <v>42977</v>
      </c>
      <c r="B653" s="1">
        <v>-2.2783609258520077</v>
      </c>
      <c r="C653" s="1">
        <f>IRS_returns_2015_25[[#This Row],[IRSrtn]]-AVERAGE($B$2:$B$2600)</f>
        <v>-2.2841374199186233</v>
      </c>
      <c r="D653" s="1">
        <f>w+a*C652^2+b*D652</f>
        <v>4.6829313924764362</v>
      </c>
      <c r="E653" s="1">
        <f t="shared" si="10"/>
        <v>-2.2479538643235539</v>
      </c>
      <c r="F653" s="7">
        <f>SQRT(IRS_returns_2015_25[[#This Row],[  σ2]])</f>
        <v>2.1640081775437996</v>
      </c>
    </row>
    <row r="654" spans="1:6" x14ac:dyDescent="0.3">
      <c r="A654" s="2">
        <v>42978</v>
      </c>
      <c r="B654" s="1">
        <v>-0.41236473884107561</v>
      </c>
      <c r="C654" s="1">
        <f>IRS_returns_2015_25[[#This Row],[IRSrtn]]-AVERAGE($B$2:$B$2600)</f>
        <v>-0.4181412329076914</v>
      </c>
      <c r="D654" s="1">
        <f>w+a*C653^2+b*D653</f>
        <v>5.7339601300877199</v>
      </c>
      <c r="E654" s="1">
        <f t="shared" si="10"/>
        <v>-1.8073879302536418</v>
      </c>
      <c r="F654" s="7">
        <f>SQRT(IRS_returns_2015_25[[#This Row],[  σ2]])</f>
        <v>2.3945688818841107</v>
      </c>
    </row>
    <row r="655" spans="1:6" x14ac:dyDescent="0.3">
      <c r="A655" s="2">
        <v>42979</v>
      </c>
      <c r="B655" s="1">
        <v>3.4521069000957638</v>
      </c>
      <c r="C655" s="1">
        <f>IRS_returns_2015_25[[#This Row],[IRSrtn]]-AVERAGE($B$2:$B$2600)</f>
        <v>3.4463304060291482</v>
      </c>
      <c r="D655" s="1">
        <f>w+a*C654^2+b*D654</f>
        <v>5.2050577819106714</v>
      </c>
      <c r="E655" s="1">
        <f t="shared" si="10"/>
        <v>-2.8846820248818483</v>
      </c>
      <c r="F655" s="7">
        <f>SQRT(IRS_returns_2015_25[[#This Row],[  σ2]])</f>
        <v>2.2814595727101263</v>
      </c>
    </row>
    <row r="656" spans="1:6" x14ac:dyDescent="0.3">
      <c r="A656" s="2">
        <v>42983</v>
      </c>
      <c r="B656" s="1">
        <v>-0.52029914913700459</v>
      </c>
      <c r="C656" s="1">
        <f>IRS_returns_2015_25[[#This Row],[IRSrtn]]-AVERAGE($B$2:$B$2600)</f>
        <v>-0.52607564320362044</v>
      </c>
      <c r="D656" s="1">
        <f>w+a*C655^2+b*D655</f>
        <v>7.704233807099099</v>
      </c>
      <c r="E656" s="1">
        <f t="shared" si="10"/>
        <v>-1.9577848104175697</v>
      </c>
      <c r="F656" s="7">
        <f>SQRT(IRS_returns_2015_25[[#This Row],[  σ2]])</f>
        <v>2.7756501593498952</v>
      </c>
    </row>
    <row r="657" spans="1:6" x14ac:dyDescent="0.3">
      <c r="A657" s="2">
        <v>42984</v>
      </c>
      <c r="B657" s="1">
        <v>-0.32155092799102114</v>
      </c>
      <c r="C657" s="1">
        <f>IRS_returns_2015_25[[#This Row],[IRSrtn]]-AVERAGE($B$2:$B$2600)</f>
        <v>-0.32732742205763693</v>
      </c>
      <c r="D657" s="1">
        <f>w+a*C656^2+b*D656</f>
        <v>6.5415330972066217</v>
      </c>
      <c r="E657" s="1">
        <f t="shared" si="10"/>
        <v>-1.8662137710078286</v>
      </c>
      <c r="F657" s="7">
        <f>SQRT(IRS_returns_2015_25[[#This Row],[  σ2]])</f>
        <v>2.5576420971681362</v>
      </c>
    </row>
    <row r="658" spans="1:6" x14ac:dyDescent="0.3">
      <c r="A658" s="2">
        <v>42985</v>
      </c>
      <c r="B658" s="1">
        <v>0.56202612248292816</v>
      </c>
      <c r="C658" s="1">
        <f>IRS_returns_2015_25[[#This Row],[IRSrtn]]-AVERAGE($B$2:$B$2600)</f>
        <v>0.55624962841631231</v>
      </c>
      <c r="D658" s="1">
        <f>w+a*C657^2+b*D657</f>
        <v>5.7261777943421608</v>
      </c>
      <c r="E658" s="1">
        <f t="shared" si="10"/>
        <v>-1.8184801293464556</v>
      </c>
      <c r="F658" s="7">
        <f>SQRT(IRS_returns_2015_25[[#This Row],[  σ2]])</f>
        <v>2.3929433328731711</v>
      </c>
    </row>
    <row r="659" spans="1:6" x14ac:dyDescent="0.3">
      <c r="A659" s="2">
        <v>42986</v>
      </c>
      <c r="B659" s="1">
        <v>-1.2487617520647198</v>
      </c>
      <c r="C659" s="1">
        <f>IRS_returns_2015_25[[#This Row],[IRSrtn]]-AVERAGE($B$2:$B$2600)</f>
        <v>-1.2545382461313357</v>
      </c>
      <c r="D659" s="1">
        <f>w+a*C658^2+b*D658</f>
        <v>5.2326652800343583</v>
      </c>
      <c r="E659" s="1">
        <f t="shared" si="10"/>
        <v>-1.8967874950705965</v>
      </c>
      <c r="F659" s="7">
        <f>SQRT(IRS_returns_2015_25[[#This Row],[  σ2]])</f>
        <v>2.2875019737771503</v>
      </c>
    </row>
    <row r="660" spans="1:6" x14ac:dyDescent="0.3">
      <c r="A660" s="2">
        <v>42989</v>
      </c>
      <c r="B660" s="1">
        <v>1.3287888074282161</v>
      </c>
      <c r="C660" s="1">
        <f>IRS_returns_2015_25[[#This Row],[IRSrtn]]-AVERAGE($B$2:$B$2600)</f>
        <v>1.3230123133616003</v>
      </c>
      <c r="D660" s="1">
        <f>w+a*C659^2+b*D659</f>
        <v>5.2122093253273682</v>
      </c>
      <c r="E660" s="1">
        <f t="shared" si="10"/>
        <v>-1.9123501984942182</v>
      </c>
      <c r="F660" s="7">
        <f>SQRT(IRS_returns_2015_25[[#This Row],[  σ2]])</f>
        <v>2.2830263523068166</v>
      </c>
    </row>
    <row r="661" spans="1:6" x14ac:dyDescent="0.3">
      <c r="A661" s="2">
        <v>42990</v>
      </c>
      <c r="B661" s="1">
        <v>-2.1836709434593704</v>
      </c>
      <c r="C661" s="1">
        <f>IRS_returns_2015_25[[#This Row],[IRSrtn]]-AVERAGE($B$2:$B$2600)</f>
        <v>-2.189447437525986</v>
      </c>
      <c r="D661" s="1">
        <f>w+a*C660^2+b*D660</f>
        <v>5.2415945105511907</v>
      </c>
      <c r="E661" s="1">
        <f t="shared" si="10"/>
        <v>-2.2045244823903838</v>
      </c>
      <c r="F661" s="7">
        <f>SQRT(IRS_returns_2015_25[[#This Row],[  σ2]])</f>
        <v>2.2894528845449496</v>
      </c>
    </row>
    <row r="662" spans="1:6" x14ac:dyDescent="0.3">
      <c r="A662" s="2">
        <v>42991</v>
      </c>
      <c r="B662" s="1">
        <v>-0.2456030455845859</v>
      </c>
      <c r="C662" s="1">
        <f>IRS_returns_2015_25[[#This Row],[IRSrtn]]-AVERAGE($B$2:$B$2600)</f>
        <v>-0.25137953965120169</v>
      </c>
      <c r="D662" s="1">
        <f>w+a*C661^2+b*D661</f>
        <v>6.0026605683326588</v>
      </c>
      <c r="E662" s="1">
        <f t="shared" si="10"/>
        <v>-1.8203035714050357</v>
      </c>
      <c r="F662" s="7">
        <f>SQRT(IRS_returns_2015_25[[#This Row],[  σ2]])</f>
        <v>2.4500327688283394</v>
      </c>
    </row>
    <row r="663" spans="1:6" x14ac:dyDescent="0.3">
      <c r="A663" s="2">
        <v>42992</v>
      </c>
      <c r="B663" s="1">
        <v>0.61288028834862729</v>
      </c>
      <c r="C663" s="1">
        <f>IRS_returns_2015_25[[#This Row],[IRSrtn]]-AVERAGE($B$2:$B$2600)</f>
        <v>0.60710379428201144</v>
      </c>
      <c r="D663" s="1">
        <f>w+a*C662^2+b*D662</f>
        <v>5.3567325560734558</v>
      </c>
      <c r="E663" s="1">
        <f t="shared" si="10"/>
        <v>-1.7925185987624994</v>
      </c>
      <c r="F663" s="7">
        <f>SQRT(IRS_returns_2015_25[[#This Row],[  σ2]])</f>
        <v>2.3144616125728801</v>
      </c>
    </row>
    <row r="664" spans="1:6" x14ac:dyDescent="0.3">
      <c r="A664" s="2">
        <v>42993</v>
      </c>
      <c r="B664" s="1">
        <v>1.4557393720412204</v>
      </c>
      <c r="C664" s="1">
        <f>IRS_returns_2015_25[[#This Row],[IRSrtn]]-AVERAGE($B$2:$B$2600)</f>
        <v>1.4499628779746045</v>
      </c>
      <c r="D664" s="1">
        <f>w+a*C663^2+b*D663</f>
        <v>5.0011340638735282</v>
      </c>
      <c r="E664" s="1">
        <f t="shared" si="10"/>
        <v>-1.9339624435693674</v>
      </c>
      <c r="F664" s="7">
        <f>SQRT(IRS_returns_2015_25[[#This Row],[  σ2]])</f>
        <v>2.2363215475135787</v>
      </c>
    </row>
    <row r="665" spans="1:6" x14ac:dyDescent="0.3">
      <c r="A665" s="2">
        <v>42996</v>
      </c>
      <c r="B665" s="1">
        <v>-0.5232310223464598</v>
      </c>
      <c r="C665" s="1">
        <f>IRS_returns_2015_25[[#This Row],[IRSrtn]]-AVERAGE($B$2:$B$2600)</f>
        <v>-0.52900751641307564</v>
      </c>
      <c r="D665" s="1">
        <f>w+a*C664^2+b*D664</f>
        <v>5.186850396009695</v>
      </c>
      <c r="E665" s="1">
        <f t="shared" si="10"/>
        <v>-1.7689786307966651</v>
      </c>
      <c r="F665" s="7">
        <f>SQRT(IRS_returns_2015_25[[#This Row],[  σ2]])</f>
        <v>2.2774657837187577</v>
      </c>
    </row>
    <row r="666" spans="1:6" x14ac:dyDescent="0.3">
      <c r="A666" s="2">
        <v>42997</v>
      </c>
      <c r="B666" s="1">
        <v>0.36253383611657419</v>
      </c>
      <c r="C666" s="1">
        <f>IRS_returns_2015_25[[#This Row],[IRSrtn]]-AVERAGE($B$2:$B$2600)</f>
        <v>0.3567573420499584</v>
      </c>
      <c r="D666" s="1">
        <f>w+a*C665^2+b*D665</f>
        <v>4.8664225854992136</v>
      </c>
      <c r="E666" s="1">
        <f t="shared" si="10"/>
        <v>-1.7231950125585278</v>
      </c>
      <c r="F666" s="7">
        <f>SQRT(IRS_returns_2015_25[[#This Row],[  σ2]])</f>
        <v>2.2059969595398843</v>
      </c>
    </row>
    <row r="667" spans="1:6" x14ac:dyDescent="0.3">
      <c r="A667" s="2">
        <v>42998</v>
      </c>
      <c r="B667" s="1">
        <v>-1.744113954009574</v>
      </c>
      <c r="C667" s="1">
        <f>IRS_returns_2015_25[[#This Row],[IRSrtn]]-AVERAGE($B$2:$B$2600)</f>
        <v>-1.7498904480761899</v>
      </c>
      <c r="D667" s="1">
        <f>w+a*C666^2+b*D666</f>
        <v>4.6159340235933435</v>
      </c>
      <c r="E667" s="1">
        <f t="shared" si="10"/>
        <v>-2.0153854636214819</v>
      </c>
      <c r="F667" s="7">
        <f>SQRT(IRS_returns_2015_25[[#This Row],[  σ2]])</f>
        <v>2.1484724861150406</v>
      </c>
    </row>
    <row r="668" spans="1:6" x14ac:dyDescent="0.3">
      <c r="A668" s="2">
        <v>42999</v>
      </c>
      <c r="B668" s="1">
        <v>0.44907176819823924</v>
      </c>
      <c r="C668" s="1">
        <f>IRS_returns_2015_25[[#This Row],[IRSrtn]]-AVERAGE($B$2:$B$2600)</f>
        <v>0.44329527413162345</v>
      </c>
      <c r="D668" s="1">
        <f>w+a*C667^2+b*D667</f>
        <v>5.1642528786000828</v>
      </c>
      <c r="E668" s="1">
        <f t="shared" si="10"/>
        <v>-1.7588448070625413</v>
      </c>
      <c r="F668" s="7">
        <f>SQRT(IRS_returns_2015_25[[#This Row],[  σ2]])</f>
        <v>2.272499258217719</v>
      </c>
    </row>
    <row r="669" spans="1:6" x14ac:dyDescent="0.3">
      <c r="A669" s="2">
        <v>43000</v>
      </c>
      <c r="B669" s="1">
        <v>0.7709401147836914</v>
      </c>
      <c r="C669" s="1">
        <f>IRS_returns_2015_25[[#This Row],[IRSrtn]]-AVERAGE($B$2:$B$2600)</f>
        <v>0.76516362071707555</v>
      </c>
      <c r="D669" s="1">
        <f>w+a*C668^2+b*D668</f>
        <v>4.8310736945658359</v>
      </c>
      <c r="E669" s="1">
        <f t="shared" si="10"/>
        <v>-1.7670676491501562</v>
      </c>
      <c r="F669" s="7">
        <f>SQRT(IRS_returns_2015_25[[#This Row],[  σ2]])</f>
        <v>2.1979703579816166</v>
      </c>
    </row>
    <row r="670" spans="1:6" x14ac:dyDescent="0.3">
      <c r="A670" s="2">
        <v>43003</v>
      </c>
      <c r="B670" s="1">
        <v>-0.9748195390715253</v>
      </c>
      <c r="C670" s="1">
        <f>IRS_returns_2015_25[[#This Row],[IRSrtn]]-AVERAGE($B$2:$B$2600)</f>
        <v>-0.98059603313814114</v>
      </c>
      <c r="D670" s="1">
        <f>w+a*C669^2+b*D669</f>
        <v>4.7040418942438924</v>
      </c>
      <c r="E670" s="1">
        <f t="shared" si="10"/>
        <v>-1.7953562259310092</v>
      </c>
      <c r="F670" s="7">
        <f>SQRT(IRS_returns_2015_25[[#This Row],[  σ2]])</f>
        <v>2.1688803319325602</v>
      </c>
    </row>
    <row r="671" spans="1:6" x14ac:dyDescent="0.3">
      <c r="A671" s="2">
        <v>43004</v>
      </c>
      <c r="B671" s="1">
        <v>-1.314729193076003</v>
      </c>
      <c r="C671" s="1">
        <f>IRS_returns_2015_25[[#This Row],[IRSrtn]]-AVERAGE($B$2:$B$2600)</f>
        <v>-1.3205056871426188</v>
      </c>
      <c r="D671" s="1">
        <f>w+a*C670^2+b*D670</f>
        <v>4.7111097262019825</v>
      </c>
      <c r="E671" s="1">
        <f t="shared" si="10"/>
        <v>-1.8789665763300485</v>
      </c>
      <c r="F671" s="7">
        <f>SQRT(IRS_returns_2015_25[[#This Row],[  σ2]])</f>
        <v>2.1705090937846778</v>
      </c>
    </row>
    <row r="672" spans="1:6" x14ac:dyDescent="0.3">
      <c r="A672" s="2">
        <v>43005</v>
      </c>
      <c r="B672" s="1">
        <v>-0.95574915782163927</v>
      </c>
      <c r="C672" s="1">
        <f>IRS_returns_2015_25[[#This Row],[IRSrtn]]-AVERAGE($B$2:$B$2600)</f>
        <v>-0.96152565188825512</v>
      </c>
      <c r="D672" s="1">
        <f>w+a*C671^2+b*D671</f>
        <v>4.9063896331018437</v>
      </c>
      <c r="E672" s="1">
        <f t="shared" si="10"/>
        <v>-1.8084248117353123</v>
      </c>
      <c r="F672" s="7">
        <f>SQRT(IRS_returns_2015_25[[#This Row],[  σ2]])</f>
        <v>2.2150371629166505</v>
      </c>
    </row>
    <row r="673" spans="1:6" x14ac:dyDescent="0.3">
      <c r="A673" s="2">
        <v>43006</v>
      </c>
      <c r="B673" s="1">
        <v>1.2035933408786281</v>
      </c>
      <c r="C673" s="1">
        <f>IRS_returns_2015_25[[#This Row],[IRSrtn]]-AVERAGE($B$2:$B$2600)</f>
        <v>1.1978168468120123</v>
      </c>
      <c r="D673" s="1">
        <f>w+a*C672^2+b*D672</f>
        <v>4.8367919411419953</v>
      </c>
      <c r="E673" s="1">
        <f t="shared" si="10"/>
        <v>-1.8553822262963091</v>
      </c>
      <c r="F673" s="7">
        <f>SQRT(IRS_returns_2015_25[[#This Row],[  σ2]])</f>
        <v>2.1992707748574287</v>
      </c>
    </row>
    <row r="674" spans="1:6" x14ac:dyDescent="0.3">
      <c r="A674" s="2">
        <v>43007</v>
      </c>
      <c r="B674" s="1">
        <v>1.270764434306848</v>
      </c>
      <c r="C674" s="1">
        <f>IRS_returns_2015_25[[#This Row],[IRSrtn]]-AVERAGE($B$2:$B$2600)</f>
        <v>1.2649879402402322</v>
      </c>
      <c r="D674" s="1">
        <f>w+a*C673^2+b*D673</f>
        <v>4.9147778977391292</v>
      </c>
      <c r="E674" s="1">
        <f t="shared" si="10"/>
        <v>-1.8778559965337829</v>
      </c>
      <c r="F674" s="7">
        <f>SQRT(IRS_returns_2015_25[[#This Row],[  σ2]])</f>
        <v>2.2169298359982279</v>
      </c>
    </row>
    <row r="675" spans="1:6" x14ac:dyDescent="0.3">
      <c r="A675" s="2">
        <v>43010</v>
      </c>
      <c r="B675" s="1">
        <v>2.5735272226125705</v>
      </c>
      <c r="C675" s="1">
        <f>IRS_returns_2015_25[[#This Row],[IRSrtn]]-AVERAGE($B$2:$B$2600)</f>
        <v>2.5677507285459549</v>
      </c>
      <c r="D675" s="1">
        <f>w+a*C674^2+b*D674</f>
        <v>5.0070012608122774</v>
      </c>
      <c r="E675" s="1">
        <f t="shared" si="10"/>
        <v>-2.3827695627397141</v>
      </c>
      <c r="F675" s="7">
        <f>SQRT(IRS_returns_2015_25[[#This Row],[  σ2]])</f>
        <v>2.2376329593595723</v>
      </c>
    </row>
    <row r="676" spans="1:6" x14ac:dyDescent="0.3">
      <c r="A676" s="2">
        <v>43011</v>
      </c>
      <c r="B676" s="1">
        <v>-1.1579379440019189</v>
      </c>
      <c r="C676" s="1">
        <f>IRS_returns_2015_25[[#This Row],[IRSrtn]]-AVERAGE($B$2:$B$2600)</f>
        <v>-1.1637144380685347</v>
      </c>
      <c r="D676" s="1">
        <f>w+a*C675^2+b*D675</f>
        <v>6.284975570906683</v>
      </c>
      <c r="E676" s="1">
        <f t="shared" si="10"/>
        <v>-1.9457551159596427</v>
      </c>
      <c r="F676" s="7">
        <f>SQRT(IRS_returns_2015_25[[#This Row],[  σ2]])</f>
        <v>2.5069853551440389</v>
      </c>
    </row>
    <row r="677" spans="1:6" x14ac:dyDescent="0.3">
      <c r="A677" s="2">
        <v>43012</v>
      </c>
      <c r="B677" s="1">
        <v>-0.2010107784021109</v>
      </c>
      <c r="C677" s="1">
        <f>IRS_returns_2015_25[[#This Row],[IRSrtn]]-AVERAGE($B$2:$B$2600)</f>
        <v>-0.20678727246872669</v>
      </c>
      <c r="D677" s="1">
        <f>w+a*C676^2+b*D676</f>
        <v>5.8592358766710717</v>
      </c>
      <c r="E677" s="1">
        <f t="shared" si="10"/>
        <v>-1.8065971557764293</v>
      </c>
      <c r="F677" s="7">
        <f>SQRT(IRS_returns_2015_25[[#This Row],[  σ2]])</f>
        <v>2.4205858540177978</v>
      </c>
    </row>
    <row r="678" spans="1:6" x14ac:dyDescent="0.3">
      <c r="A678" s="2">
        <v>43013</v>
      </c>
      <c r="B678" s="1">
        <v>1.001010606883268</v>
      </c>
      <c r="C678" s="1">
        <f>IRS_returns_2015_25[[#This Row],[IRSrtn]]-AVERAGE($B$2:$B$2600)</f>
        <v>0.99523411281665219</v>
      </c>
      <c r="D678" s="1">
        <f>w+a*C677^2+b*D677</f>
        <v>5.2562744071559662</v>
      </c>
      <c r="E678" s="1">
        <f t="shared" si="10"/>
        <v>-1.8428696431733129</v>
      </c>
      <c r="F678" s="7">
        <f>SQRT(IRS_returns_2015_25[[#This Row],[  σ2]])</f>
        <v>2.2926566265265205</v>
      </c>
    </row>
    <row r="679" spans="1:6" x14ac:dyDescent="0.3">
      <c r="A679" s="2">
        <v>43014</v>
      </c>
      <c r="B679" s="1">
        <v>2.0895733956024731</v>
      </c>
      <c r="C679" s="1">
        <f>IRS_returns_2015_25[[#This Row],[IRSrtn]]-AVERAGE($B$2:$B$2600)</f>
        <v>2.0837969015358575</v>
      </c>
      <c r="D679" s="1">
        <f>w+a*C678^2+b*D678</f>
        <v>5.0857870657963051</v>
      </c>
      <c r="E679" s="1">
        <f t="shared" si="10"/>
        <v>-2.1590599457379862</v>
      </c>
      <c r="F679" s="7">
        <f>SQRT(IRS_returns_2015_25[[#This Row],[  σ2]])</f>
        <v>2.2551689661301002</v>
      </c>
    </row>
    <row r="680" spans="1:6" x14ac:dyDescent="0.3">
      <c r="A680" s="2">
        <v>43017</v>
      </c>
      <c r="B680" s="1">
        <v>-2.8494231306530615</v>
      </c>
      <c r="C680" s="1">
        <f>IRS_returns_2015_25[[#This Row],[IRSrtn]]-AVERAGE($B$2:$B$2600)</f>
        <v>-2.8551996247196771</v>
      </c>
      <c r="D680" s="1">
        <f>w+a*C679^2+b*D679</f>
        <v>5.7889362520148353</v>
      </c>
      <c r="E680" s="1">
        <f t="shared" si="10"/>
        <v>-2.5010287770254935</v>
      </c>
      <c r="F680" s="7">
        <f>SQRT(IRS_returns_2015_25[[#This Row],[  σ2]])</f>
        <v>2.4060208336618443</v>
      </c>
    </row>
    <row r="681" spans="1:6" x14ac:dyDescent="0.3">
      <c r="A681" s="2">
        <v>43018</v>
      </c>
      <c r="B681" s="1">
        <v>0.60036994909014041</v>
      </c>
      <c r="C681" s="1">
        <f>IRS_returns_2015_25[[#This Row],[IRSrtn]]-AVERAGE($B$2:$B$2600)</f>
        <v>0.59459345502352456</v>
      </c>
      <c r="D681" s="1">
        <f>w+a*C680^2+b*D680</f>
        <v>7.1853291621284789</v>
      </c>
      <c r="E681" s="1">
        <f t="shared" si="10"/>
        <v>-1.9295608117945908</v>
      </c>
      <c r="F681" s="7">
        <f>SQRT(IRS_returns_2015_25[[#This Row],[  σ2]])</f>
        <v>2.6805464297654833</v>
      </c>
    </row>
    <row r="682" spans="1:6" x14ac:dyDescent="0.3">
      <c r="A682" s="2">
        <v>43019</v>
      </c>
      <c r="B682" s="1">
        <v>-1.2851692063476694</v>
      </c>
      <c r="C682" s="1">
        <f>IRS_returns_2015_25[[#This Row],[IRSrtn]]-AVERAGE($B$2:$B$2600)</f>
        <v>-1.2909457004142852</v>
      </c>
      <c r="D682" s="1">
        <f>w+a*C681^2+b*D681</f>
        <v>6.214798443473871</v>
      </c>
      <c r="E682" s="1">
        <f t="shared" si="10"/>
        <v>-1.9664836073020724</v>
      </c>
      <c r="F682" s="7">
        <f>SQRT(IRS_returns_2015_25[[#This Row],[  σ2]])</f>
        <v>2.4929497474826627</v>
      </c>
    </row>
    <row r="683" spans="1:6" x14ac:dyDescent="0.3">
      <c r="A683" s="2">
        <v>43020</v>
      </c>
      <c r="B683" s="1">
        <v>-0.48622193282175097</v>
      </c>
      <c r="C683" s="1">
        <f>IRS_returns_2015_25[[#This Row],[IRSrtn]]-AVERAGE($B$2:$B$2600)</f>
        <v>-0.49199842688836676</v>
      </c>
      <c r="D683" s="1">
        <f>w+a*C682^2+b*D682</f>
        <v>5.8886119294609092</v>
      </c>
      <c r="E683" s="1">
        <f t="shared" si="10"/>
        <v>-1.8260021243269007</v>
      </c>
      <c r="F683" s="7">
        <f>SQRT(IRS_returns_2015_25[[#This Row],[  σ2]])</f>
        <v>2.426646230801043</v>
      </c>
    </row>
    <row r="684" spans="1:6" x14ac:dyDescent="0.3">
      <c r="A684" s="2">
        <v>43021</v>
      </c>
      <c r="B684" s="1">
        <v>-1.5142395569635259</v>
      </c>
      <c r="C684" s="1">
        <f>IRS_returns_2015_25[[#This Row],[IRSrtn]]-AVERAGE($B$2:$B$2600)</f>
        <v>-1.5200160510301417</v>
      </c>
      <c r="D684" s="1">
        <f>w+a*C683^2+b*D683</f>
        <v>5.3243902950101134</v>
      </c>
      <c r="E684" s="1">
        <f t="shared" si="10"/>
        <v>-1.9720560278675201</v>
      </c>
      <c r="F684" s="7">
        <f>SQRT(IRS_returns_2015_25[[#This Row],[  σ2]])</f>
        <v>2.3074640398086625</v>
      </c>
    </row>
    <row r="685" spans="1:6" x14ac:dyDescent="0.3">
      <c r="A685" s="2">
        <v>43024</v>
      </c>
      <c r="B685" s="1">
        <v>2.2427115096778305</v>
      </c>
      <c r="C685" s="1">
        <f>IRS_returns_2015_25[[#This Row],[IRSrtn]]-AVERAGE($B$2:$B$2600)</f>
        <v>2.2369350156112149</v>
      </c>
      <c r="D685" s="1">
        <f>w+a*C684^2+b*D684</f>
        <v>5.4527403771774665</v>
      </c>
      <c r="E685" s="1">
        <f t="shared" si="10"/>
        <v>-2.2258383705175522</v>
      </c>
      <c r="F685" s="7">
        <f>SQRT(IRS_returns_2015_25[[#This Row],[  σ2]])</f>
        <v>2.3351103565308144</v>
      </c>
    </row>
    <row r="686" spans="1:6" x14ac:dyDescent="0.3">
      <c r="A686" s="2">
        <v>43025</v>
      </c>
      <c r="B686" s="1">
        <v>1.6000250412570693</v>
      </c>
      <c r="C686" s="1">
        <f>IRS_returns_2015_25[[#This Row],[IRSrtn]]-AVERAGE($B$2:$B$2600)</f>
        <v>1.5942485471904535</v>
      </c>
      <c r="D686" s="1">
        <f>w+a*C685^2+b*D685</f>
        <v>6.1944386392232538</v>
      </c>
      <c r="E686" s="1">
        <f t="shared" si="10"/>
        <v>-2.0359185377095366</v>
      </c>
      <c r="F686" s="7">
        <f>SQRT(IRS_returns_2015_25[[#This Row],[  σ2]])</f>
        <v>2.4888629209386468</v>
      </c>
    </row>
    <row r="687" spans="1:6" x14ac:dyDescent="0.3">
      <c r="A687" s="2">
        <v>43026</v>
      </c>
      <c r="B687" s="1">
        <v>-0.15885537218625068</v>
      </c>
      <c r="C687" s="1">
        <f>IRS_returns_2015_25[[#This Row],[IRSrtn]]-AVERAGE($B$2:$B$2600)</f>
        <v>-0.16463186625286647</v>
      </c>
      <c r="D687" s="1">
        <f>w+a*C686^2+b*D686</f>
        <v>6.0882729658854444</v>
      </c>
      <c r="E687" s="1">
        <f t="shared" si="10"/>
        <v>-1.8243466513003994</v>
      </c>
      <c r="F687" s="7">
        <f>SQRT(IRS_returns_2015_25[[#This Row],[  σ2]])</f>
        <v>2.4674425962695556</v>
      </c>
    </row>
    <row r="688" spans="1:6" x14ac:dyDescent="0.3">
      <c r="A688" s="2">
        <v>43027</v>
      </c>
      <c r="B688" s="1">
        <v>-1.6430008729304557</v>
      </c>
      <c r="C688" s="1">
        <f>IRS_returns_2015_25[[#This Row],[IRSrtn]]-AVERAGE($B$2:$B$2600)</f>
        <v>-1.6487773669970716</v>
      </c>
      <c r="D688" s="1">
        <f>w+a*C687^2+b*D687</f>
        <v>5.4049333218819573</v>
      </c>
      <c r="E688" s="1">
        <f t="shared" si="10"/>
        <v>-2.0140747332033335</v>
      </c>
      <c r="F688" s="7">
        <f>SQRT(IRS_returns_2015_25[[#This Row],[  σ2]])</f>
        <v>2.3248512472590495</v>
      </c>
    </row>
    <row r="689" spans="1:6" x14ac:dyDescent="0.3">
      <c r="A689" s="2">
        <v>43028</v>
      </c>
      <c r="B689" s="1">
        <v>0.60423034779404361</v>
      </c>
      <c r="C689" s="1">
        <f>IRS_returns_2015_25[[#This Row],[IRSrtn]]-AVERAGE($B$2:$B$2600)</f>
        <v>0.59845385372742776</v>
      </c>
      <c r="D689" s="1">
        <f>w+a*C688^2+b*D688</f>
        <v>5.6057727102201795</v>
      </c>
      <c r="E689" s="1">
        <f t="shared" si="10"/>
        <v>-1.8127814695262361</v>
      </c>
      <c r="F689" s="7">
        <f>SQRT(IRS_returns_2015_25[[#This Row],[  σ2]])</f>
        <v>2.3676513067215321</v>
      </c>
    </row>
    <row r="690" spans="1:6" x14ac:dyDescent="0.3">
      <c r="A690" s="2">
        <v>43031</v>
      </c>
      <c r="B690" s="1">
        <v>8.0598672685798345</v>
      </c>
      <c r="C690" s="1">
        <f>IRS_returns_2015_25[[#This Row],[IRSrtn]]-AVERAGE($B$2:$B$2600)</f>
        <v>8.0540907745132184</v>
      </c>
      <c r="D690" s="1">
        <f>w+a*C689^2+b*D689</f>
        <v>5.1643834765040744</v>
      </c>
      <c r="E690" s="1">
        <f t="shared" si="10"/>
        <v>-8.0201917256534774</v>
      </c>
      <c r="F690" s="7">
        <f>SQRT(IRS_returns_2015_25[[#This Row],[  σ2]])</f>
        <v>2.2725279924577548</v>
      </c>
    </row>
    <row r="691" spans="1:6" x14ac:dyDescent="0.3">
      <c r="A691" s="2">
        <v>43032</v>
      </c>
      <c r="B691" s="1">
        <v>7.0103708153296473</v>
      </c>
      <c r="C691" s="1">
        <f>IRS_returns_2015_25[[#This Row],[IRSrtn]]-AVERAGE($B$2:$B$2600)</f>
        <v>7.0045943212630313</v>
      </c>
      <c r="D691" s="1">
        <f>w+a*C690^2+b*D690</f>
        <v>20.588446197825625</v>
      </c>
      <c r="E691" s="1">
        <f t="shared" si="10"/>
        <v>-3.6228539360701832</v>
      </c>
      <c r="F691" s="7">
        <f>SQRT(IRS_returns_2015_25[[#This Row],[  σ2]])</f>
        <v>4.5374493052623324</v>
      </c>
    </row>
    <row r="692" spans="1:6" x14ac:dyDescent="0.3">
      <c r="A692" s="2">
        <v>43033</v>
      </c>
      <c r="B692" s="1">
        <v>-1.742198553621499</v>
      </c>
      <c r="C692" s="1">
        <f>IRS_returns_2015_25[[#This Row],[IRSrtn]]-AVERAGE($B$2:$B$2600)</f>
        <v>-1.7479750476881148</v>
      </c>
      <c r="D692" s="1">
        <f>w+a*C691^2+b*D691</f>
        <v>27.005852676165496</v>
      </c>
      <c r="E692" s="1">
        <f t="shared" si="10"/>
        <v>-2.6235348670029799</v>
      </c>
      <c r="F692" s="7">
        <f>SQRT(IRS_returns_2015_25[[#This Row],[  σ2]])</f>
        <v>5.1967155662173292</v>
      </c>
    </row>
    <row r="693" spans="1:6" x14ac:dyDescent="0.3">
      <c r="A693" s="2">
        <v>43034</v>
      </c>
      <c r="B693" s="1">
        <v>-0.31684212311997584</v>
      </c>
      <c r="C693" s="1">
        <f>IRS_returns_2015_25[[#This Row],[IRSrtn]]-AVERAGE($B$2:$B$2600)</f>
        <v>-0.32261861718659163</v>
      </c>
      <c r="D693" s="1">
        <f>w+a*C692^2+b*D692</f>
        <v>20.067963527692108</v>
      </c>
      <c r="E693" s="1">
        <f t="shared" si="10"/>
        <v>-2.4210941347561206</v>
      </c>
      <c r="F693" s="7">
        <f>SQRT(IRS_returns_2015_25[[#This Row],[  σ2]])</f>
        <v>4.47972806403381</v>
      </c>
    </row>
    <row r="694" spans="1:6" x14ac:dyDescent="0.3">
      <c r="A694" s="2">
        <v>43035</v>
      </c>
      <c r="B694" s="1">
        <v>-1.2061212973139668</v>
      </c>
      <c r="C694" s="1">
        <f>IRS_returns_2015_25[[#This Row],[IRSrtn]]-AVERAGE($B$2:$B$2600)</f>
        <v>-1.2118977913805826</v>
      </c>
      <c r="D694" s="1">
        <f>w+a*C693^2+b*D693</f>
        <v>14.730202920936435</v>
      </c>
      <c r="E694" s="1">
        <f t="shared" si="10"/>
        <v>-2.3137417619438239</v>
      </c>
      <c r="F694" s="7">
        <f>SQRT(IRS_returns_2015_25[[#This Row],[  σ2]])</f>
        <v>3.8379946483725633</v>
      </c>
    </row>
    <row r="695" spans="1:6" x14ac:dyDescent="0.3">
      <c r="A695" s="2">
        <v>43038</v>
      </c>
      <c r="B695" s="1">
        <v>0.10701051768142733</v>
      </c>
      <c r="C695" s="1">
        <f>IRS_returns_2015_25[[#This Row],[IRSrtn]]-AVERAGE($B$2:$B$2600)</f>
        <v>0.10123402361481154</v>
      </c>
      <c r="D695" s="1">
        <f>w+a*C694^2+b*D694</f>
        <v>11.509254233258094</v>
      </c>
      <c r="E695" s="1">
        <f t="shared" si="10"/>
        <v>-2.1409594682334441</v>
      </c>
      <c r="F695" s="7">
        <f>SQRT(IRS_returns_2015_25[[#This Row],[  σ2]])</f>
        <v>3.3925291794261834</v>
      </c>
    </row>
    <row r="696" spans="1:6" x14ac:dyDescent="0.3">
      <c r="A696" s="2">
        <v>43039</v>
      </c>
      <c r="B696" s="1">
        <v>3.7436482110337899</v>
      </c>
      <c r="C696" s="1">
        <f>IRS_returns_2015_25[[#This Row],[IRSrtn]]-AVERAGE($B$2:$B$2600)</f>
        <v>3.7378717169671742</v>
      </c>
      <c r="D696" s="1">
        <f>w+a*C695^2+b*D695</f>
        <v>9.009664358425594</v>
      </c>
      <c r="E696" s="1">
        <f t="shared" si="10"/>
        <v>-2.7934595550808368</v>
      </c>
      <c r="F696" s="7">
        <f>SQRT(IRS_returns_2015_25[[#This Row],[  σ2]])</f>
        <v>3.0016102942296814</v>
      </c>
    </row>
    <row r="697" spans="1:6" x14ac:dyDescent="0.3">
      <c r="A697" s="2">
        <v>43040</v>
      </c>
      <c r="B697" s="1">
        <v>-0.55095475609485689</v>
      </c>
      <c r="C697" s="1">
        <f>IRS_returns_2015_25[[#This Row],[IRSrtn]]-AVERAGE($B$2:$B$2600)</f>
        <v>-0.55673125016147273</v>
      </c>
      <c r="D697" s="1">
        <f>w+a*C696^2+b*D696</f>
        <v>10.747346412273956</v>
      </c>
      <c r="E697" s="1">
        <f t="shared" si="10"/>
        <v>-2.1206877964519184</v>
      </c>
      <c r="F697" s="7">
        <f>SQRT(IRS_returns_2015_25[[#This Row],[  σ2]])</f>
        <v>3.2783145688408175</v>
      </c>
    </row>
    <row r="698" spans="1:6" x14ac:dyDescent="0.3">
      <c r="A698" s="2">
        <v>43041</v>
      </c>
      <c r="B698" s="1">
        <v>2.5568151207977508</v>
      </c>
      <c r="C698" s="1">
        <f>IRS_returns_2015_25[[#This Row],[IRSrtn]]-AVERAGE($B$2:$B$2600)</f>
        <v>2.5510386267311351</v>
      </c>
      <c r="D698" s="1">
        <f>w+a*C697^2+b*D697</f>
        <v>8.5754717544021872</v>
      </c>
      <c r="E698" s="1">
        <f t="shared" si="10"/>
        <v>-2.3728341060627454</v>
      </c>
      <c r="F698" s="7">
        <f>SQRT(IRS_returns_2015_25[[#This Row],[  σ2]])</f>
        <v>2.9283906423840018</v>
      </c>
    </row>
    <row r="699" spans="1:6" x14ac:dyDescent="0.3">
      <c r="A699" s="2">
        <v>43042</v>
      </c>
      <c r="B699" s="1">
        <v>0.97136940852826648</v>
      </c>
      <c r="C699" s="1">
        <f>IRS_returns_2015_25[[#This Row],[IRSrtn]]-AVERAGE($B$2:$B$2600)</f>
        <v>0.96559291446165063</v>
      </c>
      <c r="D699" s="1">
        <f>w+a*C698^2+b*D698</f>
        <v>8.6397228224321445</v>
      </c>
      <c r="E699" s="1">
        <f t="shared" si="10"/>
        <v>-2.0510820935079419</v>
      </c>
      <c r="F699" s="7">
        <f>SQRT(IRS_returns_2015_25[[#This Row],[  σ2]])</f>
        <v>2.9393405420999019</v>
      </c>
    </row>
    <row r="700" spans="1:6" x14ac:dyDescent="0.3">
      <c r="A700" s="2">
        <v>43045</v>
      </c>
      <c r="B700" s="1">
        <v>-0.43427060221170599</v>
      </c>
      <c r="C700" s="1">
        <f>IRS_returns_2015_25[[#This Row],[IRSrtn]]-AVERAGE($B$2:$B$2600)</f>
        <v>-0.44004709627832178</v>
      </c>
      <c r="D700" s="1">
        <f>w+a*C699^2+b*D699</f>
        <v>7.3240439922580851</v>
      </c>
      <c r="E700" s="1">
        <f t="shared" si="10"/>
        <v>-1.9277394214299843</v>
      </c>
      <c r="F700" s="7">
        <f>SQRT(IRS_returns_2015_25[[#This Row],[  σ2]])</f>
        <v>2.7062970997763873</v>
      </c>
    </row>
    <row r="701" spans="1:6" x14ac:dyDescent="0.3">
      <c r="A701" s="2">
        <v>43046</v>
      </c>
      <c r="B701" s="1">
        <v>0.16724925408375668</v>
      </c>
      <c r="C701" s="1">
        <f>IRS_returns_2015_25[[#This Row],[IRSrtn]]-AVERAGE($B$2:$B$2600)</f>
        <v>0.16147276001714089</v>
      </c>
      <c r="D701" s="1">
        <f>w+a*C700^2+b*D700</f>
        <v>6.2681836433544884</v>
      </c>
      <c r="E701" s="1">
        <f t="shared" si="10"/>
        <v>-1.8387616696857421</v>
      </c>
      <c r="F701" s="7">
        <f>SQRT(IRS_returns_2015_25[[#This Row],[  σ2]])</f>
        <v>2.5036340873527201</v>
      </c>
    </row>
    <row r="702" spans="1:6" x14ac:dyDescent="0.3">
      <c r="A702" s="2">
        <v>43047</v>
      </c>
      <c r="B702" s="1">
        <v>-2.9508675179168442</v>
      </c>
      <c r="C702" s="1">
        <f>IRS_returns_2015_25[[#This Row],[IRSrtn]]-AVERAGE($B$2:$B$2600)</f>
        <v>-2.9566440119834598</v>
      </c>
      <c r="D702" s="1">
        <f>w+a*C701^2+b*D701</f>
        <v>5.5244518589916876</v>
      </c>
      <c r="E702" s="1">
        <f t="shared" si="10"/>
        <v>-2.5647170807946713</v>
      </c>
      <c r="F702" s="7">
        <f>SQRT(IRS_returns_2015_25[[#This Row],[  σ2]])</f>
        <v>2.3504152524589537</v>
      </c>
    </row>
    <row r="703" spans="1:6" x14ac:dyDescent="0.3">
      <c r="A703" s="2">
        <v>43048</v>
      </c>
      <c r="B703" s="1">
        <v>3.2178888660447935</v>
      </c>
      <c r="C703" s="1">
        <f>IRS_returns_2015_25[[#This Row],[IRSrtn]]-AVERAGE($B$2:$B$2600)</f>
        <v>3.2121123719781779</v>
      </c>
      <c r="D703" s="1">
        <f>w+a*C702^2+b*D702</f>
        <v>7.1529082479694761</v>
      </c>
      <c r="E703" s="1">
        <f t="shared" si="10"/>
        <v>-2.6239197859318404</v>
      </c>
      <c r="F703" s="7">
        <f>SQRT(IRS_returns_2015_25[[#This Row],[  σ2]])</f>
        <v>2.6744921476739236</v>
      </c>
    </row>
    <row r="704" spans="1:6" x14ac:dyDescent="0.3">
      <c r="A704" s="2">
        <v>43049</v>
      </c>
      <c r="B704" s="1">
        <v>-7.5801695170650163</v>
      </c>
      <c r="C704" s="1">
        <f>IRS_returns_2015_25[[#This Row],[IRSrtn]]-AVERAGE($B$2:$B$2600)</f>
        <v>-7.5859460111316324</v>
      </c>
      <c r="D704" s="1">
        <f>w+a*C703^2+b*D703</f>
        <v>8.6209719325673007</v>
      </c>
      <c r="E704" s="1">
        <f t="shared" si="10"/>
        <v>-5.3336296215125056</v>
      </c>
      <c r="F704" s="7">
        <f>SQRT(IRS_returns_2015_25[[#This Row],[  σ2]])</f>
        <v>2.9361491672882187</v>
      </c>
    </row>
    <row r="705" spans="1:6" x14ac:dyDescent="0.3">
      <c r="A705" s="2">
        <v>43052</v>
      </c>
      <c r="B705" s="1">
        <v>-2.2178713189553445</v>
      </c>
      <c r="C705" s="1">
        <f>IRS_returns_2015_25[[#This Row],[IRSrtn]]-AVERAGE($B$2:$B$2600)</f>
        <v>-2.2236478130219601</v>
      </c>
      <c r="D705" s="1">
        <f>w+a*C704^2+b*D704</f>
        <v>21.105599705576097</v>
      </c>
      <c r="E705" s="1">
        <f t="shared" si="10"/>
        <v>-2.5608474862117063</v>
      </c>
      <c r="F705" s="7">
        <f>SQRT(IRS_returns_2015_25[[#This Row],[  σ2]])</f>
        <v>4.5940831191409783</v>
      </c>
    </row>
    <row r="706" spans="1:6" x14ac:dyDescent="0.3">
      <c r="A706" s="2">
        <v>43053</v>
      </c>
      <c r="B706" s="1">
        <v>-2.1178600998718267</v>
      </c>
      <c r="C706" s="1">
        <f>IRS_returns_2015_25[[#This Row],[IRSrtn]]-AVERAGE($B$2:$B$2600)</f>
        <v>-2.1236365939384423</v>
      </c>
      <c r="D706" s="1">
        <f>w+a*C705^2+b*D705</f>
        <v>16.600367908252345</v>
      </c>
      <c r="E706" s="1">
        <f t="shared" ref="E706:E769" si="11">-0.5*(LN(2*PI())+LN(D706)+C706^2/D706)</f>
        <v>-2.4594862765914551</v>
      </c>
      <c r="F706" s="7">
        <f>SQRT(IRS_returns_2015_25[[#This Row],[  σ2]])</f>
        <v>4.0743549070070397</v>
      </c>
    </row>
    <row r="707" spans="1:6" x14ac:dyDescent="0.3">
      <c r="A707" s="2">
        <v>43054</v>
      </c>
      <c r="B707" s="1">
        <v>4.1197376463796953</v>
      </c>
      <c r="C707" s="1">
        <f>IRS_returns_2015_25[[#This Row],[IRSrtn]]-AVERAGE($B$2:$B$2600)</f>
        <v>4.1139611523130792</v>
      </c>
      <c r="D707" s="1">
        <f>w+a*C706^2+b*D706</f>
        <v>13.49522643591428</v>
      </c>
      <c r="E707" s="1">
        <f t="shared" si="11"/>
        <v>-2.8471681385895526</v>
      </c>
      <c r="F707" s="7">
        <f>SQRT(IRS_returns_2015_25[[#This Row],[  σ2]])</f>
        <v>3.6735849569479511</v>
      </c>
    </row>
    <row r="708" spans="1:6" x14ac:dyDescent="0.3">
      <c r="A708" s="2">
        <v>43055</v>
      </c>
      <c r="B708" s="1">
        <v>3.8874136705439266</v>
      </c>
      <c r="C708" s="1">
        <f>IRS_returns_2015_25[[#This Row],[IRSrtn]]-AVERAGE($B$2:$B$2600)</f>
        <v>3.881637176477311</v>
      </c>
      <c r="D708" s="1">
        <f>w+a*C707^2+b*D707</f>
        <v>14.452955725261781</v>
      </c>
      <c r="E708" s="1">
        <f t="shared" si="11"/>
        <v>-2.7756345733391012</v>
      </c>
      <c r="F708" s="7">
        <f>SQRT(IRS_returns_2015_25[[#This Row],[  σ2]])</f>
        <v>3.8017043184947696</v>
      </c>
    </row>
    <row r="709" spans="1:6" x14ac:dyDescent="0.3">
      <c r="A709" s="2">
        <v>43056</v>
      </c>
      <c r="B709" s="1">
        <v>0.69086075292377203</v>
      </c>
      <c r="C709" s="1">
        <f>IRS_returns_2015_25[[#This Row],[IRSrtn]]-AVERAGE($B$2:$B$2600)</f>
        <v>0.68508425885715618</v>
      </c>
      <c r="D709" s="1">
        <f>w+a*C708^2+b*D708</f>
        <v>14.637935815723029</v>
      </c>
      <c r="E709" s="1">
        <f t="shared" si="11"/>
        <v>-2.2767784314763708</v>
      </c>
      <c r="F709" s="7">
        <f>SQRT(IRS_returns_2015_25[[#This Row],[  σ2]])</f>
        <v>3.8259555428314935</v>
      </c>
    </row>
    <row r="710" spans="1:6" x14ac:dyDescent="0.3">
      <c r="A710" s="2">
        <v>43059</v>
      </c>
      <c r="B710" s="1">
        <v>-0.3448376618461424</v>
      </c>
      <c r="C710" s="1">
        <f>IRS_returns_2015_25[[#This Row],[IRSrtn]]-AVERAGE($B$2:$B$2600)</f>
        <v>-0.35061415591275819</v>
      </c>
      <c r="D710" s="1">
        <f>w+a*C709^2+b*D709</f>
        <v>11.204337665998178</v>
      </c>
      <c r="E710" s="1">
        <f t="shared" si="11"/>
        <v>-2.1325748652629746</v>
      </c>
      <c r="F710" s="7">
        <f>SQRT(IRS_returns_2015_25[[#This Row],[  σ2]])</f>
        <v>3.3472881062134729</v>
      </c>
    </row>
    <row r="711" spans="1:6" x14ac:dyDescent="0.3">
      <c r="A711" s="2">
        <v>43060</v>
      </c>
      <c r="B711" s="1">
        <v>-0.10367424864590191</v>
      </c>
      <c r="C711" s="1">
        <f>IRS_returns_2015_25[[#This Row],[IRSrtn]]-AVERAGE($B$2:$B$2600)</f>
        <v>-0.1094507427125177</v>
      </c>
      <c r="D711" s="1">
        <f>w+a*C710^2+b*D710</f>
        <v>8.8341312366329419</v>
      </c>
      <c r="E711" s="1">
        <f t="shared" si="11"/>
        <v>-2.0089279393489994</v>
      </c>
      <c r="F711" s="7">
        <f>SQRT(IRS_returns_2015_25[[#This Row],[  σ2]])</f>
        <v>2.9722266462423321</v>
      </c>
    </row>
    <row r="712" spans="1:6" x14ac:dyDescent="0.3">
      <c r="A712" s="2">
        <v>43061</v>
      </c>
      <c r="B712" s="1">
        <v>5.6466524514478866</v>
      </c>
      <c r="C712" s="1">
        <f>IRS_returns_2015_25[[#This Row],[IRSrtn]]-AVERAGE($B$2:$B$2600)</f>
        <v>5.6408759573812706</v>
      </c>
      <c r="D712" s="1">
        <f>w+a*C711^2+b*D711</f>
        <v>7.2292120606392176</v>
      </c>
      <c r="E712" s="1">
        <f t="shared" si="11"/>
        <v>-4.108760797539575</v>
      </c>
      <c r="F712" s="7">
        <f>SQRT(IRS_returns_2015_25[[#This Row],[  σ2]])</f>
        <v>2.6887194090568873</v>
      </c>
    </row>
    <row r="713" spans="1:6" x14ac:dyDescent="0.3">
      <c r="A713" s="2">
        <v>43063</v>
      </c>
      <c r="B713" s="1">
        <v>-2.314143687047876</v>
      </c>
      <c r="C713" s="1">
        <f>IRS_returns_2015_25[[#This Row],[IRSrtn]]-AVERAGE($B$2:$B$2600)</f>
        <v>-2.3199201811144916</v>
      </c>
      <c r="D713" s="1">
        <f>w+a*C712^2+b*D712</f>
        <v>13.910681073220278</v>
      </c>
      <c r="E713" s="1">
        <f t="shared" si="11"/>
        <v>-2.4287165547449656</v>
      </c>
      <c r="F713" s="7">
        <f>SQRT(IRS_returns_2015_25[[#This Row],[  σ2]])</f>
        <v>3.7297025448714107</v>
      </c>
    </row>
    <row r="714" spans="1:6" x14ac:dyDescent="0.3">
      <c r="A714" s="2">
        <v>43066</v>
      </c>
      <c r="B714" s="1">
        <v>-0.97463403718673902</v>
      </c>
      <c r="C714" s="1">
        <f>IRS_returns_2015_25[[#This Row],[IRSrtn]]-AVERAGE($B$2:$B$2600)</f>
        <v>-0.98041053125335487</v>
      </c>
      <c r="D714" s="1">
        <f>w+a*C713^2+b*D713</f>
        <v>11.917167617816409</v>
      </c>
      <c r="E714" s="1">
        <f t="shared" si="11"/>
        <v>-2.19825711834075</v>
      </c>
      <c r="F714" s="7">
        <f>SQRT(IRS_returns_2015_25[[#This Row],[  σ2]])</f>
        <v>3.4521250872203932</v>
      </c>
    </row>
    <row r="715" spans="1:6" x14ac:dyDescent="0.3">
      <c r="A715" s="2">
        <v>43067</v>
      </c>
      <c r="B715" s="1">
        <v>-1.2916528544122396</v>
      </c>
      <c r="C715" s="1">
        <f>IRS_returns_2015_25[[#This Row],[IRSrtn]]-AVERAGE($B$2:$B$2600)</f>
        <v>-1.2974293484788555</v>
      </c>
      <c r="D715" s="1">
        <f>w+a*C714^2+b*D714</f>
        <v>9.5129194431080215</v>
      </c>
      <c r="E715" s="1">
        <f t="shared" si="11"/>
        <v>-2.1337395624556597</v>
      </c>
      <c r="F715" s="7">
        <f>SQRT(IRS_returns_2015_25[[#This Row],[  σ2]])</f>
        <v>3.0843020998449586</v>
      </c>
    </row>
    <row r="716" spans="1:6" x14ac:dyDescent="0.3">
      <c r="A716" s="2">
        <v>43068</v>
      </c>
      <c r="B716" s="1">
        <v>-0.51449942446266661</v>
      </c>
      <c r="C716" s="1">
        <f>IRS_returns_2015_25[[#This Row],[IRSrtn]]-AVERAGE($B$2:$B$2600)</f>
        <v>-0.52027591852928246</v>
      </c>
      <c r="D716" s="1">
        <f>w+a*C715^2+b*D715</f>
        <v>8.0883151594007821</v>
      </c>
      <c r="E716" s="1">
        <f t="shared" si="11"/>
        <v>-1.9808819717270969</v>
      </c>
      <c r="F716" s="7">
        <f>SQRT(IRS_returns_2015_25[[#This Row],[  σ2]])</f>
        <v>2.8439963360385652</v>
      </c>
    </row>
    <row r="717" spans="1:6" x14ac:dyDescent="0.3">
      <c r="A717" s="2">
        <v>43069</v>
      </c>
      <c r="B717" s="1">
        <v>3.7460128531322301</v>
      </c>
      <c r="C717" s="1">
        <f>IRS_returns_2015_25[[#This Row],[IRSrtn]]-AVERAGE($B$2:$B$2600)</f>
        <v>3.7402363590656145</v>
      </c>
      <c r="D717" s="1">
        <f>w+a*C716^2+b*D716</f>
        <v>6.7957438716689591</v>
      </c>
      <c r="E717" s="1">
        <f t="shared" si="11"/>
        <v>-2.9063610162968256</v>
      </c>
      <c r="F717" s="7">
        <f>SQRT(IRS_returns_2015_25[[#This Row],[  σ2]])</f>
        <v>2.606864758990953</v>
      </c>
    </row>
    <row r="718" spans="1:6" x14ac:dyDescent="0.3">
      <c r="A718" s="2">
        <v>43070</v>
      </c>
      <c r="B718" s="1">
        <v>-2.6516014213795014</v>
      </c>
      <c r="C718" s="1">
        <f>IRS_returns_2015_25[[#This Row],[IRSrtn]]-AVERAGE($B$2:$B$2600)</f>
        <v>-2.657377915446117</v>
      </c>
      <c r="D718" s="1">
        <f>w+a*C717^2+b*D717</f>
        <v>9.2778110131134603</v>
      </c>
      <c r="E718" s="1">
        <f t="shared" si="11"/>
        <v>-2.4133183503936921</v>
      </c>
      <c r="F718" s="7">
        <f>SQRT(IRS_returns_2015_25[[#This Row],[  σ2]])</f>
        <v>3.0459499360812647</v>
      </c>
    </row>
    <row r="719" spans="1:6" x14ac:dyDescent="0.3">
      <c r="A719" s="2">
        <v>43073</v>
      </c>
      <c r="B719" s="1">
        <v>-1.9578265581106535</v>
      </c>
      <c r="C719" s="1">
        <f>IRS_returns_2015_25[[#This Row],[IRSrtn]]-AVERAGE($B$2:$B$2600)</f>
        <v>-1.9636030521772694</v>
      </c>
      <c r="D719" s="1">
        <f>w+a*C718^2+b*D718</f>
        <v>9.2422294982852158</v>
      </c>
      <c r="E719" s="1">
        <f t="shared" si="11"/>
        <v>-2.2394235484570952</v>
      </c>
      <c r="F719" s="7">
        <f>SQRT(IRS_returns_2015_25[[#This Row],[  σ2]])</f>
        <v>3.0401035341391278</v>
      </c>
    </row>
    <row r="720" spans="1:6" x14ac:dyDescent="0.3">
      <c r="A720" s="2">
        <v>43074</v>
      </c>
      <c r="B720" s="1">
        <v>-2.3869102544924026</v>
      </c>
      <c r="C720" s="1">
        <f>IRS_returns_2015_25[[#This Row],[IRSrtn]]-AVERAGE($B$2:$B$2600)</f>
        <v>-2.3926867485590182</v>
      </c>
      <c r="D720" s="1">
        <f>w+a*C719^2+b*D719</f>
        <v>8.4374205155869166</v>
      </c>
      <c r="E720" s="1">
        <f t="shared" si="11"/>
        <v>-2.324536336037303</v>
      </c>
      <c r="F720" s="7">
        <f>SQRT(IRS_returns_2015_25[[#This Row],[  σ2]])</f>
        <v>2.9047238277652001</v>
      </c>
    </row>
    <row r="721" spans="1:6" x14ac:dyDescent="0.3">
      <c r="A721" s="2">
        <v>43075</v>
      </c>
      <c r="B721" s="1">
        <v>3.0093271052545667</v>
      </c>
      <c r="C721" s="1">
        <f>IRS_returns_2015_25[[#This Row],[IRSrtn]]-AVERAGE($B$2:$B$2600)</f>
        <v>3.0035506111879511</v>
      </c>
      <c r="D721" s="1">
        <f>w+a*C720^2+b*D720</f>
        <v>8.3570790229641201</v>
      </c>
      <c r="E721" s="1">
        <f t="shared" si="11"/>
        <v>-2.5202340104261598</v>
      </c>
      <c r="F721" s="7">
        <f>SQRT(IRS_returns_2015_25[[#This Row],[  σ2]])</f>
        <v>2.8908612943142256</v>
      </c>
    </row>
    <row r="722" spans="1:6" x14ac:dyDescent="0.3">
      <c r="A722" s="2">
        <v>43076</v>
      </c>
      <c r="B722" s="1">
        <v>2.2832787478470173</v>
      </c>
      <c r="C722" s="1">
        <f>IRS_returns_2015_25[[#This Row],[IRSrtn]]-AVERAGE($B$2:$B$2600)</f>
        <v>2.2775022537804017</v>
      </c>
      <c r="D722" s="1">
        <f>w+a*C721^2+b*D721</f>
        <v>9.1067532589572924</v>
      </c>
      <c r="E722" s="1">
        <f t="shared" si="11"/>
        <v>-2.3082362210110579</v>
      </c>
      <c r="F722" s="7">
        <f>SQRT(IRS_returns_2015_25[[#This Row],[  σ2]])</f>
        <v>3.017739759978864</v>
      </c>
    </row>
    <row r="723" spans="1:6" x14ac:dyDescent="0.3">
      <c r="A723" s="2">
        <v>43077</v>
      </c>
      <c r="B723" s="1">
        <v>6.8048997264574584</v>
      </c>
      <c r="C723" s="1">
        <f>IRS_returns_2015_25[[#This Row],[IRSrtn]]-AVERAGE($B$2:$B$2600)</f>
        <v>6.7991232323908424</v>
      </c>
      <c r="D723" s="1">
        <f>w+a*C722^2+b*D722</f>
        <v>8.6715976780487729</v>
      </c>
      <c r="E723" s="1">
        <f t="shared" si="11"/>
        <v>-4.6644529215190111</v>
      </c>
      <c r="F723" s="7">
        <f>SQRT(IRS_returns_2015_25[[#This Row],[  σ2]])</f>
        <v>2.9447576603260197</v>
      </c>
    </row>
    <row r="724" spans="1:6" x14ac:dyDescent="0.3">
      <c r="A724" s="2">
        <v>43080</v>
      </c>
      <c r="B724" s="1">
        <v>-6.3007826410732548</v>
      </c>
      <c r="C724" s="1">
        <f>IRS_returns_2015_25[[#This Row],[IRSrtn]]-AVERAGE($B$2:$B$2600)</f>
        <v>-6.3065591351398709</v>
      </c>
      <c r="D724" s="1">
        <f>w+a*C723^2+b*D723</f>
        <v>18.381552165199178</v>
      </c>
      <c r="E724" s="1">
        <f t="shared" si="11"/>
        <v>-3.4564765595850933</v>
      </c>
      <c r="F724" s="7">
        <f>SQRT(IRS_returns_2015_25[[#This Row],[  σ2]])</f>
        <v>4.2873712418216341</v>
      </c>
    </row>
    <row r="725" spans="1:6" x14ac:dyDescent="0.3">
      <c r="A725" s="2">
        <v>43081</v>
      </c>
      <c r="B725" s="1">
        <v>1.232723841302974</v>
      </c>
      <c r="C725" s="1">
        <f>IRS_returns_2015_25[[#This Row],[IRSrtn]]-AVERAGE($B$2:$B$2600)</f>
        <v>1.2269473472363581</v>
      </c>
      <c r="D725" s="1">
        <f>w+a*C724^2+b*D724</f>
        <v>23.272777212285938</v>
      </c>
      <c r="E725" s="1">
        <f t="shared" si="11"/>
        <v>-2.5249231962378489</v>
      </c>
      <c r="F725" s="7">
        <f>SQRT(IRS_returns_2015_25[[#This Row],[  σ2]])</f>
        <v>4.8241866892032625</v>
      </c>
    </row>
    <row r="726" spans="1:6" x14ac:dyDescent="0.3">
      <c r="A726" s="2">
        <v>43082</v>
      </c>
      <c r="B726" s="1">
        <v>-0.66444307073996178</v>
      </c>
      <c r="C726" s="1">
        <f>IRS_returns_2015_25[[#This Row],[IRSrtn]]-AVERAGE($B$2:$B$2600)</f>
        <v>-0.67021956480657763</v>
      </c>
      <c r="D726" s="1">
        <f>w+a*C725^2+b*D725</f>
        <v>17.205131521906143</v>
      </c>
      <c r="E726" s="1">
        <f t="shared" si="11"/>
        <v>-2.3545964532263275</v>
      </c>
      <c r="F726" s="7">
        <f>SQRT(IRS_returns_2015_25[[#This Row],[  σ2]])</f>
        <v>4.1479068844305251</v>
      </c>
    </row>
    <row r="727" spans="1:6" x14ac:dyDescent="0.3">
      <c r="A727" s="2">
        <v>43083</v>
      </c>
      <c r="B727" s="1">
        <v>-4.3951928767743009</v>
      </c>
      <c r="C727" s="1">
        <f>IRS_returns_2015_25[[#This Row],[IRSrtn]]-AVERAGE($B$2:$B$2600)</f>
        <v>-4.400969370840917</v>
      </c>
      <c r="D727" s="1">
        <f>w+a*C726^2+b*D726</f>
        <v>12.908454142685299</v>
      </c>
      <c r="E727" s="1">
        <f t="shared" si="11"/>
        <v>-2.9481063645173866</v>
      </c>
      <c r="F727" s="7">
        <f>SQRT(IRS_returns_2015_25[[#This Row],[  σ2]])</f>
        <v>3.5928337204336773</v>
      </c>
    </row>
    <row r="728" spans="1:6" x14ac:dyDescent="0.3">
      <c r="A728" s="2">
        <v>43084</v>
      </c>
      <c r="B728" s="1">
        <v>1.4523112270648841</v>
      </c>
      <c r="C728" s="1">
        <f>IRS_returns_2015_25[[#This Row],[IRSrtn]]-AVERAGE($B$2:$B$2600)</f>
        <v>1.4465347329982683</v>
      </c>
      <c r="D728" s="1">
        <f>w+a*C727^2+b*D727</f>
        <v>14.657776318183798</v>
      </c>
      <c r="E728" s="1">
        <f t="shared" si="11"/>
        <v>-2.3328012567324992</v>
      </c>
      <c r="F728" s="7">
        <f>SQRT(IRS_returns_2015_25[[#This Row],[  σ2]])</f>
        <v>3.82854754680986</v>
      </c>
    </row>
    <row r="729" spans="1:6" x14ac:dyDescent="0.3">
      <c r="A729" s="2">
        <v>43087</v>
      </c>
      <c r="B729" s="1">
        <v>-0.44727740606580468</v>
      </c>
      <c r="C729" s="1">
        <f>IRS_returns_2015_25[[#This Row],[IRSrtn]]-AVERAGE($B$2:$B$2600)</f>
        <v>-0.45305390013242047</v>
      </c>
      <c r="D729" s="1">
        <f>w+a*C728^2+b*D728</f>
        <v>11.613019191196322</v>
      </c>
      <c r="E729" s="1">
        <f t="shared" si="11"/>
        <v>-2.1538393415464645</v>
      </c>
      <c r="F729" s="7">
        <f>SQRT(IRS_returns_2015_25[[#This Row],[  σ2]])</f>
        <v>3.4077880202847597</v>
      </c>
    </row>
    <row r="730" spans="1:6" x14ac:dyDescent="0.3">
      <c r="A730" s="2">
        <v>43088</v>
      </c>
      <c r="B730" s="1">
        <v>1.199674556510244</v>
      </c>
      <c r="C730" s="1">
        <f>IRS_returns_2015_25[[#This Row],[IRSrtn]]-AVERAGE($B$2:$B$2600)</f>
        <v>1.1938980624436282</v>
      </c>
      <c r="D730" s="1">
        <f>w+a*C729^2+b*D729</f>
        <v>9.1262564469271403</v>
      </c>
      <c r="E730" s="1">
        <f t="shared" si="11"/>
        <v>-2.1026092749742835</v>
      </c>
      <c r="F730" s="7">
        <f>SQRT(IRS_returns_2015_25[[#This Row],[  σ2]])</f>
        <v>3.0209694548153148</v>
      </c>
    </row>
    <row r="731" spans="1:6" x14ac:dyDescent="0.3">
      <c r="A731" s="2">
        <v>43089</v>
      </c>
      <c r="B731" s="1">
        <v>-0.34130690034444022</v>
      </c>
      <c r="C731" s="1">
        <f>IRS_returns_2015_25[[#This Row],[IRSrtn]]-AVERAGE($B$2:$B$2600)</f>
        <v>-0.34708339441105601</v>
      </c>
      <c r="D731" s="1">
        <f>w+a*C730^2+b*D730</f>
        <v>7.7680624749692999</v>
      </c>
      <c r="E731" s="1">
        <f t="shared" si="11"/>
        <v>-1.9517029051702195</v>
      </c>
      <c r="F731" s="7">
        <f>SQRT(IRS_returns_2015_25[[#This Row],[  σ2]])</f>
        <v>2.7871244096683774</v>
      </c>
    </row>
    <row r="732" spans="1:6" x14ac:dyDescent="0.3">
      <c r="A732" s="2">
        <v>43090</v>
      </c>
      <c r="B732" s="1">
        <v>1.0204228488073674</v>
      </c>
      <c r="C732" s="1">
        <f>IRS_returns_2015_25[[#This Row],[IRSrtn]]-AVERAGE($B$2:$B$2600)</f>
        <v>1.0146463547407516</v>
      </c>
      <c r="D732" s="1">
        <f>w+a*C731^2+b*D731</f>
        <v>6.5459452026575917</v>
      </c>
      <c r="E732" s="1">
        <f t="shared" si="11"/>
        <v>-1.9369984539523981</v>
      </c>
      <c r="F732" s="7">
        <f>SQRT(IRS_returns_2015_25[[#This Row],[  σ2]])</f>
        <v>2.5585044855652672</v>
      </c>
    </row>
    <row r="733" spans="1:6" x14ac:dyDescent="0.3">
      <c r="A733" s="2">
        <v>43091</v>
      </c>
      <c r="B733" s="1">
        <v>-1.7409552791757044</v>
      </c>
      <c r="C733" s="1">
        <f>IRS_returns_2015_25[[#This Row],[IRSrtn]]-AVERAGE($B$2:$B$2600)</f>
        <v>-1.7467317732423202</v>
      </c>
      <c r="D733" s="1">
        <f>w+a*C732^2+b*D732</f>
        <v>5.9538487780773801</v>
      </c>
      <c r="E733" s="1">
        <f t="shared" si="11"/>
        <v>-2.0671843195271875</v>
      </c>
      <c r="F733" s="7">
        <f>SQRT(IRS_returns_2015_25[[#This Row],[  σ2]])</f>
        <v>2.4400509785816729</v>
      </c>
    </row>
    <row r="734" spans="1:6" x14ac:dyDescent="0.3">
      <c r="A734" s="2">
        <v>43095</v>
      </c>
      <c r="B734" s="1">
        <v>1.3680181139059666</v>
      </c>
      <c r="C734" s="1">
        <f>IRS_returns_2015_25[[#This Row],[IRSrtn]]-AVERAGE($B$2:$B$2600)</f>
        <v>1.3622416198393508</v>
      </c>
      <c r="D734" s="1">
        <f>w+a*C733^2+b*D733</f>
        <v>6.0522340548603859</v>
      </c>
      <c r="E734" s="1">
        <f t="shared" si="11"/>
        <v>-1.9724594774798558</v>
      </c>
      <c r="F734" s="7">
        <f>SQRT(IRS_returns_2015_25[[#This Row],[  σ2]])</f>
        <v>2.4601288695636221</v>
      </c>
    </row>
    <row r="735" spans="1:6" x14ac:dyDescent="0.3">
      <c r="A735" s="2">
        <v>43096</v>
      </c>
      <c r="B735" s="1">
        <v>-0.16999380675910558</v>
      </c>
      <c r="C735" s="1">
        <f>IRS_returns_2015_25[[#This Row],[IRSrtn]]-AVERAGE($B$2:$B$2600)</f>
        <v>-0.17577030082572137</v>
      </c>
      <c r="D735" s="1">
        <f>w+a*C734^2+b*D734</f>
        <v>5.8264792375007488</v>
      </c>
      <c r="E735" s="1">
        <f t="shared" si="11"/>
        <v>-1.8027962650876634</v>
      </c>
      <c r="F735" s="7">
        <f>SQRT(IRS_returns_2015_25[[#This Row],[  σ2]])</f>
        <v>2.4138101080036822</v>
      </c>
    </row>
    <row r="736" spans="1:6" x14ac:dyDescent="0.3">
      <c r="A736" s="2">
        <v>43097</v>
      </c>
      <c r="B736" s="1">
        <v>0.74577347350732737</v>
      </c>
      <c r="C736" s="1">
        <f>IRS_returns_2015_25[[#This Row],[IRSrtn]]-AVERAGE($B$2:$B$2600)</f>
        <v>0.73999697944071152</v>
      </c>
      <c r="D736" s="1">
        <f>w+a*C735^2+b*D735</f>
        <v>5.2315766710677707</v>
      </c>
      <c r="E736" s="1">
        <f t="shared" si="11"/>
        <v>-1.7986304945137059</v>
      </c>
      <c r="F736" s="7">
        <f>SQRT(IRS_returns_2015_25[[#This Row],[  σ2]])</f>
        <v>2.2872640142903857</v>
      </c>
    </row>
    <row r="737" spans="1:6" x14ac:dyDescent="0.3">
      <c r="A737" s="2">
        <v>43098</v>
      </c>
      <c r="B737" s="1">
        <v>-3.3791221459811283E-2</v>
      </c>
      <c r="C737" s="1">
        <f>IRS_returns_2015_25[[#This Row],[IRSrtn]]-AVERAGE($B$2:$B$2600)</f>
        <v>-3.9567715526427079E-2</v>
      </c>
      <c r="D737" s="1">
        <f>w+a*C736^2+b*D736</f>
        <v>4.9614340059389299</v>
      </c>
      <c r="E737" s="1">
        <f t="shared" si="11"/>
        <v>-1.7199437171101661</v>
      </c>
      <c r="F737" s="7">
        <f>SQRT(IRS_returns_2015_25[[#This Row],[  σ2]])</f>
        <v>2.2274276657029581</v>
      </c>
    </row>
    <row r="738" spans="1:6" x14ac:dyDescent="0.3">
      <c r="A738" s="2">
        <v>43102</v>
      </c>
      <c r="B738" s="1">
        <v>7.1692045373317193</v>
      </c>
      <c r="C738" s="1">
        <f>IRS_returns_2015_25[[#This Row],[IRSrtn]]-AVERAGE($B$2:$B$2600)</f>
        <v>7.1634280432651032</v>
      </c>
      <c r="D738" s="1">
        <f>w+a*C737^2+b*D737</f>
        <v>4.6485554537092639</v>
      </c>
      <c r="E738" s="1">
        <f t="shared" si="11"/>
        <v>-7.206641249302951</v>
      </c>
      <c r="F738" s="7">
        <f>SQRT(IRS_returns_2015_25[[#This Row],[  σ2]])</f>
        <v>2.1560508931166869</v>
      </c>
    </row>
    <row r="739" spans="1:6" x14ac:dyDescent="0.3">
      <c r="A739" s="2">
        <v>43103</v>
      </c>
      <c r="B739" s="1">
        <v>-0.31496267999275851</v>
      </c>
      <c r="C739" s="1">
        <f>IRS_returns_2015_25[[#This Row],[IRSrtn]]-AVERAGE($B$2:$B$2600)</f>
        <v>-0.3207391740593743</v>
      </c>
      <c r="D739" s="1">
        <f>w+a*C738^2+b*D738</f>
        <v>16.942700626003401</v>
      </c>
      <c r="E739" s="1">
        <f t="shared" si="11"/>
        <v>-2.3368930103645216</v>
      </c>
      <c r="F739" s="7">
        <f>SQRT(IRS_returns_2015_25[[#This Row],[  σ2]])</f>
        <v>4.1161511908582025</v>
      </c>
    </row>
    <row r="740" spans="1:6" x14ac:dyDescent="0.3">
      <c r="A740" s="2">
        <v>43104</v>
      </c>
      <c r="B740" s="1">
        <v>1.4717666404818974</v>
      </c>
      <c r="C740" s="1">
        <f>IRS_returns_2015_25[[#This Row],[IRSrtn]]-AVERAGE($B$2:$B$2600)</f>
        <v>1.4659901464152816</v>
      </c>
      <c r="D740" s="1">
        <f>w+a*C739^2+b*D739</f>
        <v>12.649368563568663</v>
      </c>
      <c r="E740" s="1">
        <f t="shared" si="11"/>
        <v>-2.2726921581121773</v>
      </c>
      <c r="F740" s="7">
        <f>SQRT(IRS_returns_2015_25[[#This Row],[  σ2]])</f>
        <v>3.5565950800686692</v>
      </c>
    </row>
    <row r="741" spans="1:6" x14ac:dyDescent="0.3">
      <c r="A741" s="2">
        <v>43105</v>
      </c>
      <c r="B741" s="1">
        <v>-0.46736251003158813</v>
      </c>
      <c r="C741" s="1">
        <f>IRS_returns_2015_25[[#This Row],[IRSrtn]]-AVERAGE($B$2:$B$2600)</f>
        <v>-0.47313900409820392</v>
      </c>
      <c r="D741" s="1">
        <f>w+a*C740^2+b*D740</f>
        <v>10.289794843796582</v>
      </c>
      <c r="E741" s="1">
        <f t="shared" si="11"/>
        <v>-2.0953926323377532</v>
      </c>
      <c r="F741" s="7">
        <f>SQRT(IRS_returns_2015_25[[#This Row],[  σ2]])</f>
        <v>3.2077710086283564</v>
      </c>
    </row>
    <row r="742" spans="1:6" x14ac:dyDescent="0.3">
      <c r="A742" s="2">
        <v>43108</v>
      </c>
      <c r="B742" s="1">
        <v>-0.75235041755634668</v>
      </c>
      <c r="C742" s="1">
        <f>IRS_returns_2015_25[[#This Row],[IRSrtn]]-AVERAGE($B$2:$B$2600)</f>
        <v>-0.75812691162296253</v>
      </c>
      <c r="D742" s="1">
        <f>w+a*C741^2+b*D741</f>
        <v>8.2498964222557341</v>
      </c>
      <c r="E742" s="1">
        <f t="shared" si="11"/>
        <v>-2.0088730153064405</v>
      </c>
      <c r="F742" s="7">
        <f>SQRT(IRS_returns_2015_25[[#This Row],[  σ2]])</f>
        <v>2.8722632926414899</v>
      </c>
    </row>
    <row r="743" spans="1:6" x14ac:dyDescent="0.3">
      <c r="A743" s="2">
        <v>43109</v>
      </c>
      <c r="B743" s="1">
        <v>-1.7778289298322925</v>
      </c>
      <c r="C743" s="1">
        <f>IRS_returns_2015_25[[#This Row],[IRSrtn]]-AVERAGE($B$2:$B$2600)</f>
        <v>-1.7836054238989083</v>
      </c>
      <c r="D743" s="1">
        <f>w+a*C742^2+b*D742</f>
        <v>6.9773976536966806</v>
      </c>
      <c r="E743" s="1">
        <f t="shared" si="11"/>
        <v>-2.1182446520902349</v>
      </c>
      <c r="F743" s="7">
        <f>SQRT(IRS_returns_2015_25[[#This Row],[  σ2]])</f>
        <v>2.6414764155102124</v>
      </c>
    </row>
    <row r="744" spans="1:6" x14ac:dyDescent="0.3">
      <c r="A744" s="2">
        <v>43110</v>
      </c>
      <c r="B744" s="1">
        <v>0.25592402002403425</v>
      </c>
      <c r="C744" s="1">
        <f>IRS_returns_2015_25[[#This Row],[IRSrtn]]-AVERAGE($B$2:$B$2600)</f>
        <v>0.25014752595741846</v>
      </c>
      <c r="D744" s="1">
        <f>w+a*C743^2+b*D743</f>
        <v>6.7653451030167009</v>
      </c>
      <c r="E744" s="1">
        <f t="shared" si="11"/>
        <v>-1.8794697517501897</v>
      </c>
      <c r="F744" s="7">
        <f>SQRT(IRS_returns_2015_25[[#This Row],[  σ2]])</f>
        <v>2.6010277013166738</v>
      </c>
    </row>
    <row r="745" spans="1:6" x14ac:dyDescent="0.3">
      <c r="A745" s="2">
        <v>43111</v>
      </c>
      <c r="B745" s="1">
        <v>-3.1810614287303807</v>
      </c>
      <c r="C745" s="1">
        <f>IRS_returns_2015_25[[#This Row],[IRSrtn]]-AVERAGE($B$2:$B$2600)</f>
        <v>-3.1868379227969963</v>
      </c>
      <c r="D745" s="1">
        <f>w+a*C744^2+b*D744</f>
        <v>5.8643138494855762</v>
      </c>
      <c r="E745" s="1">
        <f t="shared" si="11"/>
        <v>-2.6692912699691762</v>
      </c>
      <c r="F745" s="7">
        <f>SQRT(IRS_returns_2015_25[[#This Row],[  σ2]])</f>
        <v>2.4216345408598663</v>
      </c>
    </row>
    <row r="746" spans="1:6" x14ac:dyDescent="0.3">
      <c r="A746" s="2">
        <v>43112</v>
      </c>
      <c r="B746" s="1">
        <v>-4.1756902891093794</v>
      </c>
      <c r="C746" s="1">
        <f>IRS_returns_2015_25[[#This Row],[IRSrtn]]-AVERAGE($B$2:$B$2600)</f>
        <v>-4.1814667831759955</v>
      </c>
      <c r="D746" s="1">
        <f>w+a*C745^2+b*D745</f>
        <v>7.7237276413369811</v>
      </c>
      <c r="E746" s="1">
        <f t="shared" si="11"/>
        <v>-3.0729670051008928</v>
      </c>
      <c r="F746" s="7">
        <f>SQRT(IRS_returns_2015_25[[#This Row],[  σ2]])</f>
        <v>2.7791595206711293</v>
      </c>
    </row>
    <row r="747" spans="1:6" x14ac:dyDescent="0.3">
      <c r="A747" s="2">
        <v>43116</v>
      </c>
      <c r="B747" s="1">
        <v>1.5356091648027537</v>
      </c>
      <c r="C747" s="1">
        <f>IRS_returns_2015_25[[#This Row],[IRSrtn]]-AVERAGE($B$2:$B$2600)</f>
        <v>1.5298326707361378</v>
      </c>
      <c r="D747" s="1">
        <f>w+a*C746^2+b*D746</f>
        <v>10.747213486896438</v>
      </c>
      <c r="E747" s="1">
        <f t="shared" si="11"/>
        <v>-2.2151452680089099</v>
      </c>
      <c r="F747" s="7">
        <f>SQRT(IRS_returns_2015_25[[#This Row],[  σ2]])</f>
        <v>3.2782942953457423</v>
      </c>
    </row>
    <row r="748" spans="1:6" x14ac:dyDescent="0.3">
      <c r="A748" s="2">
        <v>43117</v>
      </c>
      <c r="B748" s="1">
        <v>-3.3049448131787784</v>
      </c>
      <c r="C748" s="1">
        <f>IRS_returns_2015_25[[#This Row],[IRSrtn]]-AVERAGE($B$2:$B$2600)</f>
        <v>-3.310721307245394</v>
      </c>
      <c r="D748" s="1">
        <f>w+a*C747^2+b*D747</f>
        <v>9.0700990898025289</v>
      </c>
      <c r="E748" s="1">
        <f t="shared" si="11"/>
        <v>-2.6256614302731016</v>
      </c>
      <c r="F748" s="7">
        <f>SQRT(IRS_returns_2015_25[[#This Row],[  σ2]])</f>
        <v>3.0116605203446367</v>
      </c>
    </row>
    <row r="749" spans="1:6" x14ac:dyDescent="0.3">
      <c r="A749" s="2">
        <v>43118</v>
      </c>
      <c r="B749" s="1">
        <v>3.1693982842575519</v>
      </c>
      <c r="C749" s="1">
        <f>IRS_returns_2015_25[[#This Row],[IRSrtn]]-AVERAGE($B$2:$B$2600)</f>
        <v>3.1636217901909363</v>
      </c>
      <c r="D749" s="1">
        <f>w+a*C748^2+b*D748</f>
        <v>10.05399580937874</v>
      </c>
      <c r="E749" s="1">
        <f t="shared" si="11"/>
        <v>-2.5706611747223009</v>
      </c>
      <c r="F749" s="7">
        <f>SQRT(IRS_returns_2015_25[[#This Row],[  σ2]])</f>
        <v>3.1708036535520043</v>
      </c>
    </row>
    <row r="750" spans="1:6" x14ac:dyDescent="0.3">
      <c r="A750" s="2">
        <v>43119</v>
      </c>
      <c r="B750" s="1">
        <v>-2.7154121617662064</v>
      </c>
      <c r="C750" s="1">
        <f>IRS_returns_2015_25[[#This Row],[IRSrtn]]-AVERAGE($B$2:$B$2600)</f>
        <v>-2.721188655832822</v>
      </c>
      <c r="D750" s="1">
        <f>w+a*C749^2+b*D749</f>
        <v>10.476946901217513</v>
      </c>
      <c r="E750" s="1">
        <f t="shared" si="11"/>
        <v>-2.4469158124314903</v>
      </c>
      <c r="F750" s="7">
        <f>SQRT(IRS_returns_2015_25[[#This Row],[  σ2]])</f>
        <v>3.2368112242170555</v>
      </c>
    </row>
    <row r="751" spans="1:6" x14ac:dyDescent="0.3">
      <c r="A751" s="2">
        <v>43122</v>
      </c>
      <c r="B751" s="1">
        <v>2.7154121617662064</v>
      </c>
      <c r="C751" s="1">
        <f>IRS_returns_2015_25[[#This Row],[IRSrtn]]-AVERAGE($B$2:$B$2600)</f>
        <v>2.7096356676995907</v>
      </c>
      <c r="D751" s="1">
        <f>w+a*C750^2+b*D750</f>
        <v>10.124137414456648</v>
      </c>
      <c r="E751" s="1">
        <f t="shared" si="11"/>
        <v>-2.439004729084786</v>
      </c>
      <c r="F751" s="7">
        <f>SQRT(IRS_returns_2015_25[[#This Row],[  σ2]])</f>
        <v>3.1818449702109386</v>
      </c>
    </row>
    <row r="752" spans="1:6" x14ac:dyDescent="0.3">
      <c r="A752" s="2">
        <v>43123</v>
      </c>
      <c r="B752" s="1">
        <v>1.4141683717014075</v>
      </c>
      <c r="C752" s="1">
        <f>IRS_returns_2015_25[[#This Row],[IRSrtn]]-AVERAGE($B$2:$B$2600)</f>
        <v>1.4083918776347917</v>
      </c>
      <c r="D752" s="1">
        <f>w+a*C751^2+b*D751</f>
        <v>9.8739791080501256</v>
      </c>
      <c r="E752" s="1">
        <f t="shared" si="11"/>
        <v>-2.1643341858942091</v>
      </c>
      <c r="F752" s="7">
        <f>SQRT(IRS_returns_2015_25[[#This Row],[  σ2]])</f>
        <v>3.1422888326902934</v>
      </c>
    </row>
    <row r="753" spans="1:6" x14ac:dyDescent="0.3">
      <c r="A753" s="2">
        <v>43124</v>
      </c>
      <c r="B753" s="1">
        <v>-5.9935380605102395</v>
      </c>
      <c r="C753" s="1">
        <f>IRS_returns_2015_25[[#This Row],[IRSrtn]]-AVERAGE($B$2:$B$2600)</f>
        <v>-5.9993145545768556</v>
      </c>
      <c r="D753" s="1">
        <f>w+a*C752^2+b*D752</f>
        <v>8.4018331808331315</v>
      </c>
      <c r="E753" s="1">
        <f t="shared" si="11"/>
        <v>-4.1250636197641963</v>
      </c>
      <c r="F753" s="7">
        <f>SQRT(IRS_returns_2015_25[[#This Row],[  σ2]])</f>
        <v>2.898591585724545</v>
      </c>
    </row>
    <row r="754" spans="1:6" x14ac:dyDescent="0.3">
      <c r="A754" s="2">
        <v>43125</v>
      </c>
      <c r="B754" s="1">
        <v>1.7593718614208331</v>
      </c>
      <c r="C754" s="1">
        <f>IRS_returns_2015_25[[#This Row],[IRSrtn]]-AVERAGE($B$2:$B$2600)</f>
        <v>1.7535953673542173</v>
      </c>
      <c r="D754" s="1">
        <f>w+a*C753^2+b*D753</f>
        <v>15.707892911944699</v>
      </c>
      <c r="E754" s="1">
        <f t="shared" si="11"/>
        <v>-2.3939039997150524</v>
      </c>
      <c r="F754" s="7">
        <f>SQRT(IRS_returns_2015_25[[#This Row],[  σ2]])</f>
        <v>3.963318421719948</v>
      </c>
    </row>
    <row r="755" spans="1:6" x14ac:dyDescent="0.3">
      <c r="A755" s="2">
        <v>43126</v>
      </c>
      <c r="B755" s="1">
        <v>3.966332749141932</v>
      </c>
      <c r="C755" s="1">
        <f>IRS_returns_2015_25[[#This Row],[IRSrtn]]-AVERAGE($B$2:$B$2600)</f>
        <v>3.9605562550753164</v>
      </c>
      <c r="D755" s="1">
        <f>w+a*C754^2+b*D754</f>
        <v>12.551517900262398</v>
      </c>
      <c r="E755" s="1">
        <f t="shared" si="11"/>
        <v>-2.8087242322451136</v>
      </c>
      <c r="F755" s="7">
        <f>SQRT(IRS_returns_2015_25[[#This Row],[  σ2]])</f>
        <v>3.5428121457766286</v>
      </c>
    </row>
    <row r="756" spans="1:6" x14ac:dyDescent="0.3">
      <c r="A756" s="2">
        <v>43129</v>
      </c>
      <c r="B756" s="1">
        <v>-1.5881477745097516</v>
      </c>
      <c r="C756" s="1">
        <f>IRS_returns_2015_25[[#This Row],[IRSrtn]]-AVERAGE($B$2:$B$2600)</f>
        <v>-1.5939242685763675</v>
      </c>
      <c r="D756" s="1">
        <f>w+a*C755^2+b*D755</f>
        <v>13.522911396491054</v>
      </c>
      <c r="E756" s="1">
        <f t="shared" si="11"/>
        <v>-2.3150678985132114</v>
      </c>
      <c r="F756" s="7">
        <f>SQRT(IRS_returns_2015_25[[#This Row],[  σ2]])</f>
        <v>3.6773511385902564</v>
      </c>
    </row>
    <row r="757" spans="1:6" x14ac:dyDescent="0.3">
      <c r="A757" s="2">
        <v>43130</v>
      </c>
      <c r="B757" s="1">
        <v>-4.3507713298643669</v>
      </c>
      <c r="C757" s="1">
        <f>IRS_returns_2015_25[[#This Row],[IRSrtn]]-AVERAGE($B$2:$B$2600)</f>
        <v>-4.3565478239309829</v>
      </c>
      <c r="D757" s="1">
        <f>w+a*C756^2+b*D756</f>
        <v>10.966707864692676</v>
      </c>
      <c r="E757" s="1">
        <f t="shared" si="11"/>
        <v>-2.9816945007748044</v>
      </c>
      <c r="F757" s="7">
        <f>SQRT(IRS_returns_2015_25[[#This Row],[  σ2]])</f>
        <v>3.3116020088006763</v>
      </c>
    </row>
    <row r="758" spans="1:6" x14ac:dyDescent="0.3">
      <c r="A758" s="2">
        <v>43131</v>
      </c>
      <c r="B758" s="1">
        <v>2.1468298449407897</v>
      </c>
      <c r="C758" s="1">
        <f>IRS_returns_2015_25[[#This Row],[IRSrtn]]-AVERAGE($B$2:$B$2600)</f>
        <v>2.141053350874174</v>
      </c>
      <c r="D758" s="1">
        <f>w+a*C757^2+b*D757</f>
        <v>13.270338135258253</v>
      </c>
      <c r="E758" s="1">
        <f t="shared" si="11"/>
        <v>-2.3844243427082383</v>
      </c>
      <c r="F758" s="7">
        <f>SQRT(IRS_returns_2015_25[[#This Row],[  σ2]])</f>
        <v>3.6428475311572202</v>
      </c>
    </row>
    <row r="759" spans="1:6" x14ac:dyDescent="0.3">
      <c r="A759" s="2">
        <v>43132</v>
      </c>
      <c r="B759" s="1">
        <v>-1.6500293619835293</v>
      </c>
      <c r="C759" s="1">
        <f>IRS_returns_2015_25[[#This Row],[IRSrtn]]-AVERAGE($B$2:$B$2600)</f>
        <v>-1.6558058560501452</v>
      </c>
      <c r="D759" s="1">
        <f>w+a*C758^2+b*D758</f>
        <v>11.296467550652835</v>
      </c>
      <c r="E759" s="1">
        <f t="shared" si="11"/>
        <v>-2.2525353548873515</v>
      </c>
      <c r="F759" s="7">
        <f>SQRT(IRS_returns_2015_25[[#This Row],[  σ2]])</f>
        <v>3.3610218015735684</v>
      </c>
    </row>
    <row r="760" spans="1:6" x14ac:dyDescent="0.3">
      <c r="A760" s="2">
        <v>43133</v>
      </c>
      <c r="B760" s="1">
        <v>-3.6774149382326815</v>
      </c>
      <c r="C760" s="1">
        <f>IRS_returns_2015_25[[#This Row],[IRSrtn]]-AVERAGE($B$2:$B$2600)</f>
        <v>-3.6831914322992971</v>
      </c>
      <c r="D760" s="1">
        <f>w+a*C759^2+b*D759</f>
        <v>9.5335245782677571</v>
      </c>
      <c r="E760" s="1">
        <f t="shared" si="11"/>
        <v>-2.7578297111357704</v>
      </c>
      <c r="F760" s="7">
        <f>SQRT(IRS_returns_2015_25[[#This Row],[  σ2]])</f>
        <v>3.0876406167602726</v>
      </c>
    </row>
    <row r="761" spans="1:6" x14ac:dyDescent="0.3">
      <c r="A761" s="2">
        <v>43136</v>
      </c>
      <c r="B761" s="1">
        <v>-3.6272468245251321</v>
      </c>
      <c r="C761" s="1">
        <f>IRS_returns_2015_25[[#This Row],[IRSrtn]]-AVERAGE($B$2:$B$2600)</f>
        <v>-3.6330233185917478</v>
      </c>
      <c r="D761" s="1">
        <f>w+a*C760^2+b*D760</f>
        <v>10.99721928863972</v>
      </c>
      <c r="E761" s="1">
        <f t="shared" si="11"/>
        <v>-2.717859568661344</v>
      </c>
      <c r="F761" s="7">
        <f>SQRT(IRS_returns_2015_25[[#This Row],[  σ2]])</f>
        <v>3.3162055558483887</v>
      </c>
    </row>
    <row r="762" spans="1:6" x14ac:dyDescent="0.3">
      <c r="A762" s="2">
        <v>43137</v>
      </c>
      <c r="B762" s="1">
        <v>-0.91813446990616221</v>
      </c>
      <c r="C762" s="1">
        <f>IRS_returns_2015_25[[#This Row],[IRSrtn]]-AVERAGE($B$2:$B$2600)</f>
        <v>-0.92391096397277805</v>
      </c>
      <c r="D762" s="1">
        <f>w+a*C761^2+b*D761</f>
        <v>11.882195940435826</v>
      </c>
      <c r="E762" s="1">
        <f t="shared" si="11"/>
        <v>-2.1923788724745505</v>
      </c>
      <c r="F762" s="7">
        <f>SQRT(IRS_returns_2015_25[[#This Row],[  σ2]])</f>
        <v>3.4470561266732846</v>
      </c>
    </row>
    <row r="763" spans="1:6" x14ac:dyDescent="0.3">
      <c r="A763" s="2">
        <v>43138</v>
      </c>
      <c r="B763" s="1">
        <v>0.80383405207462566</v>
      </c>
      <c r="C763" s="1">
        <f>IRS_returns_2015_25[[#This Row],[IRSrtn]]-AVERAGE($B$2:$B$2600)</f>
        <v>0.79805755800800982</v>
      </c>
      <c r="D763" s="1">
        <f>w+a*C762^2+b*D762</f>
        <v>9.4634231204646468</v>
      </c>
      <c r="E763" s="1">
        <f t="shared" si="11"/>
        <v>-2.0763060137672009</v>
      </c>
      <c r="F763" s="7">
        <f>SQRT(IRS_returns_2015_25[[#This Row],[  σ2]])</f>
        <v>3.0762677257457041</v>
      </c>
    </row>
    <row r="764" spans="1:6" x14ac:dyDescent="0.3">
      <c r="A764" s="2">
        <v>43139</v>
      </c>
      <c r="B764" s="1">
        <v>-4.7228265404412717</v>
      </c>
      <c r="C764" s="1">
        <f>IRS_returns_2015_25[[#This Row],[IRSrtn]]-AVERAGE($B$2:$B$2600)</f>
        <v>-4.7286030345078878</v>
      </c>
      <c r="D764" s="1">
        <f>w+a*C763^2+b*D763</f>
        <v>7.800402921811469</v>
      </c>
      <c r="E764" s="1">
        <f t="shared" si="11"/>
        <v>-3.3792654386860308</v>
      </c>
      <c r="F764" s="7">
        <f>SQRT(IRS_returns_2015_25[[#This Row],[  σ2]])</f>
        <v>2.7929201423978216</v>
      </c>
    </row>
    <row r="765" spans="1:6" x14ac:dyDescent="0.3">
      <c r="A765" s="2">
        <v>43140</v>
      </c>
      <c r="B765" s="1">
        <v>1.2708598714291419</v>
      </c>
      <c r="C765" s="1">
        <f>IRS_returns_2015_25[[#This Row],[IRSrtn]]-AVERAGE($B$2:$B$2600)</f>
        <v>1.2650833773625261</v>
      </c>
      <c r="D765" s="1">
        <f>w+a*C764^2+b*D764</f>
        <v>11.986055534086645</v>
      </c>
      <c r="E765" s="1">
        <f t="shared" si="11"/>
        <v>-2.2275729126749408</v>
      </c>
      <c r="F765" s="7">
        <f>SQRT(IRS_returns_2015_25[[#This Row],[  σ2]])</f>
        <v>3.4620883197987085</v>
      </c>
    </row>
    <row r="766" spans="1:6" x14ac:dyDescent="0.3">
      <c r="A766" s="2">
        <v>43143</v>
      </c>
      <c r="B766" s="1">
        <v>5.8626245747148253</v>
      </c>
      <c r="C766" s="1">
        <f>IRS_returns_2015_25[[#This Row],[IRSrtn]]-AVERAGE($B$2:$B$2600)</f>
        <v>5.8568480806482093</v>
      </c>
      <c r="D766" s="1">
        <f>w+a*C765^2+b*D765</f>
        <v>9.714527800214201</v>
      </c>
      <c r="E766" s="1">
        <f t="shared" si="11"/>
        <v>-3.8212843473228171</v>
      </c>
      <c r="F766" s="7">
        <f>SQRT(IRS_returns_2015_25[[#This Row],[  σ2]])</f>
        <v>3.1168137256201565</v>
      </c>
    </row>
    <row r="767" spans="1:6" x14ac:dyDescent="0.3">
      <c r="A767" s="2">
        <v>43144</v>
      </c>
      <c r="B767" s="1">
        <v>1.4409944774001371</v>
      </c>
      <c r="C767" s="1">
        <f>IRS_returns_2015_25[[#This Row],[IRSrtn]]-AVERAGE($B$2:$B$2600)</f>
        <v>1.4352179833335212</v>
      </c>
      <c r="D767" s="1">
        <f>w+a*C766^2+b*D766</f>
        <v>16.170225450018286</v>
      </c>
      <c r="E767" s="1">
        <f t="shared" si="11"/>
        <v>-2.3742170418943411</v>
      </c>
      <c r="F767" s="7">
        <f>SQRT(IRS_returns_2015_25[[#This Row],[  σ2]])</f>
        <v>4.021221885200851</v>
      </c>
    </row>
    <row r="768" spans="1:6" x14ac:dyDescent="0.3">
      <c r="A768" s="2">
        <v>43145</v>
      </c>
      <c r="B768" s="1">
        <v>-2.4509031589611485</v>
      </c>
      <c r="C768" s="1">
        <f>IRS_returns_2015_25[[#This Row],[IRSrtn]]-AVERAGE($B$2:$B$2600)</f>
        <v>-2.4566796530277641</v>
      </c>
      <c r="D768" s="1">
        <f>w+a*C767^2+b*D767</f>
        <v>12.611935931999954</v>
      </c>
      <c r="E768" s="1">
        <f t="shared" si="11"/>
        <v>-2.4255287424670597</v>
      </c>
      <c r="F768" s="7">
        <f>SQRT(IRS_returns_2015_25[[#This Row],[  σ2]])</f>
        <v>3.5513287558320976</v>
      </c>
    </row>
    <row r="769" spans="1:6" x14ac:dyDescent="0.3">
      <c r="A769" s="2">
        <v>43146</v>
      </c>
      <c r="B769" s="1">
        <v>1.677567416580672</v>
      </c>
      <c r="C769" s="1">
        <f>IRS_returns_2015_25[[#This Row],[IRSrtn]]-AVERAGE($B$2:$B$2600)</f>
        <v>1.6717909225140561</v>
      </c>
      <c r="D769" s="1">
        <f>w+a*C768^2+b*D768</f>
        <v>11.211734330141139</v>
      </c>
      <c r="E769" s="1">
        <f t="shared" si="11"/>
        <v>-2.2520600615193063</v>
      </c>
      <c r="F769" s="7">
        <f>SQRT(IRS_returns_2015_25[[#This Row],[  σ2]])</f>
        <v>3.3483927980661319</v>
      </c>
    </row>
    <row r="770" spans="1:6" x14ac:dyDescent="0.3">
      <c r="A770" s="2">
        <v>43147</v>
      </c>
      <c r="B770" s="1">
        <v>0.77333574238047653</v>
      </c>
      <c r="C770" s="1">
        <f>IRS_returns_2015_25[[#This Row],[IRSrtn]]-AVERAGE($B$2:$B$2600)</f>
        <v>0.76755924831386069</v>
      </c>
      <c r="D770" s="1">
        <f>w+a*C769^2+b*D769</f>
        <v>9.4900764405329667</v>
      </c>
      <c r="E770" s="1">
        <f t="shared" ref="E770:E833" si="12">-0.5*(LN(2*PI())+LN(D770)+C770^2/D770)</f>
        <v>-2.0751020383798036</v>
      </c>
      <c r="F770" s="7">
        <f>SQRT(IRS_returns_2015_25[[#This Row],[  σ2]])</f>
        <v>3.0805967669484051</v>
      </c>
    </row>
    <row r="771" spans="1:6" x14ac:dyDescent="0.3">
      <c r="A771" s="2">
        <v>43151</v>
      </c>
      <c r="B771" s="1">
        <v>-0.84729565944527963</v>
      </c>
      <c r="C771" s="1">
        <f>IRS_returns_2015_25[[#This Row],[IRSrtn]]-AVERAGE($B$2:$B$2600)</f>
        <v>-0.85307215351189547</v>
      </c>
      <c r="D771" s="1">
        <f>w+a*C770^2+b*D770</f>
        <v>7.8065125309634462</v>
      </c>
      <c r="E771" s="1">
        <f t="shared" si="12"/>
        <v>-1.9930282723051378</v>
      </c>
      <c r="F771" s="7">
        <f>SQRT(IRS_returns_2015_25[[#This Row],[  σ2]])</f>
        <v>2.7940136955576018</v>
      </c>
    </row>
    <row r="772" spans="1:6" x14ac:dyDescent="0.3">
      <c r="A772" s="2">
        <v>43152</v>
      </c>
      <c r="B772" s="1">
        <v>0.99393896695243455</v>
      </c>
      <c r="C772" s="1">
        <f>IRS_returns_2015_25[[#This Row],[IRSrtn]]-AVERAGE($B$2:$B$2600)</f>
        <v>0.98816247288581871</v>
      </c>
      <c r="D772" s="1">
        <f>w+a*C771^2+b*D771</f>
        <v>6.7195020771127334</v>
      </c>
      <c r="E772" s="1">
        <f t="shared" si="12"/>
        <v>-1.9441045962369066</v>
      </c>
      <c r="F772" s="7">
        <f>SQRT(IRS_returns_2015_25[[#This Row],[  σ2]])</f>
        <v>2.5922002386221505</v>
      </c>
    </row>
    <row r="773" spans="1:6" x14ac:dyDescent="0.3">
      <c r="A773" s="2">
        <v>43153</v>
      </c>
      <c r="B773" s="1">
        <v>-1.104998212491326</v>
      </c>
      <c r="C773" s="1">
        <f>IRS_returns_2015_25[[#This Row],[IRSrtn]]-AVERAGE($B$2:$B$2600)</f>
        <v>-1.1107747065579419</v>
      </c>
      <c r="D773" s="1">
        <f>w+a*C772^2+b*D772</f>
        <v>6.0564647819555599</v>
      </c>
      <c r="E773" s="1">
        <f t="shared" si="12"/>
        <v>-1.9213614524071685</v>
      </c>
      <c r="F773" s="7">
        <f>SQRT(IRS_returns_2015_25[[#This Row],[  σ2]])</f>
        <v>2.4609885781847018</v>
      </c>
    </row>
    <row r="774" spans="1:6" x14ac:dyDescent="0.3">
      <c r="A774" s="2">
        <v>43154</v>
      </c>
      <c r="B774" s="1">
        <v>1.2148211775671935</v>
      </c>
      <c r="C774" s="1">
        <f>IRS_returns_2015_25[[#This Row],[IRSrtn]]-AVERAGE($B$2:$B$2600)</f>
        <v>1.2090446835005777</v>
      </c>
      <c r="D774" s="1">
        <f>w+a*C773^2+b*D773</f>
        <v>5.677774350839937</v>
      </c>
      <c r="E774" s="1">
        <f t="shared" si="12"/>
        <v>-1.9159472457685514</v>
      </c>
      <c r="F774" s="7">
        <f>SQRT(IRS_returns_2015_25[[#This Row],[  σ2]])</f>
        <v>2.3828080809918237</v>
      </c>
    </row>
    <row r="775" spans="1:6" x14ac:dyDescent="0.3">
      <c r="A775" s="2">
        <v>43157</v>
      </c>
      <c r="B775" s="1">
        <v>0.8017613801972967</v>
      </c>
      <c r="C775" s="1">
        <f>IRS_returns_2015_25[[#This Row],[IRSrtn]]-AVERAGE($B$2:$B$2600)</f>
        <v>0.79598488613068086</v>
      </c>
      <c r="D775" s="1">
        <f>w+a*C774^2+b*D774</f>
        <v>5.4812182978491233</v>
      </c>
      <c r="E775" s="1">
        <f t="shared" si="12"/>
        <v>-1.8273988641922005</v>
      </c>
      <c r="F775" s="7">
        <f>SQRT(IRS_returns_2015_25[[#This Row],[  σ2]])</f>
        <v>2.341200183207135</v>
      </c>
    </row>
    <row r="776" spans="1:6" x14ac:dyDescent="0.3">
      <c r="A776" s="2">
        <v>43158</v>
      </c>
      <c r="B776" s="1">
        <v>-3.6310165513597781E-2</v>
      </c>
      <c r="C776" s="1">
        <f>IRS_returns_2015_25[[#This Row],[IRSrtn]]-AVERAGE($B$2:$B$2600)</f>
        <v>-4.2086659580213577E-2</v>
      </c>
      <c r="D776" s="1">
        <f>w+a*C775^2+b*D775</f>
        <v>5.1485776144841608</v>
      </c>
      <c r="E776" s="1">
        <f t="shared" si="12"/>
        <v>-1.7384707929004184</v>
      </c>
      <c r="F776" s="7">
        <f>SQRT(IRS_returns_2015_25[[#This Row],[  σ2]])</f>
        <v>2.269047732967326</v>
      </c>
    </row>
    <row r="777" spans="1:6" x14ac:dyDescent="0.3">
      <c r="A777" s="2">
        <v>43159</v>
      </c>
      <c r="B777" s="1">
        <v>1.0115636739459255</v>
      </c>
      <c r="C777" s="1">
        <f>IRS_returns_2015_25[[#This Row],[IRSrtn]]-AVERAGE($B$2:$B$2600)</f>
        <v>1.0057871798793097</v>
      </c>
      <c r="D777" s="1">
        <f>w+a*C776^2+b*D776</f>
        <v>4.7731901962767251</v>
      </c>
      <c r="E777" s="1">
        <f t="shared" si="12"/>
        <v>-1.8064136631926453</v>
      </c>
      <c r="F777" s="7">
        <f>SQRT(IRS_returns_2015_25[[#This Row],[  σ2]])</f>
        <v>2.1847631899765991</v>
      </c>
    </row>
    <row r="778" spans="1:6" x14ac:dyDescent="0.3">
      <c r="A778" s="2">
        <v>43160</v>
      </c>
      <c r="B778" s="1">
        <v>-2.2170654256247424</v>
      </c>
      <c r="C778" s="1">
        <f>IRS_returns_2015_25[[#This Row],[IRSrtn]]-AVERAGE($B$2:$B$2600)</f>
        <v>-2.222841919691358</v>
      </c>
      <c r="D778" s="1">
        <f>w+a*C777^2+b*D777</f>
        <v>4.7693349633715822</v>
      </c>
      <c r="E778" s="1">
        <f t="shared" si="12"/>
        <v>-2.2180414649230524</v>
      </c>
      <c r="F778" s="7">
        <f>SQRT(IRS_returns_2015_25[[#This Row],[  σ2]])</f>
        <v>2.1838807117998873</v>
      </c>
    </row>
    <row r="779" spans="1:6" x14ac:dyDescent="0.3">
      <c r="A779" s="2">
        <v>43161</v>
      </c>
      <c r="B779" s="1">
        <v>-2.9841658906301749</v>
      </c>
      <c r="C779" s="1">
        <f>IRS_returns_2015_25[[#This Row],[IRSrtn]]-AVERAGE($B$2:$B$2600)</f>
        <v>-2.9899423846967905</v>
      </c>
      <c r="D779" s="1">
        <f>w+a*C778^2+b*D778</f>
        <v>5.7241703423862749</v>
      </c>
      <c r="E779" s="1">
        <f t="shared" si="12"/>
        <v>-2.5721651763570805</v>
      </c>
      <c r="F779" s="7">
        <f>SQRT(IRS_returns_2015_25[[#This Row],[  σ2]])</f>
        <v>2.3925238436400744</v>
      </c>
    </row>
    <row r="780" spans="1:6" x14ac:dyDescent="0.3">
      <c r="A780" s="2">
        <v>43164</v>
      </c>
      <c r="B780" s="1">
        <v>-1.1424494036831323</v>
      </c>
      <c r="C780" s="1">
        <f>IRS_returns_2015_25[[#This Row],[IRSrtn]]-AVERAGE($B$2:$B$2600)</f>
        <v>-1.1482258977497481</v>
      </c>
      <c r="D780" s="1">
        <f>w+a*C779^2+b*D779</f>
        <v>7.3341096731081503</v>
      </c>
      <c r="E780" s="1">
        <f t="shared" si="12"/>
        <v>-2.005089487245769</v>
      </c>
      <c r="F780" s="7">
        <f>SQRT(IRS_returns_2015_25[[#This Row],[  σ2]])</f>
        <v>2.7081561389824165</v>
      </c>
    </row>
    <row r="781" spans="1:6" x14ac:dyDescent="0.3">
      <c r="A781" s="2">
        <v>43165</v>
      </c>
      <c r="B781" s="1">
        <v>1.2937832151101336</v>
      </c>
      <c r="C781" s="1">
        <f>IRS_returns_2015_25[[#This Row],[IRSrtn]]-AVERAGE($B$2:$B$2600)</f>
        <v>1.2880067210435178</v>
      </c>
      <c r="D781" s="1">
        <f>w+a*C780^2+b*D780</f>
        <v>6.5489372305180815</v>
      </c>
      <c r="E781" s="1">
        <f t="shared" si="12"/>
        <v>-1.9852487432189105</v>
      </c>
      <c r="F781" s="7">
        <f>SQRT(IRS_returns_2015_25[[#This Row],[  σ2]])</f>
        <v>2.5590891407917158</v>
      </c>
    </row>
    <row r="782" spans="1:6" x14ac:dyDescent="0.3">
      <c r="A782" s="2">
        <v>43166</v>
      </c>
      <c r="B782" s="1">
        <v>0.15111365146984745</v>
      </c>
      <c r="C782" s="1">
        <f>IRS_returns_2015_25[[#This Row],[IRSrtn]]-AVERAGE($B$2:$B$2600)</f>
        <v>0.14533715740323166</v>
      </c>
      <c r="D782" s="1">
        <f>w+a*C781^2+b*D781</f>
        <v>6.109206964075871</v>
      </c>
      <c r="E782" s="1">
        <f t="shared" si="12"/>
        <v>-1.8255657940918117</v>
      </c>
      <c r="F782" s="7">
        <f>SQRT(IRS_returns_2015_25[[#This Row],[  σ2]])</f>
        <v>2.4716809996591129</v>
      </c>
    </row>
    <row r="783" spans="1:6" x14ac:dyDescent="0.3">
      <c r="A783" s="2">
        <v>43167</v>
      </c>
      <c r="B783" s="1">
        <v>-1.4832013320842385</v>
      </c>
      <c r="C783" s="1">
        <f>IRS_returns_2015_25[[#This Row],[IRSrtn]]-AVERAGE($B$2:$B$2600)</f>
        <v>-1.4889778261508544</v>
      </c>
      <c r="D783" s="1">
        <f>w+a*C782^2+b*D782</f>
        <v>5.4174122230601878</v>
      </c>
      <c r="E783" s="1">
        <f t="shared" si="12"/>
        <v>-1.9683707222546338</v>
      </c>
      <c r="F783" s="7">
        <f>SQRT(IRS_returns_2015_25[[#This Row],[  σ2]])</f>
        <v>2.3275335063238485</v>
      </c>
    </row>
    <row r="784" spans="1:6" x14ac:dyDescent="0.3">
      <c r="A784" s="2">
        <v>43168</v>
      </c>
      <c r="B784" s="1">
        <v>-0.19175137897362582</v>
      </c>
      <c r="C784" s="1">
        <f>IRS_returns_2015_25[[#This Row],[IRSrtn]]-AVERAGE($B$2:$B$2600)</f>
        <v>-0.19752787304024161</v>
      </c>
      <c r="D784" s="1">
        <f>w+a*C783^2+b*D783</f>
        <v>5.4919112446398266</v>
      </c>
      <c r="E784" s="1">
        <f t="shared" si="12"/>
        <v>-1.7741289445931256</v>
      </c>
      <c r="F784" s="7">
        <f>SQRT(IRS_returns_2015_25[[#This Row],[  σ2]])</f>
        <v>2.3434827169492474</v>
      </c>
    </row>
    <row r="785" spans="1:6" x14ac:dyDescent="0.3">
      <c r="A785" s="2">
        <v>43171</v>
      </c>
      <c r="B785" s="1">
        <v>-0.11523103197417228</v>
      </c>
      <c r="C785" s="1">
        <f>IRS_returns_2015_25[[#This Row],[IRSrtn]]-AVERAGE($B$2:$B$2600)</f>
        <v>-0.12100752604078807</v>
      </c>
      <c r="D785" s="1">
        <f>w+a*C784^2+b*D784</f>
        <v>5.0108281049993773</v>
      </c>
      <c r="E785" s="1">
        <f t="shared" si="12"/>
        <v>-1.7262002470413258</v>
      </c>
      <c r="F785" s="7">
        <f>SQRT(IRS_returns_2015_25[[#This Row],[  σ2]])</f>
        <v>2.2384879059310054</v>
      </c>
    </row>
    <row r="786" spans="1:6" x14ac:dyDescent="0.3">
      <c r="A786" s="2">
        <v>43172</v>
      </c>
      <c r="B786" s="1">
        <v>-0.30792769555625377</v>
      </c>
      <c r="C786" s="1">
        <f>IRS_returns_2015_25[[#This Row],[IRSrtn]]-AVERAGE($B$2:$B$2600)</f>
        <v>-0.31370418962286956</v>
      </c>
      <c r="D786" s="1">
        <f>w+a*C785^2+b*D785</f>
        <v>4.6846241919513663</v>
      </c>
      <c r="E786" s="1">
        <f t="shared" si="12"/>
        <v>-1.7015849264925522</v>
      </c>
      <c r="F786" s="7">
        <f>SQRT(IRS_returns_2015_25[[#This Row],[  σ2]])</f>
        <v>2.1643992681460982</v>
      </c>
    </row>
    <row r="787" spans="1:6" x14ac:dyDescent="0.3">
      <c r="A787" s="2">
        <v>43173</v>
      </c>
      <c r="B787" s="1">
        <v>-0.81285725635895645</v>
      </c>
      <c r="C787" s="1">
        <f>IRS_returns_2015_25[[#This Row],[IRSrtn]]-AVERAGE($B$2:$B$2600)</f>
        <v>-0.81863375042557229</v>
      </c>
      <c r="D787" s="1">
        <f>w+a*C786^2+b*D786</f>
        <v>4.4878747264124561</v>
      </c>
      <c r="E787" s="1">
        <f t="shared" si="12"/>
        <v>-1.7442916993935917</v>
      </c>
      <c r="F787" s="7">
        <f>SQRT(IRS_returns_2015_25[[#This Row],[  σ2]])</f>
        <v>2.1184604613757738</v>
      </c>
    </row>
    <row r="788" spans="1:6" x14ac:dyDescent="0.3">
      <c r="A788" s="2">
        <v>43174</v>
      </c>
      <c r="B788" s="1">
        <v>0.85140663043512532</v>
      </c>
      <c r="C788" s="1">
        <f>IRS_returns_2015_25[[#This Row],[IRSrtn]]-AVERAGE($B$2:$B$2600)</f>
        <v>0.84563013636850948</v>
      </c>
      <c r="D788" s="1">
        <f>w+a*C787^2+b*D787</f>
        <v>4.4962022931291541</v>
      </c>
      <c r="E788" s="1">
        <f t="shared" si="12"/>
        <v>-1.7500766778866677</v>
      </c>
      <c r="F788" s="7">
        <f>SQRT(IRS_returns_2015_25[[#This Row],[  σ2]])</f>
        <v>2.1204250265286801</v>
      </c>
    </row>
    <row r="789" spans="1:6" x14ac:dyDescent="0.3">
      <c r="A789" s="2">
        <v>43175</v>
      </c>
      <c r="B789" s="1">
        <v>1.2636491346539991</v>
      </c>
      <c r="C789" s="1">
        <f>IRS_returns_2015_25[[#This Row],[IRSrtn]]-AVERAGE($B$2:$B$2600)</f>
        <v>1.2578726405873832</v>
      </c>
      <c r="D789" s="1">
        <f>w+a*C788^2+b*D788</f>
        <v>4.5126930607838958</v>
      </c>
      <c r="E789" s="1">
        <f t="shared" si="12"/>
        <v>-1.8476959341461985</v>
      </c>
      <c r="F789" s="7">
        <f>SQRT(IRS_returns_2015_25[[#This Row],[  σ2]])</f>
        <v>2.1243100199320946</v>
      </c>
    </row>
    <row r="790" spans="1:6" x14ac:dyDescent="0.3">
      <c r="A790" s="2">
        <v>43178</v>
      </c>
      <c r="B790" s="1">
        <v>-3.2092379474499388</v>
      </c>
      <c r="C790" s="1">
        <f>IRS_returns_2015_25[[#This Row],[IRSrtn]]-AVERAGE($B$2:$B$2600)</f>
        <v>-3.2150144415165545</v>
      </c>
      <c r="D790" s="1">
        <f>w+a*C789^2+b*D789</f>
        <v>4.7349529298470099</v>
      </c>
      <c r="E790" s="1">
        <f t="shared" si="12"/>
        <v>-2.7879155150113535</v>
      </c>
      <c r="F790" s="7">
        <f>SQRT(IRS_returns_2015_25[[#This Row],[  σ2]])</f>
        <v>2.1759946989473598</v>
      </c>
    </row>
    <row r="791" spans="1:6" x14ac:dyDescent="0.3">
      <c r="A791" s="2">
        <v>43179</v>
      </c>
      <c r="B791" s="1">
        <v>-3.8042705557790324</v>
      </c>
      <c r="C791" s="1">
        <f>IRS_returns_2015_25[[#This Row],[IRSrtn]]-AVERAGE($B$2:$B$2600)</f>
        <v>-3.810047049845648</v>
      </c>
      <c r="D791" s="1">
        <f>w+a*C790^2+b*D790</f>
        <v>7.0158432131447581</v>
      </c>
      <c r="E791" s="1">
        <f t="shared" si="12"/>
        <v>-2.9275723714441426</v>
      </c>
      <c r="F791" s="7">
        <f>SQRT(IRS_returns_2015_25[[#This Row],[  σ2]])</f>
        <v>2.6487437046918596</v>
      </c>
    </row>
    <row r="792" spans="1:6" x14ac:dyDescent="0.3">
      <c r="A792" s="2">
        <v>43180</v>
      </c>
      <c r="B792" s="1">
        <v>-3.3619980367308067</v>
      </c>
      <c r="C792" s="1">
        <f>IRS_returns_2015_25[[#This Row],[IRSrtn]]-AVERAGE($B$2:$B$2600)</f>
        <v>-3.3677745307974223</v>
      </c>
      <c r="D792" s="1">
        <f>w+a*C791^2+b*D791</f>
        <v>9.5527603018491494</v>
      </c>
      <c r="E792" s="1">
        <f t="shared" si="12"/>
        <v>-2.6409990534906482</v>
      </c>
      <c r="F792" s="7">
        <f>SQRT(IRS_returns_2015_25[[#This Row],[  σ2]])</f>
        <v>3.0907540021569413</v>
      </c>
    </row>
    <row r="793" spans="1:6" x14ac:dyDescent="0.3">
      <c r="A793" s="2">
        <v>43181</v>
      </c>
      <c r="B793" s="1">
        <v>-2.9558901243929014</v>
      </c>
      <c r="C793" s="1">
        <f>IRS_returns_2015_25[[#This Row],[IRSrtn]]-AVERAGE($B$2:$B$2600)</f>
        <v>-2.9616666184595171</v>
      </c>
      <c r="D793" s="1">
        <f>w+a*C792^2+b*D792</f>
        <v>10.468149247311175</v>
      </c>
      <c r="E793" s="1">
        <f t="shared" si="12"/>
        <v>-2.5120670368049933</v>
      </c>
      <c r="F793" s="7">
        <f>SQRT(IRS_returns_2015_25[[#This Row],[  σ2]])</f>
        <v>3.2354519386495566</v>
      </c>
    </row>
    <row r="794" spans="1:6" x14ac:dyDescent="0.3">
      <c r="A794" s="2">
        <v>43182</v>
      </c>
      <c r="B794" s="1">
        <v>1.1670720765957654</v>
      </c>
      <c r="C794" s="1">
        <f>IRS_returns_2015_25[[#This Row],[IRSrtn]]-AVERAGE($B$2:$B$2600)</f>
        <v>1.1612955825291496</v>
      </c>
      <c r="D794" s="1">
        <f>w+a*C793^2+b*D793</f>
        <v>10.451252798494011</v>
      </c>
      <c r="E794" s="1">
        <f t="shared" si="12"/>
        <v>-2.156818397766687</v>
      </c>
      <c r="F794" s="7">
        <f>SQRT(IRS_returns_2015_25[[#This Row],[  σ2]])</f>
        <v>3.232839742160754</v>
      </c>
    </row>
    <row r="795" spans="1:6" x14ac:dyDescent="0.3">
      <c r="A795" s="2">
        <v>43185</v>
      </c>
      <c r="B795" s="1">
        <v>0.12884970987645517</v>
      </c>
      <c r="C795" s="1">
        <f>IRS_returns_2015_25[[#This Row],[IRSrtn]]-AVERAGE($B$2:$B$2600)</f>
        <v>0.12307321580983938</v>
      </c>
      <c r="D795" s="1">
        <f>w+a*C794^2+b*D794</f>
        <v>8.6314260064045509</v>
      </c>
      <c r="E795" s="1">
        <f t="shared" si="12"/>
        <v>-1.9975208322528246</v>
      </c>
      <c r="F795" s="7">
        <f>SQRT(IRS_returns_2015_25[[#This Row],[  σ2]])</f>
        <v>2.9379288634009759</v>
      </c>
    </row>
    <row r="796" spans="1:6" x14ac:dyDescent="0.3">
      <c r="A796" s="2">
        <v>43186</v>
      </c>
      <c r="B796" s="1">
        <v>0.42824930334499633</v>
      </c>
      <c r="C796" s="1">
        <f>IRS_returns_2015_25[[#This Row],[IRSrtn]]-AVERAGE($B$2:$B$2600)</f>
        <v>0.42247280927838055</v>
      </c>
      <c r="D796" s="1">
        <f>w+a*C795^2+b*D795</f>
        <v>7.0950395741568393</v>
      </c>
      <c r="E796" s="1">
        <f t="shared" si="12"/>
        <v>-1.9112145097295614</v>
      </c>
      <c r="F796" s="7">
        <f>SQRT(IRS_returns_2015_25[[#This Row],[  σ2]])</f>
        <v>2.6636515489374428</v>
      </c>
    </row>
    <row r="797" spans="1:6" x14ac:dyDescent="0.3">
      <c r="A797" s="2">
        <v>43187</v>
      </c>
      <c r="B797" s="1">
        <v>-1.0309215360000845</v>
      </c>
      <c r="C797" s="1">
        <f>IRS_returns_2015_25[[#This Row],[IRSrtn]]-AVERAGE($B$2:$B$2600)</f>
        <v>-1.0366980300667004</v>
      </c>
      <c r="D797" s="1">
        <f>w+a*C796^2+b*D796</f>
        <v>6.1120382896086163</v>
      </c>
      <c r="E797" s="1">
        <f t="shared" si="12"/>
        <v>-1.911988854471828</v>
      </c>
      <c r="F797" s="7">
        <f>SQRT(IRS_returns_2015_25[[#This Row],[  σ2]])</f>
        <v>2.4722536863373499</v>
      </c>
    </row>
    <row r="798" spans="1:6" x14ac:dyDescent="0.3">
      <c r="A798" s="2">
        <v>43188</v>
      </c>
      <c r="B798" s="1">
        <v>2.093632138187429</v>
      </c>
      <c r="C798" s="1">
        <f>IRS_returns_2015_25[[#This Row],[IRSrtn]]-AVERAGE($B$2:$B$2600)</f>
        <v>2.0878556441208134</v>
      </c>
      <c r="D798" s="1">
        <f>w+a*C797^2+b*D797</f>
        <v>5.6760113327271604</v>
      </c>
      <c r="E798" s="1">
        <f t="shared" si="12"/>
        <v>-2.1710597828270934</v>
      </c>
      <c r="F798" s="7">
        <f>SQRT(IRS_returns_2015_25[[#This Row],[  σ2]])</f>
        <v>2.3824381067988232</v>
      </c>
    </row>
    <row r="799" spans="1:6" x14ac:dyDescent="0.3">
      <c r="A799" s="2">
        <v>43192</v>
      </c>
      <c r="B799" s="1">
        <v>0.50612335080306714</v>
      </c>
      <c r="C799" s="1">
        <f>IRS_returns_2015_25[[#This Row],[IRSrtn]]-AVERAGE($B$2:$B$2600)</f>
        <v>0.5003468567364513</v>
      </c>
      <c r="D799" s="1">
        <f>w+a*C798^2+b*D798</f>
        <v>6.1859838070979807</v>
      </c>
      <c r="E799" s="1">
        <f t="shared" si="12"/>
        <v>-1.8503165786654145</v>
      </c>
      <c r="F799" s="7">
        <f>SQRT(IRS_returns_2015_25[[#This Row],[  σ2]])</f>
        <v>2.4871638078538334</v>
      </c>
    </row>
    <row r="800" spans="1:6" x14ac:dyDescent="0.3">
      <c r="A800" s="2">
        <v>43193</v>
      </c>
      <c r="B800" s="1">
        <v>2.3285932511637686</v>
      </c>
      <c r="C800" s="1">
        <f>IRS_returns_2015_25[[#This Row],[IRSrtn]]-AVERAGE($B$2:$B$2600)</f>
        <v>2.322816757097153</v>
      </c>
      <c r="D800" s="1">
        <f>w+a*C799^2+b*D799</f>
        <v>5.5243742466223029</v>
      </c>
      <c r="E800" s="1">
        <f t="shared" si="12"/>
        <v>-2.2618573561214452</v>
      </c>
      <c r="F800" s="7">
        <f>SQRT(IRS_returns_2015_25[[#This Row],[  σ2]])</f>
        <v>2.3503987420483154</v>
      </c>
    </row>
    <row r="801" spans="1:6" x14ac:dyDescent="0.3">
      <c r="A801" s="2">
        <v>43194</v>
      </c>
      <c r="B801" s="1">
        <v>2.3157585700507965</v>
      </c>
      <c r="C801" s="1">
        <f>IRS_returns_2015_25[[#This Row],[IRSrtn]]-AVERAGE($B$2:$B$2600)</f>
        <v>2.3099820759841809</v>
      </c>
      <c r="D801" s="1">
        <f>w+a*C800^2+b*D800</f>
        <v>6.3375396122057133</v>
      </c>
      <c r="E801" s="1">
        <f t="shared" si="12"/>
        <v>-2.2631687611479574</v>
      </c>
      <c r="F801" s="7">
        <f>SQRT(IRS_returns_2015_25[[#This Row],[  σ2]])</f>
        <v>2.51744704258217</v>
      </c>
    </row>
    <row r="802" spans="1:6" x14ac:dyDescent="0.3">
      <c r="A802" s="2">
        <v>43195</v>
      </c>
      <c r="B802" s="1">
        <v>1.5936682473514097</v>
      </c>
      <c r="C802" s="1">
        <f>IRS_returns_2015_25[[#This Row],[IRSrtn]]-AVERAGE($B$2:$B$2600)</f>
        <v>1.5878917532847938</v>
      </c>
      <c r="D802" s="1">
        <f>w+a*C801^2+b*D801</f>
        <v>6.8643898507470853</v>
      </c>
      <c r="E802" s="1">
        <f t="shared" si="12"/>
        <v>-2.0657701115446918</v>
      </c>
      <c r="F802" s="7">
        <f>SQRT(IRS_returns_2015_25[[#This Row],[  σ2]])</f>
        <v>2.619998063118957</v>
      </c>
    </row>
    <row r="803" spans="1:6" x14ac:dyDescent="0.3">
      <c r="A803" s="2">
        <v>43196</v>
      </c>
      <c r="B803" s="1">
        <v>0.1974300899408199</v>
      </c>
      <c r="C803" s="1">
        <f>IRS_returns_2015_25[[#This Row],[IRSrtn]]-AVERAGE($B$2:$B$2600)</f>
        <v>0.19165359587420411</v>
      </c>
      <c r="D803" s="1">
        <f>w+a*C802^2+b*D802</f>
        <v>6.5293420858023783</v>
      </c>
      <c r="E803" s="1">
        <f t="shared" si="12"/>
        <v>-1.859904398003025</v>
      </c>
      <c r="F803" s="7">
        <f>SQRT(IRS_returns_2015_25[[#This Row],[  σ2]])</f>
        <v>2.555257733733014</v>
      </c>
    </row>
    <row r="804" spans="1:6" x14ac:dyDescent="0.3">
      <c r="A804" s="2">
        <v>43199</v>
      </c>
      <c r="B804" s="1">
        <v>-0.11842374273651757</v>
      </c>
      <c r="C804" s="1">
        <f>IRS_returns_2015_25[[#This Row],[IRSrtn]]-AVERAGE($B$2:$B$2600)</f>
        <v>-0.12420023680313336</v>
      </c>
      <c r="D804" s="1">
        <f>w+a*C803^2+b*D803</f>
        <v>5.7009061325675958</v>
      </c>
      <c r="E804" s="1">
        <f t="shared" si="12"/>
        <v>-1.7906040160222694</v>
      </c>
      <c r="F804" s="7">
        <f>SQRT(IRS_returns_2015_25[[#This Row],[  σ2]])</f>
        <v>2.3876570383050399</v>
      </c>
    </row>
    <row r="805" spans="1:6" x14ac:dyDescent="0.3">
      <c r="A805" s="2">
        <v>43200</v>
      </c>
      <c r="B805" s="1">
        <v>0.55140983530632681</v>
      </c>
      <c r="C805" s="1">
        <f>IRS_returns_2015_25[[#This Row],[IRSrtn]]-AVERAGE($B$2:$B$2600)</f>
        <v>0.54563334123971097</v>
      </c>
      <c r="D805" s="1">
        <f>w+a*C804^2+b*D804</f>
        <v>5.1442114163135182</v>
      </c>
      <c r="E805" s="1">
        <f t="shared" si="12"/>
        <v>-1.7668115421805042</v>
      </c>
      <c r="F805" s="7">
        <f>SQRT(IRS_returns_2015_25[[#This Row],[  σ2]])</f>
        <v>2.2680854076320669</v>
      </c>
    </row>
    <row r="806" spans="1:6" x14ac:dyDescent="0.3">
      <c r="A806" s="2">
        <v>43201</v>
      </c>
      <c r="B806" s="1">
        <v>-0.74907409920617063</v>
      </c>
      <c r="C806" s="1">
        <f>IRS_returns_2015_25[[#This Row],[IRSrtn]]-AVERAGE($B$2:$B$2600)</f>
        <v>-0.75485059327278647</v>
      </c>
      <c r="D806" s="1">
        <f>w+a*C805^2+b*D805</f>
        <v>4.8423903434868327</v>
      </c>
      <c r="E806" s="1">
        <f t="shared" si="12"/>
        <v>-1.7664772884203697</v>
      </c>
      <c r="F806" s="7">
        <f>SQRT(IRS_returns_2015_25[[#This Row],[  σ2]])</f>
        <v>2.2005431928246337</v>
      </c>
    </row>
    <row r="807" spans="1:6" x14ac:dyDescent="0.3">
      <c r="A807" s="2">
        <v>43202</v>
      </c>
      <c r="B807" s="1">
        <v>1.6484018357459274</v>
      </c>
      <c r="C807" s="1">
        <f>IRS_returns_2015_25[[#This Row],[IRSrtn]]-AVERAGE($B$2:$B$2600)</f>
        <v>1.6426253416793115</v>
      </c>
      <c r="D807" s="1">
        <f>w+a*C806^2+b*D806</f>
        <v>4.7077561353900448</v>
      </c>
      <c r="E807" s="1">
        <f t="shared" si="12"/>
        <v>-1.9801157854571176</v>
      </c>
      <c r="F807" s="7">
        <f>SQRT(IRS_returns_2015_25[[#This Row],[  σ2]])</f>
        <v>2.1697364207179741</v>
      </c>
    </row>
    <row r="808" spans="1:6" x14ac:dyDescent="0.3">
      <c r="A808" s="2">
        <v>43203</v>
      </c>
      <c r="B808" s="1">
        <v>-2.3632494582767283</v>
      </c>
      <c r="C808" s="1">
        <f>IRS_returns_2015_25[[#This Row],[IRSrtn]]-AVERAGE($B$2:$B$2600)</f>
        <v>-2.3690259523433439</v>
      </c>
      <c r="D808" s="1">
        <f>w+a*C807^2+b*D807</f>
        <v>5.1367165913429957</v>
      </c>
      <c r="E808" s="1">
        <f t="shared" si="12"/>
        <v>-2.2834365610877487</v>
      </c>
      <c r="F808" s="7">
        <f>SQRT(IRS_returns_2015_25[[#This Row],[  σ2]])</f>
        <v>2.2664325693351204</v>
      </c>
    </row>
    <row r="809" spans="1:6" x14ac:dyDescent="0.3">
      <c r="A809" s="2">
        <v>43206</v>
      </c>
      <c r="B809" s="1">
        <v>-1.0819632822271608</v>
      </c>
      <c r="C809" s="1">
        <f>IRS_returns_2015_25[[#This Row],[IRSrtn]]-AVERAGE($B$2:$B$2600)</f>
        <v>-1.0877397762937766</v>
      </c>
      <c r="D809" s="1">
        <f>w+a*C808^2+b*D808</f>
        <v>6.1322942310071351</v>
      </c>
      <c r="E809" s="1">
        <f t="shared" si="12"/>
        <v>-1.9221940622521059</v>
      </c>
      <c r="F809" s="7">
        <f>SQRT(IRS_returns_2015_25[[#This Row],[  σ2]])</f>
        <v>2.4763469528737558</v>
      </c>
    </row>
    <row r="810" spans="1:6" x14ac:dyDescent="0.3">
      <c r="A810" s="2">
        <v>43207</v>
      </c>
      <c r="B810" s="1">
        <v>-0.24203639594393422</v>
      </c>
      <c r="C810" s="1">
        <f>IRS_returns_2015_25[[#This Row],[IRSrtn]]-AVERAGE($B$2:$B$2600)</f>
        <v>-0.24781289001055001</v>
      </c>
      <c r="D810" s="1">
        <f>w+a*C809^2+b*D809</f>
        <v>5.7159162178839136</v>
      </c>
      <c r="E810" s="1">
        <f t="shared" si="12"/>
        <v>-1.7959377841160107</v>
      </c>
      <c r="F810" s="7">
        <f>SQRT(IRS_returns_2015_25[[#This Row],[  σ2]])</f>
        <v>2.3907982386399556</v>
      </c>
    </row>
    <row r="811" spans="1:6" x14ac:dyDescent="0.3">
      <c r="A811" s="2">
        <v>43208</v>
      </c>
      <c r="B811" s="1">
        <v>1.0845620219756658</v>
      </c>
      <c r="C811" s="1">
        <f>IRS_returns_2015_25[[#This Row],[IRSrtn]]-AVERAGE($B$2:$B$2600)</f>
        <v>1.0787855279090499</v>
      </c>
      <c r="D811" s="1">
        <f>w+a*C810^2+b*D810</f>
        <v>5.1654082446380736</v>
      </c>
      <c r="E811" s="1">
        <f t="shared" si="12"/>
        <v>-1.8525817394068671</v>
      </c>
      <c r="F811" s="7">
        <f>SQRT(IRS_returns_2015_25[[#This Row],[  σ2]])</f>
        <v>2.2727534500332571</v>
      </c>
    </row>
    <row r="812" spans="1:6" x14ac:dyDescent="0.3">
      <c r="A812" s="2">
        <v>43209</v>
      </c>
      <c r="B812" s="1">
        <v>-1.3676771761895079</v>
      </c>
      <c r="C812" s="1">
        <f>IRS_returns_2015_25[[#This Row],[IRSrtn]]-AVERAGE($B$2:$B$2600)</f>
        <v>-1.3734536702561237</v>
      </c>
      <c r="D812" s="1">
        <f>w+a*C811^2+b*D811</f>
        <v>5.0675173474360715</v>
      </c>
      <c r="E812" s="1">
        <f t="shared" si="12"/>
        <v>-1.9164882208087881</v>
      </c>
      <c r="F812" s="7">
        <f>SQRT(IRS_returns_2015_25[[#This Row],[  σ2]])</f>
        <v>2.2511146899782943</v>
      </c>
    </row>
    <row r="813" spans="1:6" x14ac:dyDescent="0.3">
      <c r="A813" s="2">
        <v>43210</v>
      </c>
      <c r="B813" s="1">
        <v>-2.8344383953606833</v>
      </c>
      <c r="C813" s="1">
        <f>IRS_returns_2015_25[[#This Row],[IRSrtn]]-AVERAGE($B$2:$B$2600)</f>
        <v>-2.8402148894272989</v>
      </c>
      <c r="D813" s="1">
        <f>w+a*C812^2+b*D812</f>
        <v>5.1784102767813476</v>
      </c>
      <c r="E813" s="1">
        <f t="shared" si="12"/>
        <v>-2.5200772668350728</v>
      </c>
      <c r="F813" s="7">
        <f>SQRT(IRS_returns_2015_25[[#This Row],[  σ2]])</f>
        <v>2.2756120664079251</v>
      </c>
    </row>
    <row r="814" spans="1:6" x14ac:dyDescent="0.3">
      <c r="A814" s="2">
        <v>43213</v>
      </c>
      <c r="B814" s="1">
        <v>1.8576350984590206</v>
      </c>
      <c r="C814" s="1">
        <f>IRS_returns_2015_25[[#This Row],[IRSrtn]]-AVERAGE($B$2:$B$2600)</f>
        <v>1.8518586043924048</v>
      </c>
      <c r="D814" s="1">
        <f>w+a*C813^2+b*D813</f>
        <v>6.7580977026855615</v>
      </c>
      <c r="E814" s="1">
        <f t="shared" si="12"/>
        <v>-2.1280330434539056</v>
      </c>
      <c r="F814" s="7">
        <f>SQRT(IRS_returns_2015_25[[#This Row],[  σ2]])</f>
        <v>2.5996341478534171</v>
      </c>
    </row>
    <row r="815" spans="1:6" x14ac:dyDescent="0.3">
      <c r="A815" s="2">
        <v>43215</v>
      </c>
      <c r="B815" s="1">
        <v>1.7032083283622157</v>
      </c>
      <c r="C815" s="1">
        <f>IRS_returns_2015_25[[#This Row],[IRSrtn]]-AVERAGE($B$2:$B$2600)</f>
        <v>1.6974318342955999</v>
      </c>
      <c r="D815" s="1">
        <f>w+a*C814^2+b*D814</f>
        <v>6.6798107605536483</v>
      </c>
      <c r="E815" s="1">
        <f t="shared" si="12"/>
        <v>-2.084153755769742</v>
      </c>
      <c r="F815" s="7">
        <f>SQRT(IRS_returns_2015_25[[#This Row],[  σ2]])</f>
        <v>2.5845329869347089</v>
      </c>
    </row>
    <row r="816" spans="1:6" x14ac:dyDescent="0.3">
      <c r="A816" s="2">
        <v>43216</v>
      </c>
      <c r="B816" s="1">
        <v>-4.1878035462310503</v>
      </c>
      <c r="C816" s="1">
        <f>IRS_returns_2015_25[[#This Row],[IRSrtn]]-AVERAGE($B$2:$B$2600)</f>
        <v>-4.1935800402976664</v>
      </c>
      <c r="D816" s="1">
        <f>w+a*C815^2+b*D815</f>
        <v>6.4941480665067939</v>
      </c>
      <c r="E816" s="1">
        <f t="shared" si="12"/>
        <v>-3.2083862359211892</v>
      </c>
      <c r="F816" s="7">
        <f>SQRT(IRS_returns_2015_25[[#This Row],[  σ2]])</f>
        <v>2.5483618397917502</v>
      </c>
    </row>
    <row r="817" spans="1:6" x14ac:dyDescent="0.3">
      <c r="A817" s="2">
        <v>43217</v>
      </c>
      <c r="B817" s="1">
        <v>-1.0113904323644451</v>
      </c>
      <c r="C817" s="1">
        <f>IRS_returns_2015_25[[#This Row],[IRSrtn]]-AVERAGE($B$2:$B$2600)</f>
        <v>-1.017166926431061</v>
      </c>
      <c r="D817" s="1">
        <f>w+a*C816^2+b*D816</f>
        <v>9.9533798622489975</v>
      </c>
      <c r="E817" s="1">
        <f t="shared" si="12"/>
        <v>-2.1198683523308377</v>
      </c>
      <c r="F817" s="7">
        <f>SQRT(IRS_returns_2015_25[[#This Row],[  σ2]])</f>
        <v>3.1548977578122872</v>
      </c>
    </row>
    <row r="818" spans="1:6" x14ac:dyDescent="0.3">
      <c r="A818" s="2">
        <v>43220</v>
      </c>
      <c r="B818" s="1">
        <v>-2.8352400606655781</v>
      </c>
      <c r="C818" s="1">
        <f>IRS_returns_2015_25[[#This Row],[IRSrtn]]-AVERAGE($B$2:$B$2600)</f>
        <v>-2.8410165547321937</v>
      </c>
      <c r="D818" s="1">
        <f>w+a*C817^2+b*D817</f>
        <v>8.2234827916466404</v>
      </c>
      <c r="E818" s="1">
        <f t="shared" si="12"/>
        <v>-2.4631870651706991</v>
      </c>
      <c r="F818" s="7">
        <f>SQRT(IRS_returns_2015_25[[#This Row],[  σ2]])</f>
        <v>2.8676615545853106</v>
      </c>
    </row>
    <row r="819" spans="1:6" x14ac:dyDescent="0.3">
      <c r="A819" s="2">
        <v>43221</v>
      </c>
      <c r="B819" s="1">
        <v>-1.5810616205389483</v>
      </c>
      <c r="C819" s="1">
        <f>IRS_returns_2015_25[[#This Row],[IRSrtn]]-AVERAGE($B$2:$B$2600)</f>
        <v>-1.5868381146055641</v>
      </c>
      <c r="D819" s="1">
        <f>w+a*C818^2+b*D818</f>
        <v>8.7863630588605659</v>
      </c>
      <c r="E819" s="1">
        <f t="shared" si="12"/>
        <v>-2.1488323399825404</v>
      </c>
      <c r="F819" s="7">
        <f>SQRT(IRS_returns_2015_25[[#This Row],[  σ2]])</f>
        <v>2.9641799977161587</v>
      </c>
    </row>
    <row r="820" spans="1:6" x14ac:dyDescent="0.3">
      <c r="A820" s="2">
        <v>43222</v>
      </c>
      <c r="B820" s="1">
        <v>-3.7893667129682562</v>
      </c>
      <c r="C820" s="1">
        <f>IRS_returns_2015_25[[#This Row],[IRSrtn]]-AVERAGE($B$2:$B$2600)</f>
        <v>-3.7951432070348718</v>
      </c>
      <c r="D820" s="1">
        <f>w+a*C819^2+b*D819</f>
        <v>7.808016760095577</v>
      </c>
      <c r="E820" s="1">
        <f t="shared" si="12"/>
        <v>-2.8688424791070606</v>
      </c>
      <c r="F820" s="7">
        <f>SQRT(IRS_returns_2015_25[[#This Row],[  σ2]])</f>
        <v>2.7942828704509459</v>
      </c>
    </row>
    <row r="821" spans="1:6" x14ac:dyDescent="0.3">
      <c r="A821" s="2">
        <v>43223</v>
      </c>
      <c r="B821" s="1">
        <v>-2.5612459210508476</v>
      </c>
      <c r="C821" s="1">
        <f>IRS_returns_2015_25[[#This Row],[IRSrtn]]-AVERAGE($B$2:$B$2600)</f>
        <v>-2.5670224151174632</v>
      </c>
      <c r="D821" s="1">
        <f>w+a*C820^2+b*D820</f>
        <v>10.052506608741261</v>
      </c>
      <c r="E821" s="1">
        <f t="shared" si="12"/>
        <v>-2.4006087931193338</v>
      </c>
      <c r="F821" s="7">
        <f>SQRT(IRS_returns_2015_25[[#This Row],[  σ2]])</f>
        <v>3.1705688146989117</v>
      </c>
    </row>
    <row r="822" spans="1:6" x14ac:dyDescent="0.3">
      <c r="A822" s="2">
        <v>43224</v>
      </c>
      <c r="B822" s="1">
        <v>0.56443858866548346</v>
      </c>
      <c r="C822" s="1">
        <f>IRS_returns_2015_25[[#This Row],[IRSrtn]]-AVERAGE($B$2:$B$2600)</f>
        <v>0.55866209459886762</v>
      </c>
      <c r="D822" s="1">
        <f>w+a*C821^2+b*D821</f>
        <v>9.6429416252397395</v>
      </c>
      <c r="E822" s="1">
        <f t="shared" si="12"/>
        <v>-2.0682346323213556</v>
      </c>
      <c r="F822" s="7">
        <f>SQRT(IRS_returns_2015_25[[#This Row],[  σ2]])</f>
        <v>3.1053086199667401</v>
      </c>
    </row>
    <row r="823" spans="1:6" x14ac:dyDescent="0.3">
      <c r="A823" s="2">
        <v>43227</v>
      </c>
      <c r="B823" s="1">
        <v>0.79420407733157283</v>
      </c>
      <c r="C823" s="1">
        <f>IRS_returns_2015_25[[#This Row],[IRSrtn]]-AVERAGE($B$2:$B$2600)</f>
        <v>0.78842758326495699</v>
      </c>
      <c r="D823" s="1">
        <f>w+a*C822^2+b*D822</f>
        <v>7.8407757659761428</v>
      </c>
      <c r="E823" s="1">
        <f t="shared" si="12"/>
        <v>-1.988247508982163</v>
      </c>
      <c r="F823" s="7">
        <f>SQRT(IRS_returns_2015_25[[#This Row],[  σ2]])</f>
        <v>2.8001385262118985</v>
      </c>
    </row>
    <row r="824" spans="1:6" x14ac:dyDescent="0.3">
      <c r="A824" s="2">
        <v>43228</v>
      </c>
      <c r="B824" s="1">
        <v>-0.37295873687201997</v>
      </c>
      <c r="C824" s="1">
        <f>IRS_returns_2015_25[[#This Row],[IRSrtn]]-AVERAGE($B$2:$B$2600)</f>
        <v>-0.37873523093863576</v>
      </c>
      <c r="D824" s="1">
        <f>w+a*C823^2+b*D823</f>
        <v>6.7164570227769023</v>
      </c>
      <c r="E824" s="1">
        <f t="shared" si="12"/>
        <v>-1.8818972034339774</v>
      </c>
      <c r="F824" s="7">
        <f>SQRT(IRS_returns_2015_25[[#This Row],[  σ2]])</f>
        <v>2.5916128226988118</v>
      </c>
    </row>
    <row r="825" spans="1:6" x14ac:dyDescent="0.3">
      <c r="A825" s="2">
        <v>43229</v>
      </c>
      <c r="B825" s="1">
        <v>-3.6142797119810499</v>
      </c>
      <c r="C825" s="1">
        <f>IRS_returns_2015_25[[#This Row],[IRSrtn]]-AVERAGE($B$2:$B$2600)</f>
        <v>-3.6200562060476655</v>
      </c>
      <c r="D825" s="1">
        <f>w+a*C824^2+b*D824</f>
        <v>5.8514713634411093</v>
      </c>
      <c r="E825" s="1">
        <f t="shared" si="12"/>
        <v>-2.9220724309305361</v>
      </c>
      <c r="F825" s="7">
        <f>SQRT(IRS_returns_2015_25[[#This Row],[  σ2]])</f>
        <v>2.4189814723228267</v>
      </c>
    </row>
    <row r="826" spans="1:6" x14ac:dyDescent="0.3">
      <c r="A826" s="2">
        <v>43230</v>
      </c>
      <c r="B826" s="1">
        <v>3.1930343715214971</v>
      </c>
      <c r="C826" s="1">
        <f>IRS_returns_2015_25[[#This Row],[IRSrtn]]-AVERAGE($B$2:$B$2600)</f>
        <v>3.1872578774548814</v>
      </c>
      <c r="D826" s="1">
        <f>w+a*C825^2+b*D825</f>
        <v>8.4336699182261992</v>
      </c>
      <c r="E826" s="1">
        <f t="shared" si="12"/>
        <v>-2.5873197999073057</v>
      </c>
      <c r="F826" s="7">
        <f>SQRT(IRS_returns_2015_25[[#This Row],[  σ2]])</f>
        <v>2.904078152912934</v>
      </c>
    </row>
    <row r="827" spans="1:6" x14ac:dyDescent="0.3">
      <c r="A827" s="2">
        <v>43231</v>
      </c>
      <c r="B827" s="1">
        <v>-3.0478485209305184</v>
      </c>
      <c r="C827" s="1">
        <f>IRS_returns_2015_25[[#This Row],[IRSrtn]]-AVERAGE($B$2:$B$2600)</f>
        <v>-3.053625014997134</v>
      </c>
      <c r="D827" s="1">
        <f>w+a*C826^2+b*D826</f>
        <v>9.434843128083843</v>
      </c>
      <c r="E827" s="1">
        <f t="shared" si="12"/>
        <v>-2.5353023326489375</v>
      </c>
      <c r="F827" s="7">
        <f>SQRT(IRS_returns_2015_25[[#This Row],[  σ2]])</f>
        <v>3.0716189750820075</v>
      </c>
    </row>
    <row r="828" spans="1:6" x14ac:dyDescent="0.3">
      <c r="A828" s="2">
        <v>43234</v>
      </c>
      <c r="B828" s="1">
        <v>0.28970823888787578</v>
      </c>
      <c r="C828" s="1">
        <f>IRS_returns_2015_25[[#This Row],[IRSrtn]]-AVERAGE($B$2:$B$2600)</f>
        <v>0.28393174482125999</v>
      </c>
      <c r="D828" s="1">
        <f>w+a*C827^2+b*D827</f>
        <v>9.8981401161175349</v>
      </c>
      <c r="E828" s="1">
        <f t="shared" si="12"/>
        <v>-2.0691843120414219</v>
      </c>
      <c r="F828" s="7">
        <f>SQRT(IRS_returns_2015_25[[#This Row],[  σ2]])</f>
        <v>3.146130975677512</v>
      </c>
    </row>
    <row r="829" spans="1:6" x14ac:dyDescent="0.3">
      <c r="A829" s="2">
        <v>43235</v>
      </c>
      <c r="B829" s="1">
        <v>1.2934266926177163</v>
      </c>
      <c r="C829" s="1">
        <f>IRS_returns_2015_25[[#This Row],[IRSrtn]]-AVERAGE($B$2:$B$2600)</f>
        <v>1.2876501985511004</v>
      </c>
      <c r="D829" s="1">
        <f>w+a*C828^2+b*D828</f>
        <v>7.954264131779599</v>
      </c>
      <c r="E829" s="1">
        <f t="shared" si="12"/>
        <v>-2.0600161438697304</v>
      </c>
      <c r="F829" s="7">
        <f>SQRT(IRS_returns_2015_25[[#This Row],[  σ2]])</f>
        <v>2.8203305004519592</v>
      </c>
    </row>
    <row r="830" spans="1:6" x14ac:dyDescent="0.3">
      <c r="A830" s="2">
        <v>43236</v>
      </c>
      <c r="B830" s="1">
        <v>0.9474413992074826</v>
      </c>
      <c r="C830" s="1">
        <f>IRS_returns_2015_25[[#This Row],[IRSrtn]]-AVERAGE($B$2:$B$2600)</f>
        <v>0.94166490514086676</v>
      </c>
      <c r="D830" s="1">
        <f>w+a*C829^2+b*D829</f>
        <v>7.0445328313100903</v>
      </c>
      <c r="E830" s="1">
        <f t="shared" si="12"/>
        <v>-1.9580021065471476</v>
      </c>
      <c r="F830" s="7">
        <f>SQRT(IRS_returns_2015_25[[#This Row],[  σ2]])</f>
        <v>2.6541538823719493</v>
      </c>
    </row>
    <row r="831" spans="1:6" x14ac:dyDescent="0.3">
      <c r="A831" s="2">
        <v>43237</v>
      </c>
      <c r="B831" s="1">
        <v>-1.4245442768974215</v>
      </c>
      <c r="C831" s="1">
        <f>IRS_returns_2015_25[[#This Row],[IRSrtn]]-AVERAGE($B$2:$B$2600)</f>
        <v>-1.4303207709640373</v>
      </c>
      <c r="D831" s="1">
        <f>w+a*C830^2+b*D830</f>
        <v>6.2509799382810094</v>
      </c>
      <c r="E831" s="1">
        <f t="shared" si="12"/>
        <v>-1.9989473975284207</v>
      </c>
      <c r="F831" s="7">
        <f>SQRT(IRS_returns_2015_25[[#This Row],[  σ2]])</f>
        <v>2.5001959799745719</v>
      </c>
    </row>
    <row r="832" spans="1:6" x14ac:dyDescent="0.3">
      <c r="A832" s="2">
        <v>43238</v>
      </c>
      <c r="B832" s="1">
        <v>-2.3223085131350629</v>
      </c>
      <c r="C832" s="1">
        <f>IRS_returns_2015_25[[#This Row],[IRSrtn]]-AVERAGE($B$2:$B$2600)</f>
        <v>-2.3280850072016785</v>
      </c>
      <c r="D832" s="1">
        <f>w+a*C831^2+b*D831</f>
        <v>6.0051092370820829</v>
      </c>
      <c r="E832" s="1">
        <f t="shared" si="12"/>
        <v>-2.2665245564470844</v>
      </c>
      <c r="F832" s="7">
        <f>SQRT(IRS_returns_2015_25[[#This Row],[  σ2]])</f>
        <v>2.4505324395082151</v>
      </c>
    </row>
    <row r="833" spans="1:6" x14ac:dyDescent="0.3">
      <c r="A833" s="2">
        <v>43241</v>
      </c>
      <c r="B833" s="1">
        <v>-0.63834594872882455</v>
      </c>
      <c r="C833" s="1">
        <f>IRS_returns_2015_25[[#This Row],[IRSrtn]]-AVERAGE($B$2:$B$2600)</f>
        <v>-0.6441224427954404</v>
      </c>
      <c r="D833" s="1">
        <f>w+a*C832^2+b*D832</f>
        <v>6.6635428643723795</v>
      </c>
      <c r="E833" s="1">
        <f t="shared" si="12"/>
        <v>-1.8983958020195388</v>
      </c>
      <c r="F833" s="7">
        <f>SQRT(IRS_returns_2015_25[[#This Row],[  σ2]])</f>
        <v>2.5813839048797798</v>
      </c>
    </row>
    <row r="834" spans="1:6" x14ac:dyDescent="0.3">
      <c r="A834" s="2">
        <v>43242</v>
      </c>
      <c r="B834" s="1">
        <v>-0.94037694350381784</v>
      </c>
      <c r="C834" s="1">
        <f>IRS_returns_2015_25[[#This Row],[IRSrtn]]-AVERAGE($B$2:$B$2600)</f>
        <v>-0.94615343757043369</v>
      </c>
      <c r="D834" s="1">
        <f>w+a*C833^2+b*D833</f>
        <v>5.8823850688380244</v>
      </c>
      <c r="E834" s="1">
        <f t="shared" ref="E834:E897" si="13">-0.5*(LN(2*PI())+LN(D834)+C834^2/D834)</f>
        <v>-1.8810118072530928</v>
      </c>
      <c r="F834" s="7">
        <f>SQRT(IRS_returns_2015_25[[#This Row],[  σ2]])</f>
        <v>2.4253628736413906</v>
      </c>
    </row>
    <row r="835" spans="1:6" x14ac:dyDescent="0.3">
      <c r="A835" s="2">
        <v>43243</v>
      </c>
      <c r="B835" s="1">
        <v>2.3102537464932293</v>
      </c>
      <c r="C835" s="1">
        <f>IRS_returns_2015_25[[#This Row],[IRSrtn]]-AVERAGE($B$2:$B$2600)</f>
        <v>2.3044772524266137</v>
      </c>
      <c r="D835" s="1">
        <f>w+a*C834^2+b*D834</f>
        <v>5.4793833240159131</v>
      </c>
      <c r="E835" s="1">
        <f t="shared" si="13"/>
        <v>-2.2540345488582929</v>
      </c>
      <c r="F835" s="7">
        <f>SQRT(IRS_returns_2015_25[[#This Row],[  σ2]])</f>
        <v>2.3408082629758278</v>
      </c>
    </row>
    <row r="836" spans="1:6" x14ac:dyDescent="0.3">
      <c r="A836" s="2">
        <v>43244</v>
      </c>
      <c r="B836" s="1">
        <v>-2.2605314698837642</v>
      </c>
      <c r="C836" s="1">
        <f>IRS_returns_2015_25[[#This Row],[IRSrtn]]-AVERAGE($B$2:$B$2600)</f>
        <v>-2.2663079639503798</v>
      </c>
      <c r="D836" s="1">
        <f>w+a*C835^2+b*D835</f>
        <v>6.2869117281568574</v>
      </c>
      <c r="E836" s="1">
        <f t="shared" si="13"/>
        <v>-2.2466532299296502</v>
      </c>
      <c r="F836" s="7">
        <f>SQRT(IRS_returns_2015_25[[#This Row],[  σ2]])</f>
        <v>2.507371477894103</v>
      </c>
    </row>
    <row r="837" spans="1:6" x14ac:dyDescent="0.3">
      <c r="A837" s="2">
        <v>43245</v>
      </c>
      <c r="B837" s="1">
        <v>0.39683486220614128</v>
      </c>
      <c r="C837" s="1">
        <f>IRS_returns_2015_25[[#This Row],[IRSrtn]]-AVERAGE($B$2:$B$2600)</f>
        <v>0.39105836813952549</v>
      </c>
      <c r="D837" s="1">
        <f>w+a*C836^2+b*D836</f>
        <v>6.7819888627332201</v>
      </c>
      <c r="E837" s="1">
        <f t="shared" si="13"/>
        <v>-1.8873482030326247</v>
      </c>
      <c r="F837" s="7">
        <f>SQRT(IRS_returns_2015_25[[#This Row],[  σ2]])</f>
        <v>2.6042251943204184</v>
      </c>
    </row>
    <row r="838" spans="1:6" x14ac:dyDescent="0.3">
      <c r="A838" s="2">
        <v>43249</v>
      </c>
      <c r="B838" s="1">
        <v>-3.5781259524347409</v>
      </c>
      <c r="C838" s="1">
        <f>IRS_returns_2015_25[[#This Row],[IRSrtn]]-AVERAGE($B$2:$B$2600)</f>
        <v>-3.5839024465013565</v>
      </c>
      <c r="D838" s="1">
        <f>w+a*C837^2+b*D837</f>
        <v>5.8974083325675331</v>
      </c>
      <c r="E838" s="1">
        <f t="shared" si="13"/>
        <v>-2.8951781894752839</v>
      </c>
      <c r="F838" s="7">
        <f>SQRT(IRS_returns_2015_25[[#This Row],[  σ2]])</f>
        <v>2.4284580154014468</v>
      </c>
    </row>
    <row r="839" spans="1:6" x14ac:dyDescent="0.3">
      <c r="A839" s="2">
        <v>43250</v>
      </c>
      <c r="B839" s="1">
        <v>-0.20543161458324022</v>
      </c>
      <c r="C839" s="1">
        <f>IRS_returns_2015_25[[#This Row],[IRSrtn]]-AVERAGE($B$2:$B$2600)</f>
        <v>-0.21120810864985601</v>
      </c>
      <c r="D839" s="1">
        <f>w+a*C838^2+b*D838</f>
        <v>8.4007922980350145</v>
      </c>
      <c r="E839" s="1">
        <f t="shared" si="13"/>
        <v>-1.9857565836690052</v>
      </c>
      <c r="F839" s="7">
        <f>SQRT(IRS_returns_2015_25[[#This Row],[  σ2]])</f>
        <v>2.8984120304116554</v>
      </c>
    </row>
    <row r="840" spans="1:6" x14ac:dyDescent="0.3">
      <c r="A840" s="2">
        <v>43251</v>
      </c>
      <c r="B840" s="1">
        <v>-2.3408046045015229</v>
      </c>
      <c r="C840" s="1">
        <f>IRS_returns_2015_25[[#This Row],[IRSrtn]]-AVERAGE($B$2:$B$2600)</f>
        <v>-2.3465810985681386</v>
      </c>
      <c r="D840" s="1">
        <f>w+a*C839^2+b*D839</f>
        <v>6.9486812324646339</v>
      </c>
      <c r="E840" s="1">
        <f t="shared" si="13"/>
        <v>-2.2844366298496528</v>
      </c>
      <c r="F840" s="7">
        <f>SQRT(IRS_returns_2015_25[[#This Row],[  σ2]])</f>
        <v>2.6360351349070887</v>
      </c>
    </row>
    <row r="841" spans="1:6" x14ac:dyDescent="0.3">
      <c r="A841" s="2">
        <v>43252</v>
      </c>
      <c r="B841" s="1">
        <v>0.99503038241532948</v>
      </c>
      <c r="C841" s="1">
        <f>IRS_returns_2015_25[[#This Row],[IRSrtn]]-AVERAGE($B$2:$B$2600)</f>
        <v>0.98925388834871364</v>
      </c>
      <c r="D841" s="1">
        <f>w+a*C840^2+b*D840</f>
        <v>7.312761214401319</v>
      </c>
      <c r="E841" s="1">
        <f t="shared" si="13"/>
        <v>-1.9806610204123618</v>
      </c>
      <c r="F841" s="7">
        <f>SQRT(IRS_returns_2015_25[[#This Row],[  σ2]])</f>
        <v>2.7042117547265634</v>
      </c>
    </row>
    <row r="842" spans="1:6" x14ac:dyDescent="0.3">
      <c r="A842" s="2">
        <v>43255</v>
      </c>
      <c r="B842" s="1">
        <v>-0.41776460396776294</v>
      </c>
      <c r="C842" s="1">
        <f>IRS_returns_2015_25[[#This Row],[IRSrtn]]-AVERAGE($B$2:$B$2600)</f>
        <v>-0.42354109803437873</v>
      </c>
      <c r="D842" s="1">
        <f>w+a*C841^2+b*D841</f>
        <v>6.4519331457187272</v>
      </c>
      <c r="E842" s="1">
        <f t="shared" si="13"/>
        <v>-1.8650302396448324</v>
      </c>
      <c r="F842" s="7">
        <f>SQRT(IRS_returns_2015_25[[#This Row],[  σ2]])</f>
        <v>2.540065579019315</v>
      </c>
    </row>
    <row r="843" spans="1:6" x14ac:dyDescent="0.3">
      <c r="A843" s="2">
        <v>43256</v>
      </c>
      <c r="B843" s="1">
        <v>3.9502312085495372</v>
      </c>
      <c r="C843" s="1">
        <f>IRS_returns_2015_25[[#This Row],[IRSrtn]]-AVERAGE($B$2:$B$2600)</f>
        <v>3.9444547144829216</v>
      </c>
      <c r="D843" s="1">
        <f>w+a*C842^2+b*D842</f>
        <v>5.6841317992806006</v>
      </c>
      <c r="E843" s="1">
        <f t="shared" si="13"/>
        <v>-3.1563880620241829</v>
      </c>
      <c r="F843" s="7">
        <f>SQRT(IRS_returns_2015_25[[#This Row],[  σ2]])</f>
        <v>2.3841417322132088</v>
      </c>
    </row>
    <row r="844" spans="1:6" x14ac:dyDescent="0.3">
      <c r="A844" s="2">
        <v>43257</v>
      </c>
      <c r="B844" s="1">
        <v>-1.1636713104864693</v>
      </c>
      <c r="C844" s="1">
        <f>IRS_returns_2015_25[[#This Row],[IRSrtn]]-AVERAGE($B$2:$B$2600)</f>
        <v>-1.1694478045530852</v>
      </c>
      <c r="D844" s="1">
        <f>w+a*C843^2+b*D843</f>
        <v>8.9201652540354228</v>
      </c>
      <c r="E844" s="1">
        <f t="shared" si="13"/>
        <v>-2.0897539999936159</v>
      </c>
      <c r="F844" s="7">
        <f>SQRT(IRS_returns_2015_25[[#This Row],[  σ2]])</f>
        <v>2.9866645700572776</v>
      </c>
    </row>
    <row r="845" spans="1:6" x14ac:dyDescent="0.3">
      <c r="A845" s="2">
        <v>43258</v>
      </c>
      <c r="B845" s="1">
        <v>-2.7342482012775005</v>
      </c>
      <c r="C845" s="1">
        <f>IRS_returns_2015_25[[#This Row],[IRSrtn]]-AVERAGE($B$2:$B$2600)</f>
        <v>-2.7400246953441161</v>
      </c>
      <c r="D845" s="1">
        <f>w+a*C844^2+b*D844</f>
        <v>7.6167849638131884</v>
      </c>
      <c r="E845" s="1">
        <f t="shared" si="13"/>
        <v>-2.4269572051231609</v>
      </c>
      <c r="F845" s="7">
        <f>SQRT(IRS_returns_2015_25[[#This Row],[  σ2]])</f>
        <v>2.7598523445672214</v>
      </c>
    </row>
    <row r="846" spans="1:6" x14ac:dyDescent="0.3">
      <c r="A846" s="2">
        <v>43259</v>
      </c>
      <c r="B846" s="1">
        <v>-0.62957747523313401</v>
      </c>
      <c r="C846" s="1">
        <f>IRS_returns_2015_25[[#This Row],[IRSrtn]]-AVERAGE($B$2:$B$2600)</f>
        <v>-0.63535396929974985</v>
      </c>
      <c r="D846" s="1">
        <f>w+a*C845^2+b*D845</f>
        <v>8.2451434842900397</v>
      </c>
      <c r="E846" s="1">
        <f t="shared" si="13"/>
        <v>-1.9982302540538255</v>
      </c>
      <c r="F846" s="7">
        <f>SQRT(IRS_returns_2015_25[[#This Row],[  σ2]])</f>
        <v>2.8714357879447765</v>
      </c>
    </row>
    <row r="847" spans="1:6" x14ac:dyDescent="0.3">
      <c r="A847" s="2">
        <v>43262</v>
      </c>
      <c r="B847" s="1">
        <v>-2.6668275953341869</v>
      </c>
      <c r="C847" s="1">
        <f>IRS_returns_2015_25[[#This Row],[IRSrtn]]-AVERAGE($B$2:$B$2600)</f>
        <v>-2.6726040894008025</v>
      </c>
      <c r="D847" s="1">
        <f>w+a*C846^2+b*D846</f>
        <v>6.9325495151611767</v>
      </c>
      <c r="E847" s="1">
        <f t="shared" si="13"/>
        <v>-2.4022172726654407</v>
      </c>
      <c r="F847" s="7">
        <f>SQRT(IRS_returns_2015_25[[#This Row],[  σ2]])</f>
        <v>2.63297351205081</v>
      </c>
    </row>
    <row r="848" spans="1:6" x14ac:dyDescent="0.3">
      <c r="A848" s="2">
        <v>43263</v>
      </c>
      <c r="B848" s="1">
        <v>1.6086167254148798</v>
      </c>
      <c r="C848" s="1">
        <f>IRS_returns_2015_25[[#This Row],[IRSrtn]]-AVERAGE($B$2:$B$2600)</f>
        <v>1.6028402313482639</v>
      </c>
      <c r="D848" s="1">
        <f>w+a*C847^2+b*D847</f>
        <v>7.7007231757826542</v>
      </c>
      <c r="E848" s="1">
        <f t="shared" si="13"/>
        <v>-2.1064044563930784</v>
      </c>
      <c r="F848" s="7">
        <f>SQRT(IRS_returns_2015_25[[#This Row],[  σ2]])</f>
        <v>2.7750176892738279</v>
      </c>
    </row>
    <row r="849" spans="1:6" x14ac:dyDescent="0.3">
      <c r="A849" s="2">
        <v>43264</v>
      </c>
      <c r="B849" s="1">
        <v>-0.5333375803824314</v>
      </c>
      <c r="C849" s="1">
        <f>IRS_returns_2015_25[[#This Row],[IRSrtn]]-AVERAGE($B$2:$B$2600)</f>
        <v>-0.53911407444904724</v>
      </c>
      <c r="D849" s="1">
        <f>w+a*C848^2+b*D848</f>
        <v>7.0977244205996008</v>
      </c>
      <c r="E849" s="1">
        <f t="shared" si="13"/>
        <v>-1.9193000959037005</v>
      </c>
      <c r="F849" s="7">
        <f>SQRT(IRS_returns_2015_25[[#This Row],[  σ2]])</f>
        <v>2.6641554798096152</v>
      </c>
    </row>
    <row r="850" spans="1:6" x14ac:dyDescent="0.3">
      <c r="A850" s="2">
        <v>43265</v>
      </c>
      <c r="B850" s="1">
        <v>-7.897388198869848</v>
      </c>
      <c r="C850" s="1">
        <f>IRS_returns_2015_25[[#This Row],[IRSrtn]]-AVERAGE($B$2:$B$2600)</f>
        <v>-7.9031646929364641</v>
      </c>
      <c r="D850" s="1">
        <f>w+a*C849^2+b*D849</f>
        <v>6.1411535679807097</v>
      </c>
      <c r="E850" s="1">
        <f t="shared" si="13"/>
        <v>-6.9118096172597001</v>
      </c>
      <c r="F850" s="7">
        <f>SQRT(IRS_returns_2015_25[[#This Row],[  σ2]])</f>
        <v>2.4781350988153794</v>
      </c>
    </row>
    <row r="851" spans="1:6" x14ac:dyDescent="0.3">
      <c r="A851" s="2">
        <v>43266</v>
      </c>
      <c r="B851" s="1">
        <v>4.8018467804900489</v>
      </c>
      <c r="C851" s="1">
        <f>IRS_returns_2015_25[[#This Row],[IRSrtn]]-AVERAGE($B$2:$B$2600)</f>
        <v>4.7960702864234328</v>
      </c>
      <c r="D851" s="1">
        <f>w+a*C850^2+b*D850</f>
        <v>20.651900543979352</v>
      </c>
      <c r="E851" s="1">
        <f t="shared" si="13"/>
        <v>-2.9897471324781613</v>
      </c>
      <c r="F851" s="7">
        <f>SQRT(IRS_returns_2015_25[[#This Row],[  σ2]])</f>
        <v>4.5444362184961244</v>
      </c>
    </row>
    <row r="852" spans="1:6" x14ac:dyDescent="0.3">
      <c r="A852" s="2">
        <v>43269</v>
      </c>
      <c r="B852" s="1">
        <v>-7.5594296376217951</v>
      </c>
      <c r="C852" s="1">
        <f>IRS_returns_2015_25[[#This Row],[IRSrtn]]-AVERAGE($B$2:$B$2600)</f>
        <v>-7.5652061316884112</v>
      </c>
      <c r="D852" s="1">
        <f>w+a*C851^2+b*D851</f>
        <v>20.698082494940838</v>
      </c>
      <c r="E852" s="1">
        <f t="shared" si="13"/>
        <v>-3.8165108983483158</v>
      </c>
      <c r="F852" s="7">
        <f>SQRT(IRS_returns_2015_25[[#This Row],[  σ2]])</f>
        <v>4.5495145339850094</v>
      </c>
    </row>
    <row r="853" spans="1:6" x14ac:dyDescent="0.3">
      <c r="A853" s="2">
        <v>43270</v>
      </c>
      <c r="B853" s="1">
        <v>6.1149432087418187</v>
      </c>
      <c r="C853" s="1">
        <f>IRS_returns_2015_25[[#This Row],[IRSrtn]]-AVERAGE($B$2:$B$2600)</f>
        <v>6.1091667146752027</v>
      </c>
      <c r="D853" s="1">
        <f>w+a*C852^2+b*D852</f>
        <v>29.068971241035882</v>
      </c>
      <c r="E853" s="1">
        <f t="shared" si="13"/>
        <v>-3.2457287670564088</v>
      </c>
      <c r="F853" s="7">
        <f>SQRT(IRS_returns_2015_25[[#This Row],[  σ2]])</f>
        <v>5.3915648230394009</v>
      </c>
    </row>
    <row r="854" spans="1:6" x14ac:dyDescent="0.3">
      <c r="A854" s="2">
        <v>43271</v>
      </c>
      <c r="B854" s="1">
        <v>2.759566358793375</v>
      </c>
      <c r="C854" s="1">
        <f>IRS_returns_2015_25[[#This Row],[IRSrtn]]-AVERAGE($B$2:$B$2600)</f>
        <v>2.7537898647267594</v>
      </c>
      <c r="D854" s="1">
        <f>w+a*C853^2+b*D853</f>
        <v>29.790441126392849</v>
      </c>
      <c r="E854" s="1">
        <f t="shared" si="13"/>
        <v>-2.7433107079483809</v>
      </c>
      <c r="F854" s="7">
        <f>SQRT(IRS_returns_2015_25[[#This Row],[  σ2]])</f>
        <v>5.4580620302807894</v>
      </c>
    </row>
    <row r="855" spans="1:6" x14ac:dyDescent="0.3">
      <c r="A855" s="2">
        <v>43272</v>
      </c>
      <c r="B855" s="1">
        <v>5.3522556790475573</v>
      </c>
      <c r="C855" s="1">
        <f>IRS_returns_2015_25[[#This Row],[IRSrtn]]-AVERAGE($B$2:$B$2600)</f>
        <v>5.3464791849809412</v>
      </c>
      <c r="D855" s="1">
        <f>w+a*C854^2+b*D854</f>
        <v>23.024942583827372</v>
      </c>
      <c r="E855" s="1">
        <f t="shared" si="13"/>
        <v>-3.1079639717195748</v>
      </c>
      <c r="F855" s="7">
        <f>SQRT(IRS_returns_2015_25[[#This Row],[  σ2]])</f>
        <v>4.7984312628011434</v>
      </c>
    </row>
    <row r="856" spans="1:6" x14ac:dyDescent="0.3">
      <c r="A856" s="2">
        <v>43273</v>
      </c>
      <c r="B856" s="1">
        <v>-1.3506682650462842</v>
      </c>
      <c r="C856" s="1">
        <f>IRS_returns_2015_25[[#This Row],[IRSrtn]]-AVERAGE($B$2:$B$2600)</f>
        <v>-1.3564447591129001</v>
      </c>
      <c r="D856" s="1">
        <f>w+a*C855^2+b*D855</f>
        <v>23.638043132889443</v>
      </c>
      <c r="E856" s="1">
        <f t="shared" si="13"/>
        <v>-2.5392863315760379</v>
      </c>
      <c r="F856" s="7">
        <f>SQRT(IRS_returns_2015_25[[#This Row],[  σ2]])</f>
        <v>4.8618970714001595</v>
      </c>
    </row>
    <row r="857" spans="1:6" x14ac:dyDescent="0.3">
      <c r="A857" s="2">
        <v>43276</v>
      </c>
      <c r="B857" s="1">
        <v>0.4696131231721079</v>
      </c>
      <c r="C857" s="1">
        <f>IRS_returns_2015_25[[#This Row],[IRSrtn]]-AVERAGE($B$2:$B$2600)</f>
        <v>0.46383662910549212</v>
      </c>
      <c r="D857" s="1">
        <f>w+a*C856^2+b*D856</f>
        <v>17.529806375148365</v>
      </c>
      <c r="E857" s="1">
        <f t="shared" si="13"/>
        <v>-2.3570263914832519</v>
      </c>
      <c r="F857" s="7">
        <f>SQRT(IRS_returns_2015_25[[#This Row],[  σ2]])</f>
        <v>4.1868611602426427</v>
      </c>
    </row>
    <row r="858" spans="1:6" x14ac:dyDescent="0.3">
      <c r="A858" s="2">
        <v>43277</v>
      </c>
      <c r="B858" s="1">
        <v>-3.0121207830356767</v>
      </c>
      <c r="C858" s="1">
        <f>IRS_returns_2015_25[[#This Row],[IRSrtn]]-AVERAGE($B$2:$B$2600)</f>
        <v>-3.0178972771022923</v>
      </c>
      <c r="D858" s="1">
        <f>w+a*C857^2+b*D857</f>
        <v>13.067569427896373</v>
      </c>
      <c r="E858" s="1">
        <f t="shared" si="13"/>
        <v>-2.5524903097567826</v>
      </c>
      <c r="F858" s="7">
        <f>SQRT(IRS_returns_2015_25[[#This Row],[  σ2]])</f>
        <v>3.6149093249895459</v>
      </c>
    </row>
    <row r="859" spans="1:6" x14ac:dyDescent="0.3">
      <c r="A859" s="2">
        <v>43278</v>
      </c>
      <c r="B859" s="1">
        <v>-5.5140762793935316</v>
      </c>
      <c r="C859" s="1">
        <f>IRS_returns_2015_25[[#This Row],[IRSrtn]]-AVERAGE($B$2:$B$2600)</f>
        <v>-5.5198527734601477</v>
      </c>
      <c r="D859" s="1">
        <f>w+a*C858^2+b*D858</f>
        <v>12.263653792882895</v>
      </c>
      <c r="E859" s="1">
        <f t="shared" si="13"/>
        <v>-3.4144973500976139</v>
      </c>
      <c r="F859" s="7">
        <f>SQRT(IRS_returns_2015_25[[#This Row],[  σ2]])</f>
        <v>3.5019499986268929</v>
      </c>
    </row>
    <row r="860" spans="1:6" x14ac:dyDescent="0.3">
      <c r="A860" s="2">
        <v>43279</v>
      </c>
      <c r="B860" s="1">
        <v>-1.1402568322647522</v>
      </c>
      <c r="C860" s="1">
        <f>IRS_returns_2015_25[[#This Row],[IRSrtn]]-AVERAGE($B$2:$B$2600)</f>
        <v>-1.146033326331368</v>
      </c>
      <c r="D860" s="1">
        <f>w+a*C859^2+b*D859</f>
        <v>16.933093646483769</v>
      </c>
      <c r="E860" s="1">
        <f t="shared" si="13"/>
        <v>-2.3723553089040013</v>
      </c>
      <c r="F860" s="7">
        <f>SQRT(IRS_returns_2015_25[[#This Row],[  σ2]])</f>
        <v>4.1149840396390083</v>
      </c>
    </row>
    <row r="861" spans="1:6" x14ac:dyDescent="0.3">
      <c r="A861" s="2">
        <v>43280</v>
      </c>
      <c r="B861" s="1">
        <v>-0.86381025938835343</v>
      </c>
      <c r="C861" s="1">
        <f>IRS_returns_2015_25[[#This Row],[IRSrtn]]-AVERAGE($B$2:$B$2600)</f>
        <v>-0.86958675345496927</v>
      </c>
      <c r="D861" s="1">
        <f>w+a*C860^2+b*D860</f>
        <v>12.937915654455832</v>
      </c>
      <c r="E861" s="1">
        <f t="shared" si="13"/>
        <v>-2.2282430846922283</v>
      </c>
      <c r="F861" s="7">
        <f>SQRT(IRS_returns_2015_25[[#This Row],[  σ2]])</f>
        <v>3.596931421983999</v>
      </c>
    </row>
    <row r="862" spans="1:6" x14ac:dyDescent="0.3">
      <c r="A862" s="2">
        <v>43283</v>
      </c>
      <c r="B862" s="1">
        <v>-3.0536683416216626</v>
      </c>
      <c r="C862" s="1">
        <f>IRS_returns_2015_25[[#This Row],[IRSrtn]]-AVERAGE($B$2:$B$2600)</f>
        <v>-3.0594448356882782</v>
      </c>
      <c r="D862" s="1">
        <f>w+a*C861^2+b*D861</f>
        <v>10.142494497018999</v>
      </c>
      <c r="E862" s="1">
        <f t="shared" si="13"/>
        <v>-2.5387404611169866</v>
      </c>
      <c r="F862" s="7">
        <f>SQRT(IRS_returns_2015_25[[#This Row],[  σ2]])</f>
        <v>3.1847283238949911</v>
      </c>
    </row>
    <row r="863" spans="1:6" x14ac:dyDescent="0.3">
      <c r="A863" s="2">
        <v>43284</v>
      </c>
      <c r="B863" s="1">
        <v>7.5767745315693524</v>
      </c>
      <c r="C863" s="1">
        <f>IRS_returns_2015_25[[#This Row],[IRSrtn]]-AVERAGE($B$2:$B$2600)</f>
        <v>7.5709980375027364</v>
      </c>
      <c r="D863" s="1">
        <f>w+a*C862^2+b*D862</f>
        <v>10.377903780235318</v>
      </c>
      <c r="E863" s="1">
        <f t="shared" si="13"/>
        <v>-4.8504152365041922</v>
      </c>
      <c r="F863" s="7">
        <f>SQRT(IRS_returns_2015_25[[#This Row],[  σ2]])</f>
        <v>3.2214754042573905</v>
      </c>
    </row>
    <row r="864" spans="1:6" x14ac:dyDescent="0.3">
      <c r="A864" s="2">
        <v>43286</v>
      </c>
      <c r="B864" s="1">
        <v>-1.1676557271838917</v>
      </c>
      <c r="C864" s="1">
        <f>IRS_returns_2015_25[[#This Row],[IRSrtn]]-AVERAGE($B$2:$B$2600)</f>
        <v>-1.1734322212505075</v>
      </c>
      <c r="D864" s="1">
        <f>w+a*C863^2+b*D863</f>
        <v>22.220015944707622</v>
      </c>
      <c r="E864" s="1">
        <f t="shared" si="13"/>
        <v>-2.5004195818023063</v>
      </c>
      <c r="F864" s="7">
        <f>SQRT(IRS_returns_2015_25[[#This Row],[  σ2]])</f>
        <v>4.7138111910329652</v>
      </c>
    </row>
    <row r="865" spans="1:6" x14ac:dyDescent="0.3">
      <c r="A865" s="2">
        <v>43287</v>
      </c>
      <c r="B865" s="1">
        <v>2.3218283071948509</v>
      </c>
      <c r="C865" s="1">
        <f>IRS_returns_2015_25[[#This Row],[IRSrtn]]-AVERAGE($B$2:$B$2600)</f>
        <v>2.3160518131282353</v>
      </c>
      <c r="D865" s="1">
        <f>w+a*C864^2+b*D864</f>
        <v>16.472992326395502</v>
      </c>
      <c r="E865" s="1">
        <f t="shared" si="13"/>
        <v>-2.482614502484219</v>
      </c>
      <c r="F865" s="7">
        <f>SQRT(IRS_returns_2015_25[[#This Row],[  σ2]])</f>
        <v>4.0586934260172329</v>
      </c>
    </row>
    <row r="866" spans="1:6" x14ac:dyDescent="0.3">
      <c r="A866" s="2">
        <v>43290</v>
      </c>
      <c r="B866" s="1">
        <v>1.1409971966620081</v>
      </c>
      <c r="C866" s="1">
        <f>IRS_returns_2015_25[[#This Row],[IRSrtn]]-AVERAGE($B$2:$B$2600)</f>
        <v>1.1352207025953922</v>
      </c>
      <c r="D866" s="1">
        <f>w+a*C865^2+b*D865</f>
        <v>13.618571515176168</v>
      </c>
      <c r="E866" s="1">
        <f t="shared" si="13"/>
        <v>-2.2719707629135706</v>
      </c>
      <c r="F866" s="7">
        <f>SQRT(IRS_returns_2015_25[[#This Row],[  σ2]])</f>
        <v>3.6903348784596997</v>
      </c>
    </row>
    <row r="867" spans="1:6" x14ac:dyDescent="0.3">
      <c r="A867" s="2">
        <v>43291</v>
      </c>
      <c r="B867" s="1">
        <v>-0.43315142539506191</v>
      </c>
      <c r="C867" s="1">
        <f>IRS_returns_2015_25[[#This Row],[IRSrtn]]-AVERAGE($B$2:$B$2600)</f>
        <v>-0.4389279194616777</v>
      </c>
      <c r="D867" s="1">
        <f>w+a*C866^2+b*D866</f>
        <v>10.725372926572057</v>
      </c>
      <c r="E867" s="1">
        <f t="shared" si="13"/>
        <v>-2.1142260506824098</v>
      </c>
      <c r="F867" s="7">
        <f>SQRT(IRS_returns_2015_25[[#This Row],[  σ2]])</f>
        <v>3.274961515281066</v>
      </c>
    </row>
    <row r="868" spans="1:6" x14ac:dyDescent="0.3">
      <c r="A868" s="2">
        <v>43292</v>
      </c>
      <c r="B868" s="1">
        <v>0.54114219496903537</v>
      </c>
      <c r="C868" s="1">
        <f>IRS_returns_2015_25[[#This Row],[IRSrtn]]-AVERAGE($B$2:$B$2600)</f>
        <v>0.53536570090241953</v>
      </c>
      <c r="D868" s="1">
        <f>w+a*C867^2+b*D867</f>
        <v>8.5322654772250566</v>
      </c>
      <c r="E868" s="1">
        <f t="shared" si="13"/>
        <v>-2.0076620245118573</v>
      </c>
      <c r="F868" s="7">
        <f>SQRT(IRS_returns_2015_25[[#This Row],[  σ2]])</f>
        <v>2.9210041898677681</v>
      </c>
    </row>
    <row r="869" spans="1:6" x14ac:dyDescent="0.3">
      <c r="A869" s="2">
        <v>43293</v>
      </c>
      <c r="B869" s="1">
        <v>-0.92165728425808169</v>
      </c>
      <c r="C869" s="1">
        <f>IRS_returns_2015_25[[#This Row],[IRSrtn]]-AVERAGE($B$2:$B$2600)</f>
        <v>-0.92743377832469753</v>
      </c>
      <c r="D869" s="1">
        <f>w+a*C868^2+b*D868</f>
        <v>7.0951702133167363</v>
      </c>
      <c r="E869" s="1">
        <f t="shared" si="13"/>
        <v>-1.9592596920222916</v>
      </c>
      <c r="F869" s="7">
        <f>SQRT(IRS_returns_2015_25[[#This Row],[  σ2]])</f>
        <v>2.6636760713939553</v>
      </c>
    </row>
    <row r="870" spans="1:6" x14ac:dyDescent="0.3">
      <c r="A870" s="2">
        <v>43294</v>
      </c>
      <c r="B870" s="1">
        <v>-0.49140178278004321</v>
      </c>
      <c r="C870" s="1">
        <f>IRS_returns_2015_25[[#This Row],[IRSrtn]]-AVERAGE($B$2:$B$2600)</f>
        <v>-0.497178276846659</v>
      </c>
      <c r="D870" s="1">
        <f>w+a*C869^2+b*D869</f>
        <v>6.2782091569192762</v>
      </c>
      <c r="E870" s="1">
        <f t="shared" si="13"/>
        <v>-1.8571669668950912</v>
      </c>
      <c r="F870" s="7">
        <f>SQRT(IRS_returns_2015_25[[#This Row],[  σ2]])</f>
        <v>2.505635479657661</v>
      </c>
    </row>
    <row r="871" spans="1:6" x14ac:dyDescent="0.3">
      <c r="A871" s="2">
        <v>43297</v>
      </c>
      <c r="B871" s="1">
        <v>-1.6000469758816305</v>
      </c>
      <c r="C871" s="1">
        <f>IRS_returns_2015_25[[#This Row],[IRSrtn]]-AVERAGE($B$2:$B$2600)</f>
        <v>-1.6058234699482463</v>
      </c>
      <c r="D871" s="1">
        <f>w+a*C870^2+b*D870</f>
        <v>5.5850000902886654</v>
      </c>
      <c r="E871" s="1">
        <f t="shared" si="13"/>
        <v>-2.009837424956554</v>
      </c>
      <c r="F871" s="7">
        <f>SQRT(IRS_returns_2015_25[[#This Row],[  σ2]])</f>
        <v>2.3632604787218581</v>
      </c>
    </row>
    <row r="872" spans="1:6" x14ac:dyDescent="0.3">
      <c r="A872" s="2">
        <v>43298</v>
      </c>
      <c r="B872" s="1">
        <v>-1.7957733867735026</v>
      </c>
      <c r="C872" s="1">
        <f>IRS_returns_2015_25[[#This Row],[IRSrtn]]-AVERAGE($B$2:$B$2600)</f>
        <v>-1.8015498808401185</v>
      </c>
      <c r="D872" s="1">
        <f>w+a*C871^2+b*D871</f>
        <v>5.6915844684313797</v>
      </c>
      <c r="E872" s="1">
        <f t="shared" si="13"/>
        <v>-2.0735539991158896</v>
      </c>
      <c r="F872" s="7">
        <f>SQRT(IRS_returns_2015_25[[#This Row],[  σ2]])</f>
        <v>2.3857041871177951</v>
      </c>
    </row>
    <row r="873" spans="1:6" x14ac:dyDescent="0.3">
      <c r="A873" s="2">
        <v>43299</v>
      </c>
      <c r="B873" s="1">
        <v>-1.7709555895280449</v>
      </c>
      <c r="C873" s="1">
        <f>IRS_returns_2015_25[[#This Row],[IRSrtn]]-AVERAGE($B$2:$B$2600)</f>
        <v>-1.7767320835946607</v>
      </c>
      <c r="D873" s="1">
        <f>w+a*C872^2+b*D872</f>
        <v>5.9250326579728938</v>
      </c>
      <c r="E873" s="1">
        <f t="shared" si="13"/>
        <v>-2.0749248391653361</v>
      </c>
      <c r="F873" s="7">
        <f>SQRT(IRS_returns_2015_25[[#This Row],[  σ2]])</f>
        <v>2.4341389972581462</v>
      </c>
    </row>
    <row r="874" spans="1:6" x14ac:dyDescent="0.3">
      <c r="A874" s="2">
        <v>43300</v>
      </c>
      <c r="B874" s="1">
        <v>-0.92648958438843465</v>
      </c>
      <c r="C874" s="1">
        <f>IRS_returns_2015_25[[#This Row],[IRSrtn]]-AVERAGE($B$2:$B$2600)</f>
        <v>-0.9322660784550505</v>
      </c>
      <c r="D874" s="1">
        <f>w+a*C873^2+b*D873</f>
        <v>6.0588056831460664</v>
      </c>
      <c r="E874" s="1">
        <f t="shared" si="13"/>
        <v>-1.8914185923335893</v>
      </c>
      <c r="F874" s="7">
        <f>SQRT(IRS_returns_2015_25[[#This Row],[  σ2]])</f>
        <v>2.4614641340360959</v>
      </c>
    </row>
    <row r="875" spans="1:6" x14ac:dyDescent="0.3">
      <c r="A875" s="2">
        <v>43301</v>
      </c>
      <c r="B875" s="1">
        <v>1.2142417135195593</v>
      </c>
      <c r="C875" s="1">
        <f>IRS_returns_2015_25[[#This Row],[IRSrtn]]-AVERAGE($B$2:$B$2600)</f>
        <v>1.2084652194529435</v>
      </c>
      <c r="D875" s="1">
        <f>w+a*C874^2+b*D874</f>
        <v>5.5904735578894078</v>
      </c>
      <c r="E875" s="1">
        <f t="shared" si="13"/>
        <v>-1.910084529013782</v>
      </c>
      <c r="F875" s="7">
        <f>SQRT(IRS_returns_2015_25[[#This Row],[  σ2]])</f>
        <v>2.3644182282095119</v>
      </c>
    </row>
    <row r="876" spans="1:6" x14ac:dyDescent="0.3">
      <c r="A876" s="2">
        <v>43304</v>
      </c>
      <c r="B876" s="1">
        <v>0.57307072958647787</v>
      </c>
      <c r="C876" s="1">
        <f>IRS_returns_2015_25[[#This Row],[IRSrtn]]-AVERAGE($B$2:$B$2600)</f>
        <v>0.56729423551986202</v>
      </c>
      <c r="D876" s="1">
        <f>w+a*C875^2+b*D875</f>
        <v>5.4227593816626181</v>
      </c>
      <c r="E876" s="1">
        <f t="shared" si="13"/>
        <v>-1.7939142701746258</v>
      </c>
      <c r="F876" s="7">
        <f>SQRT(IRS_returns_2015_25[[#This Row],[  σ2]])</f>
        <v>2.3286818979119106</v>
      </c>
    </row>
    <row r="877" spans="1:6" x14ac:dyDescent="0.3">
      <c r="A877" s="2">
        <v>43305</v>
      </c>
      <c r="B877" s="1">
        <v>-0.86082285871760256</v>
      </c>
      <c r="C877" s="1">
        <f>IRS_returns_2015_25[[#This Row],[IRSrtn]]-AVERAGE($B$2:$B$2600)</f>
        <v>-0.8665993527842184</v>
      </c>
      <c r="D877" s="1">
        <f>w+a*C876^2+b*D876</f>
        <v>5.0336980460607794</v>
      </c>
      <c r="E877" s="1">
        <f t="shared" si="13"/>
        <v>-1.80161268048654</v>
      </c>
      <c r="F877" s="7">
        <f>SQRT(IRS_returns_2015_25[[#This Row],[  σ2]])</f>
        <v>2.2435904363454529</v>
      </c>
    </row>
    <row r="878" spans="1:6" x14ac:dyDescent="0.3">
      <c r="A878" s="2">
        <v>43306</v>
      </c>
      <c r="B878" s="1">
        <v>0.74646597920513535</v>
      </c>
      <c r="C878" s="1">
        <f>IRS_returns_2015_25[[#This Row],[IRSrtn]]-AVERAGE($B$2:$B$2600)</f>
        <v>0.74068948513851951</v>
      </c>
      <c r="D878" s="1">
        <f>w+a*C877^2+b*D877</f>
        <v>4.8792609951227224</v>
      </c>
      <c r="E878" s="1">
        <f t="shared" si="13"/>
        <v>-1.7676550924999965</v>
      </c>
      <c r="F878" s="7">
        <f>SQRT(IRS_returns_2015_25[[#This Row],[  σ2]])</f>
        <v>2.2089049312097435</v>
      </c>
    </row>
    <row r="879" spans="1:6" x14ac:dyDescent="0.3">
      <c r="A879" s="2">
        <v>43307</v>
      </c>
      <c r="B879" s="1">
        <v>4.8572279220682635</v>
      </c>
      <c r="C879" s="1">
        <f>IRS_returns_2015_25[[#This Row],[IRSrtn]]-AVERAGE($B$2:$B$2600)</f>
        <v>4.8514514280016474</v>
      </c>
      <c r="D879" s="1">
        <f>w+a*C878^2+b*D878</f>
        <v>4.7271414066255879</v>
      </c>
      <c r="E879" s="1">
        <f t="shared" si="13"/>
        <v>-4.1851140862708478</v>
      </c>
      <c r="F879" s="7">
        <f>SQRT(IRS_returns_2015_25[[#This Row],[  σ2]])</f>
        <v>2.1741990264521753</v>
      </c>
    </row>
    <row r="880" spans="1:6" x14ac:dyDescent="0.3">
      <c r="A880" s="2">
        <v>43308</v>
      </c>
      <c r="B880" s="1">
        <v>-0.71096116083966265</v>
      </c>
      <c r="C880" s="1">
        <f>IRS_returns_2015_25[[#This Row],[IRSrtn]]-AVERAGE($B$2:$B$2600)</f>
        <v>-0.7167376549062785</v>
      </c>
      <c r="D880" s="1">
        <f>w+a*C879^2+b*D879</f>
        <v>10.226884003127587</v>
      </c>
      <c r="E880" s="1">
        <f t="shared" si="13"/>
        <v>-2.1065643088159431</v>
      </c>
      <c r="F880" s="7">
        <f>SQRT(IRS_returns_2015_25[[#This Row],[  σ2]])</f>
        <v>3.197949968828091</v>
      </c>
    </row>
    <row r="881" spans="1:6" x14ac:dyDescent="0.3">
      <c r="A881" s="2">
        <v>43311</v>
      </c>
      <c r="B881" s="1">
        <v>-1.0482950965249316</v>
      </c>
      <c r="C881" s="1">
        <f>IRS_returns_2015_25[[#This Row],[IRSrtn]]-AVERAGE($B$2:$B$2600)</f>
        <v>-1.0540715905915474</v>
      </c>
      <c r="D881" s="1">
        <f>w+a*C880^2+b*D880</f>
        <v>8.2786380819208514</v>
      </c>
      <c r="E881" s="1">
        <f t="shared" si="13"/>
        <v>-2.0428822196691518</v>
      </c>
      <c r="F881" s="7">
        <f>SQRT(IRS_returns_2015_25[[#This Row],[  σ2]])</f>
        <v>2.8772622546304065</v>
      </c>
    </row>
    <row r="882" spans="1:6" x14ac:dyDescent="0.3">
      <c r="A882" s="2">
        <v>43312</v>
      </c>
      <c r="B882" s="1">
        <v>3.4345120298435727</v>
      </c>
      <c r="C882" s="1">
        <f>IRS_returns_2015_25[[#This Row],[IRSrtn]]-AVERAGE($B$2:$B$2600)</f>
        <v>3.4287355357769571</v>
      </c>
      <c r="D882" s="1">
        <f>w+a*C881^2+b*D881</f>
        <v>7.1272033871742515</v>
      </c>
      <c r="E882" s="1">
        <f t="shared" si="13"/>
        <v>-2.7256413585946033</v>
      </c>
      <c r="F882" s="7">
        <f>SQRT(IRS_returns_2015_25[[#This Row],[  σ2]])</f>
        <v>2.6696822633366413</v>
      </c>
    </row>
    <row r="883" spans="1:6" x14ac:dyDescent="0.3">
      <c r="A883" s="2">
        <v>43313</v>
      </c>
      <c r="B883" s="1">
        <v>5.3578935439135833E-2</v>
      </c>
      <c r="C883" s="1">
        <f>IRS_returns_2015_25[[#This Row],[IRSrtn]]-AVERAGE($B$2:$B$2600)</f>
        <v>4.7802441372520037E-2</v>
      </c>
      <c r="D883" s="1">
        <f>w+a*C882^2+b*D882</f>
        <v>8.9543649500535345</v>
      </c>
      <c r="E883" s="1">
        <f t="shared" si="13"/>
        <v>-2.0151366873649845</v>
      </c>
      <c r="F883" s="7">
        <f>SQRT(IRS_returns_2015_25[[#This Row],[  σ2]])</f>
        <v>2.9923844923494598</v>
      </c>
    </row>
    <row r="884" spans="1:6" x14ac:dyDescent="0.3">
      <c r="A884" s="2">
        <v>43314</v>
      </c>
      <c r="B884" s="1">
        <v>-1.3481003941952618</v>
      </c>
      <c r="C884" s="1">
        <f>IRS_returns_2015_25[[#This Row],[IRSrtn]]-AVERAGE($B$2:$B$2600)</f>
        <v>-1.3538768882618777</v>
      </c>
      <c r="D884" s="1">
        <f>w+a*C883^2+b*D883</f>
        <v>7.3068916168774036</v>
      </c>
      <c r="E884" s="1">
        <f t="shared" si="13"/>
        <v>-2.0387758570263741</v>
      </c>
      <c r="F884" s="7">
        <f>SQRT(IRS_returns_2015_25[[#This Row],[  σ2]])</f>
        <v>2.7031262672833845</v>
      </c>
    </row>
    <row r="885" spans="1:6" x14ac:dyDescent="0.3">
      <c r="A885" s="2">
        <v>43315</v>
      </c>
      <c r="B885" s="1">
        <v>-0.16297686214432616</v>
      </c>
      <c r="C885" s="1">
        <f>IRS_returns_2015_25[[#This Row],[IRSrtn]]-AVERAGE($B$2:$B$2600)</f>
        <v>-0.16875335621094195</v>
      </c>
      <c r="D885" s="1">
        <f>w+a*C884^2+b*D884</f>
        <v>6.656190120197703</v>
      </c>
      <c r="E885" s="1">
        <f t="shared" si="13"/>
        <v>-1.8688513554650978</v>
      </c>
      <c r="F885" s="7">
        <f>SQRT(IRS_returns_2015_25[[#This Row],[  σ2]])</f>
        <v>2.5799593252990838</v>
      </c>
    </row>
    <row r="886" spans="1:6" x14ac:dyDescent="0.3">
      <c r="A886" s="2">
        <v>43318</v>
      </c>
      <c r="B886" s="1">
        <v>-0.70944005155806344</v>
      </c>
      <c r="C886" s="1">
        <f>IRS_returns_2015_25[[#This Row],[IRSrtn]]-AVERAGE($B$2:$B$2600)</f>
        <v>-0.71521654562467929</v>
      </c>
      <c r="D886" s="1">
        <f>w+a*C885^2+b*D885</f>
        <v>5.7833400487560063</v>
      </c>
      <c r="E886" s="1">
        <f t="shared" si="13"/>
        <v>-1.840654073932493</v>
      </c>
      <c r="F886" s="7">
        <f>SQRT(IRS_returns_2015_25[[#This Row],[  σ2]])</f>
        <v>2.4048575942778827</v>
      </c>
    </row>
    <row r="887" spans="1:6" x14ac:dyDescent="0.3">
      <c r="A887" s="2">
        <v>43319</v>
      </c>
      <c r="B887" s="1">
        <v>-1.3230424642039385</v>
      </c>
      <c r="C887" s="1">
        <f>IRS_returns_2015_25[[#This Row],[IRSrtn]]-AVERAGE($B$2:$B$2600)</f>
        <v>-1.3288189582705543</v>
      </c>
      <c r="D887" s="1">
        <f>w+a*C886^2+b*D886</f>
        <v>5.3199658972156545</v>
      </c>
      <c r="E887" s="1">
        <f t="shared" si="13"/>
        <v>-1.9206279142126972</v>
      </c>
      <c r="F887" s="7">
        <f>SQRT(IRS_returns_2015_25[[#This Row],[  σ2]])</f>
        <v>2.3065051262062379</v>
      </c>
    </row>
    <row r="888" spans="1:6" x14ac:dyDescent="0.3">
      <c r="A888" s="2">
        <v>43320</v>
      </c>
      <c r="B888" s="1">
        <v>-3.1569777459389936</v>
      </c>
      <c r="C888" s="1">
        <f>IRS_returns_2015_25[[#This Row],[IRSrtn]]-AVERAGE($B$2:$B$2600)</f>
        <v>-3.1627542400056092</v>
      </c>
      <c r="D888" s="1">
        <f>w+a*C887^2+b*D887</f>
        <v>5.3170816396647966</v>
      </c>
      <c r="E888" s="1">
        <f t="shared" si="13"/>
        <v>-2.6950497644570945</v>
      </c>
      <c r="F888" s="7">
        <f>SQRT(IRS_returns_2015_25[[#This Row],[  σ2]])</f>
        <v>2.305879797314855</v>
      </c>
    </row>
    <row r="889" spans="1:6" x14ac:dyDescent="0.3">
      <c r="A889" s="2">
        <v>43321</v>
      </c>
      <c r="B889" s="1">
        <v>-1.3841038585727716</v>
      </c>
      <c r="C889" s="1">
        <f>IRS_returns_2015_25[[#This Row],[IRSrtn]]-AVERAGE($B$2:$B$2600)</f>
        <v>-1.3898803526393875</v>
      </c>
      <c r="D889" s="1">
        <f>w+a*C888^2+b*D888</f>
        <v>7.3221667096058409</v>
      </c>
      <c r="E889" s="1">
        <f t="shared" si="13"/>
        <v>-2.0463039535059595</v>
      </c>
      <c r="F889" s="7">
        <f>SQRT(IRS_returns_2015_25[[#This Row],[  σ2]])</f>
        <v>2.7059502415243784</v>
      </c>
    </row>
    <row r="890" spans="1:6" x14ac:dyDescent="0.3">
      <c r="A890" s="2">
        <v>43322</v>
      </c>
      <c r="B890" s="1">
        <v>-3.3661326816943227</v>
      </c>
      <c r="C890" s="1">
        <f>IRS_returns_2015_25[[#This Row],[IRSrtn]]-AVERAGE($B$2:$B$2600)</f>
        <v>-3.3719091757609383</v>
      </c>
      <c r="D890" s="1">
        <f>w+a*C889^2+b*D889</f>
        <v>6.6904278901369079</v>
      </c>
      <c r="E890" s="1">
        <f t="shared" si="13"/>
        <v>-2.7189818085262405</v>
      </c>
      <c r="F890" s="7">
        <f>SQRT(IRS_returns_2015_25[[#This Row],[  σ2]])</f>
        <v>2.5865861458951853</v>
      </c>
    </row>
    <row r="891" spans="1:6" x14ac:dyDescent="0.3">
      <c r="A891" s="2">
        <v>43325</v>
      </c>
      <c r="B891" s="1">
        <v>-4.1698228119785519</v>
      </c>
      <c r="C891" s="1">
        <f>IRS_returns_2015_25[[#This Row],[IRSrtn]]-AVERAGE($B$2:$B$2600)</f>
        <v>-4.1755993060451679</v>
      </c>
      <c r="D891" s="1">
        <f>w+a*C890^2+b*D890</f>
        <v>8.5694363147615391</v>
      </c>
      <c r="E891" s="1">
        <f t="shared" si="13"/>
        <v>-3.0103543570118747</v>
      </c>
      <c r="F891" s="7">
        <f>SQRT(IRS_returns_2015_25[[#This Row],[  σ2]])</f>
        <v>2.9273599564729889</v>
      </c>
    </row>
    <row r="892" spans="1:6" x14ac:dyDescent="0.3">
      <c r="A892" s="2">
        <v>43326</v>
      </c>
      <c r="B892" s="1">
        <v>0.87282561744830289</v>
      </c>
      <c r="C892" s="1">
        <f>IRS_returns_2015_25[[#This Row],[IRSrtn]]-AVERAGE($B$2:$B$2600)</f>
        <v>0.86704912338168705</v>
      </c>
      <c r="D892" s="1">
        <f>w+a*C891^2+b*D891</f>
        <v>11.298268544774853</v>
      </c>
      <c r="E892" s="1">
        <f t="shared" si="13"/>
        <v>-2.164532719230408</v>
      </c>
      <c r="F892" s="7">
        <f>SQRT(IRS_returns_2015_25[[#This Row],[  σ2]])</f>
        <v>3.3612897144957401</v>
      </c>
    </row>
    <row r="893" spans="1:6" x14ac:dyDescent="0.3">
      <c r="A893" s="2">
        <v>43327</v>
      </c>
      <c r="B893" s="1">
        <v>0.49535426592739462</v>
      </c>
      <c r="C893" s="1">
        <f>IRS_returns_2015_25[[#This Row],[IRSrtn]]-AVERAGE($B$2:$B$2600)</f>
        <v>0.48957777186077883</v>
      </c>
      <c r="D893" s="1">
        <f>w+a*C892^2+b*D892</f>
        <v>9.0498802623800199</v>
      </c>
      <c r="E893" s="1">
        <f t="shared" si="13"/>
        <v>-2.0335568141347955</v>
      </c>
      <c r="F893" s="7">
        <f>SQRT(IRS_returns_2015_25[[#This Row],[  σ2]])</f>
        <v>3.0083018901666136</v>
      </c>
    </row>
    <row r="894" spans="1:6" x14ac:dyDescent="0.3">
      <c r="A894" s="2">
        <v>43328</v>
      </c>
      <c r="B894" s="1">
        <v>-0.55744293400987743</v>
      </c>
      <c r="C894" s="1">
        <f>IRS_returns_2015_25[[#This Row],[IRSrtn]]-AVERAGE($B$2:$B$2600)</f>
        <v>-0.56321942807649328</v>
      </c>
      <c r="D894" s="1">
        <f>w+a*C893^2+b*D893</f>
        <v>7.4283205337071037</v>
      </c>
      <c r="E894" s="1">
        <f t="shared" si="13"/>
        <v>-1.9429402369509077</v>
      </c>
      <c r="F894" s="7">
        <f>SQRT(IRS_returns_2015_25[[#This Row],[  σ2]])</f>
        <v>2.7254945484640221</v>
      </c>
    </row>
    <row r="895" spans="1:6" x14ac:dyDescent="0.3">
      <c r="A895" s="2">
        <v>43329</v>
      </c>
      <c r="B895" s="1">
        <v>-1.5019183226326671</v>
      </c>
      <c r="C895" s="1">
        <f>IRS_returns_2015_25[[#This Row],[IRSrtn]]-AVERAGE($B$2:$B$2600)</f>
        <v>-1.507694816699283</v>
      </c>
      <c r="D895" s="1">
        <f>w+a*C894^2+b*D894</f>
        <v>6.3677112213327227</v>
      </c>
      <c r="E895" s="1">
        <f t="shared" si="13"/>
        <v>-2.0230484342352493</v>
      </c>
      <c r="F895" s="7">
        <f>SQRT(IRS_returns_2015_25[[#This Row],[  σ2]])</f>
        <v>2.5234324285252265</v>
      </c>
    </row>
    <row r="896" spans="1:6" x14ac:dyDescent="0.3">
      <c r="A896" s="2">
        <v>43332</v>
      </c>
      <c r="B896" s="1">
        <v>-0.37902551150108543</v>
      </c>
      <c r="C896" s="1">
        <f>IRS_returns_2015_25[[#This Row],[IRSrtn]]-AVERAGE($B$2:$B$2600)</f>
        <v>-0.38480200556770122</v>
      </c>
      <c r="D896" s="1">
        <f>w+a*C895^2+b*D895</f>
        <v>6.1382071676529346</v>
      </c>
      <c r="E896" s="1">
        <f t="shared" si="13"/>
        <v>-1.8382664366960701</v>
      </c>
      <c r="F896" s="7">
        <f>SQRT(IRS_returns_2015_25[[#This Row],[  σ2]])</f>
        <v>2.4775405481349715</v>
      </c>
    </row>
    <row r="897" spans="1:6" x14ac:dyDescent="0.3">
      <c r="A897" s="2">
        <v>43333</v>
      </c>
      <c r="B897" s="1">
        <v>0.56801154296124423</v>
      </c>
      <c r="C897" s="1">
        <f>IRS_returns_2015_25[[#This Row],[IRSrtn]]-AVERAGE($B$2:$B$2600)</f>
        <v>0.56223504889462839</v>
      </c>
      <c r="D897" s="1">
        <f>w+a*C896^2+b*D896</f>
        <v>5.4676494068979817</v>
      </c>
      <c r="E897" s="1">
        <f t="shared" si="13"/>
        <v>-1.7972700763181886</v>
      </c>
      <c r="F897" s="7">
        <f>SQRT(IRS_returns_2015_25[[#This Row],[  σ2]])</f>
        <v>2.3383005381896447</v>
      </c>
    </row>
    <row r="898" spans="1:6" x14ac:dyDescent="0.3">
      <c r="A898" s="2">
        <v>43334</v>
      </c>
      <c r="B898" s="1">
        <v>-1.2029307652635879</v>
      </c>
      <c r="C898" s="1">
        <f>IRS_returns_2015_25[[#This Row],[IRSrtn]]-AVERAGE($B$2:$B$2600)</f>
        <v>-1.2087072593302037</v>
      </c>
      <c r="D898" s="1">
        <f>w+a*C897^2+b*D897</f>
        <v>5.0621897496522994</v>
      </c>
      <c r="E898" s="1">
        <f t="shared" ref="E898:E961" si="14">-0.5*(LN(2*PI())+LN(D898)+C898^2/D898)</f>
        <v>-1.8741406031199908</v>
      </c>
      <c r="F898" s="7">
        <f>SQRT(IRS_returns_2015_25[[#This Row],[  σ2]])</f>
        <v>2.2499310544219568</v>
      </c>
    </row>
    <row r="899" spans="1:6" x14ac:dyDescent="0.3">
      <c r="A899" s="2">
        <v>43335</v>
      </c>
      <c r="B899" s="1">
        <v>1.1399679966095366</v>
      </c>
      <c r="C899" s="1">
        <f>IRS_returns_2015_25[[#This Row],[IRSrtn]]-AVERAGE($B$2:$B$2600)</f>
        <v>1.1341915025429208</v>
      </c>
      <c r="D899" s="1">
        <f>w+a*C898^2+b*D898</f>
        <v>5.0712145689573838</v>
      </c>
      <c r="E899" s="1">
        <f t="shared" si="14"/>
        <v>-1.857561278705719</v>
      </c>
      <c r="F899" s="7">
        <f>SQRT(IRS_returns_2015_25[[#This Row],[  σ2]])</f>
        <v>2.2519357381944505</v>
      </c>
    </row>
    <row r="900" spans="1:6" x14ac:dyDescent="0.3">
      <c r="A900" s="2">
        <v>43336</v>
      </c>
      <c r="B900" s="1">
        <v>-1.1399679966095366</v>
      </c>
      <c r="C900" s="1">
        <f>IRS_returns_2015_25[[#This Row],[IRSrtn]]-AVERAGE($B$2:$B$2600)</f>
        <v>-1.1457444906761525</v>
      </c>
      <c r="D900" s="1">
        <f>w+a*C899^2+b*D899</f>
        <v>5.0346854650482875</v>
      </c>
      <c r="E900" s="1">
        <f t="shared" si="14"/>
        <v>-1.8574827247051495</v>
      </c>
      <c r="F900" s="7">
        <f>SQRT(IRS_returns_2015_25[[#This Row],[  σ2]])</f>
        <v>2.2438104788614139</v>
      </c>
    </row>
    <row r="901" spans="1:6" x14ac:dyDescent="0.3">
      <c r="A901" s="2">
        <v>43339</v>
      </c>
      <c r="B901" s="1">
        <v>-0.57489816456866016</v>
      </c>
      <c r="C901" s="1">
        <f>IRS_returns_2015_25[[#This Row],[IRSrtn]]-AVERAGE($B$2:$B$2600)</f>
        <v>-0.58067465863527601</v>
      </c>
      <c r="D901" s="1">
        <f>w+a*C900^2+b*D900</f>
        <v>5.0167851828641545</v>
      </c>
      <c r="E901" s="1">
        <f t="shared" si="14"/>
        <v>-1.7589386876297279</v>
      </c>
      <c r="F901" s="7">
        <f>SQRT(IRS_returns_2015_25[[#This Row],[  σ2]])</f>
        <v>2.2398181137905269</v>
      </c>
    </row>
    <row r="902" spans="1:6" x14ac:dyDescent="0.3">
      <c r="A902" s="2">
        <v>43340</v>
      </c>
      <c r="B902" s="1">
        <v>-1.3544258598285452</v>
      </c>
      <c r="C902" s="1">
        <f>IRS_returns_2015_25[[#This Row],[IRSrtn]]-AVERAGE($B$2:$B$2600)</f>
        <v>-1.3602023538951611</v>
      </c>
      <c r="D902" s="1">
        <f>w+a*C901^2+b*D901</f>
        <v>4.7671767726069039</v>
      </c>
      <c r="E902" s="1">
        <f t="shared" si="14"/>
        <v>-1.8938666206954735</v>
      </c>
      <c r="F902" s="7">
        <f>SQRT(IRS_returns_2015_25[[#This Row],[  σ2]])</f>
        <v>2.1833865376077832</v>
      </c>
    </row>
    <row r="903" spans="1:6" x14ac:dyDescent="0.3">
      <c r="A903" s="2">
        <v>43341</v>
      </c>
      <c r="B903" s="1">
        <v>-3.9740407805721301</v>
      </c>
      <c r="C903" s="1">
        <f>IRS_returns_2015_25[[#This Row],[IRSrtn]]-AVERAGE($B$2:$B$2600)</f>
        <v>-3.9798172746387457</v>
      </c>
      <c r="D903" s="1">
        <f>w+a*C902^2+b*D902</f>
        <v>4.9696424354399307</v>
      </c>
      <c r="E903" s="1">
        <f t="shared" si="14"/>
        <v>-3.3141824140592355</v>
      </c>
      <c r="F903" s="7">
        <f>SQRT(IRS_returns_2015_25[[#This Row],[  σ2]])</f>
        <v>2.2292694847056804</v>
      </c>
    </row>
    <row r="904" spans="1:6" x14ac:dyDescent="0.3">
      <c r="A904" s="2">
        <v>43342</v>
      </c>
      <c r="B904" s="1">
        <v>-6.4178187048581581</v>
      </c>
      <c r="C904" s="1">
        <f>IRS_returns_2015_25[[#This Row],[IRSrtn]]-AVERAGE($B$2:$B$2600)</f>
        <v>-6.4235951989247742</v>
      </c>
      <c r="D904" s="1">
        <f>w+a*C903^2+b*D903</f>
        <v>8.5127939013003431</v>
      </c>
      <c r="E904" s="1">
        <f t="shared" si="14"/>
        <v>-4.4132860811049266</v>
      </c>
      <c r="F904" s="7">
        <f>SQRT(IRS_returns_2015_25[[#This Row],[  σ2]])</f>
        <v>2.9176692583807959</v>
      </c>
    </row>
    <row r="905" spans="1:6" x14ac:dyDescent="0.3">
      <c r="A905" s="2">
        <v>43343</v>
      </c>
      <c r="B905" s="1">
        <v>16.622252045136989</v>
      </c>
      <c r="C905" s="1">
        <f>IRS_returns_2015_25[[#This Row],[IRSrtn]]-AVERAGE($B$2:$B$2600)</f>
        <v>16.616475551070373</v>
      </c>
      <c r="D905" s="1">
        <f>w+a*C904^2+b*D904</f>
        <v>17.065990556954183</v>
      </c>
      <c r="E905" s="1">
        <f t="shared" si="14"/>
        <v>-10.426882689868783</v>
      </c>
      <c r="F905" s="7">
        <f>SQRT(IRS_returns_2015_25[[#This Row],[  σ2]])</f>
        <v>4.1311004050923508</v>
      </c>
    </row>
    <row r="906" spans="1:6" x14ac:dyDescent="0.3">
      <c r="A906" s="2">
        <v>43347</v>
      </c>
      <c r="B906" s="1">
        <v>-12.944315521520933</v>
      </c>
      <c r="C906" s="1">
        <f>IRS_returns_2015_25[[#This Row],[IRSrtn]]-AVERAGE($B$2:$B$2600)</f>
        <v>-12.950092015587549</v>
      </c>
      <c r="D906" s="1">
        <f>w+a*C905^2+b*D905</f>
        <v>79.979849583961851</v>
      </c>
      <c r="E906" s="1">
        <f t="shared" si="14"/>
        <v>-4.1582454907920328</v>
      </c>
      <c r="F906" s="7">
        <f>SQRT(IRS_returns_2015_25[[#This Row],[  σ2]])</f>
        <v>8.9431453965571777</v>
      </c>
    </row>
    <row r="907" spans="1:6" x14ac:dyDescent="0.3">
      <c r="A907" s="2">
        <v>43349</v>
      </c>
      <c r="B907" s="1">
        <v>3.4803842787643369</v>
      </c>
      <c r="C907" s="1">
        <f>IRS_returns_2015_25[[#This Row],[IRSrtn]]-AVERAGE($B$2:$B$2600)</f>
        <v>3.4746077846977212</v>
      </c>
      <c r="D907" s="1">
        <f>w+a*C906^2+b*D906</f>
        <v>95.450443065001309</v>
      </c>
      <c r="E907" s="1">
        <f t="shared" si="14"/>
        <v>-3.2614838432883233</v>
      </c>
      <c r="F907" s="7">
        <f>SQRT(IRS_returns_2015_25[[#This Row],[  σ2]])</f>
        <v>9.7698742604498907</v>
      </c>
    </row>
    <row r="908" spans="1:6" x14ac:dyDescent="0.3">
      <c r="A908" s="2">
        <v>43350</v>
      </c>
      <c r="B908" s="1">
        <v>-3.0645856032756935</v>
      </c>
      <c r="C908" s="1">
        <f>IRS_returns_2015_25[[#This Row],[IRSrtn]]-AVERAGE($B$2:$B$2600)</f>
        <v>-3.0703620973423091</v>
      </c>
      <c r="D908" s="1">
        <f>w+a*C907^2+b*D907</f>
        <v>67.8297788095351</v>
      </c>
      <c r="E908" s="1">
        <f t="shared" si="14"/>
        <v>-3.0969302277268671</v>
      </c>
      <c r="F908" s="7">
        <f>SQRT(IRS_returns_2015_25[[#This Row],[  σ2]])</f>
        <v>8.2358836083042775</v>
      </c>
    </row>
    <row r="909" spans="1:6" x14ac:dyDescent="0.3">
      <c r="A909" s="2">
        <v>43353</v>
      </c>
      <c r="B909" s="1">
        <v>3.5329792279468641</v>
      </c>
      <c r="C909" s="1">
        <f>IRS_returns_2015_25[[#This Row],[IRSrtn]]-AVERAGE($B$2:$B$2600)</f>
        <v>3.5272027338802485</v>
      </c>
      <c r="D909" s="1">
        <f>w+a*C908^2+b*D908</f>
        <v>48.797598307885174</v>
      </c>
      <c r="E909" s="1">
        <f t="shared" si="14"/>
        <v>-2.9902562479998691</v>
      </c>
      <c r="F909" s="7">
        <f>SQRT(IRS_returns_2015_25[[#This Row],[  σ2]])</f>
        <v>6.9855277759010574</v>
      </c>
    </row>
    <row r="910" spans="1:6" x14ac:dyDescent="0.3">
      <c r="A910" s="2">
        <v>43354</v>
      </c>
      <c r="B910" s="1">
        <v>0.59900382455184698</v>
      </c>
      <c r="C910" s="1">
        <f>IRS_returns_2015_25[[#This Row],[IRSrtn]]-AVERAGE($B$2:$B$2600)</f>
        <v>0.59322733048523113</v>
      </c>
      <c r="D910" s="1">
        <f>w+a*C909^2+b*D909</f>
        <v>36.861926762431885</v>
      </c>
      <c r="E910" s="1">
        <f t="shared" si="14"/>
        <v>-2.7273016157148411</v>
      </c>
      <c r="F910" s="7">
        <f>SQRT(IRS_returns_2015_25[[#This Row],[  σ2]])</f>
        <v>6.0714023719756778</v>
      </c>
    </row>
    <row r="911" spans="1:6" x14ac:dyDescent="0.3">
      <c r="A911" s="2">
        <v>43355</v>
      </c>
      <c r="B911" s="1">
        <v>0.85894781732971381</v>
      </c>
      <c r="C911" s="1">
        <f>IRS_returns_2015_25[[#This Row],[IRSrtn]]-AVERAGE($B$2:$B$2600)</f>
        <v>0.85317132326309797</v>
      </c>
      <c r="D911" s="1">
        <f>w+a*C910^2+b*D910</f>
        <v>25.970610087371323</v>
      </c>
      <c r="E911" s="1">
        <f t="shared" si="14"/>
        <v>-2.5614352350597978</v>
      </c>
      <c r="F911" s="7">
        <f>SQRT(IRS_returns_2015_25[[#This Row],[  σ2]])</f>
        <v>5.0961367806772344</v>
      </c>
    </row>
    <row r="912" spans="1:6" x14ac:dyDescent="0.3">
      <c r="A912" s="2">
        <v>43356</v>
      </c>
      <c r="B912" s="1">
        <v>1.954448551652499</v>
      </c>
      <c r="C912" s="1">
        <f>IRS_returns_2015_25[[#This Row],[IRSrtn]]-AVERAGE($B$2:$B$2600)</f>
        <v>1.9486720575858831</v>
      </c>
      <c r="D912" s="1">
        <f>w+a*C911^2+b*D911</f>
        <v>18.811686630272302</v>
      </c>
      <c r="E912" s="1">
        <f t="shared" si="14"/>
        <v>-2.4871075725610914</v>
      </c>
      <c r="F912" s="7">
        <f>SQRT(IRS_returns_2015_25[[#This Row],[  σ2]])</f>
        <v>4.3372441285074448</v>
      </c>
    </row>
    <row r="913" spans="1:6" x14ac:dyDescent="0.3">
      <c r="A913" s="2">
        <v>43357</v>
      </c>
      <c r="B913" s="1">
        <v>3.2997947049985488</v>
      </c>
      <c r="C913" s="1">
        <f>IRS_returns_2015_25[[#This Row],[IRSrtn]]-AVERAGE($B$2:$B$2600)</f>
        <v>3.2940182109319331</v>
      </c>
      <c r="D913" s="1">
        <f>w+a*C912^2+b*D912</f>
        <v>14.793735469568706</v>
      </c>
      <c r="E913" s="1">
        <f t="shared" si="14"/>
        <v>-2.6327685045212341</v>
      </c>
      <c r="F913" s="7">
        <f>SQRT(IRS_returns_2015_25[[#This Row],[  σ2]])</f>
        <v>3.8462625325851985</v>
      </c>
    </row>
    <row r="914" spans="1:6" x14ac:dyDescent="0.3">
      <c r="A914" s="2">
        <v>43360</v>
      </c>
      <c r="B914" s="1">
        <v>-0.18745100066266396</v>
      </c>
      <c r="C914" s="1">
        <f>IRS_returns_2015_25[[#This Row],[IRSrtn]]-AVERAGE($B$2:$B$2600)</f>
        <v>-0.19322749472927975</v>
      </c>
      <c r="D914" s="1">
        <f>w+a*C913^2+b*D913</f>
        <v>13.837436863272217</v>
      </c>
      <c r="E914" s="1">
        <f t="shared" si="14"/>
        <v>-2.233976525879005</v>
      </c>
      <c r="F914" s="7">
        <f>SQRT(IRS_returns_2015_25[[#This Row],[  σ2]])</f>
        <v>3.7198705438862003</v>
      </c>
    </row>
    <row r="915" spans="1:6" x14ac:dyDescent="0.3">
      <c r="A915" s="2">
        <v>43361</v>
      </c>
      <c r="B915" s="1">
        <v>0.18745100066266396</v>
      </c>
      <c r="C915" s="1">
        <f>IRS_returns_2015_25[[#This Row],[IRSrtn]]-AVERAGE($B$2:$B$2600)</f>
        <v>0.18167450659604817</v>
      </c>
      <c r="D915" s="1">
        <f>w+a*C914^2+b*D914</f>
        <v>10.566174562714824</v>
      </c>
      <c r="E915" s="1">
        <f t="shared" si="14"/>
        <v>-2.0993292962581642</v>
      </c>
      <c r="F915" s="7">
        <f>SQRT(IRS_returns_2015_25[[#This Row],[  σ2]])</f>
        <v>3.2505652681825703</v>
      </c>
    </row>
    <row r="916" spans="1:6" x14ac:dyDescent="0.3">
      <c r="A916" s="2">
        <v>43362</v>
      </c>
      <c r="B916" s="1">
        <v>5.2291594646033612</v>
      </c>
      <c r="C916" s="1">
        <f>IRS_returns_2015_25[[#This Row],[IRSrtn]]-AVERAGE($B$2:$B$2600)</f>
        <v>5.2233829705367452</v>
      </c>
      <c r="D916" s="1">
        <f>w+a*C915^2+b*D915</f>
        <v>8.3873852703420404</v>
      </c>
      <c r="E916" s="1">
        <f t="shared" si="14"/>
        <v>-3.6087770353868232</v>
      </c>
      <c r="F916" s="7">
        <f>SQRT(IRS_returns_2015_25[[#This Row],[  σ2]])</f>
        <v>2.89609828395758</v>
      </c>
    </row>
    <row r="917" spans="1:6" x14ac:dyDescent="0.3">
      <c r="A917" s="2">
        <v>43363</v>
      </c>
      <c r="B917" s="1">
        <v>0.11841927624218762</v>
      </c>
      <c r="C917" s="1">
        <f>IRS_returns_2015_25[[#This Row],[IRSrtn]]-AVERAGE($B$2:$B$2600)</f>
        <v>0.11264278217557183</v>
      </c>
      <c r="D917" s="1">
        <f>w+a*C916^2+b*D916</f>
        <v>13.576561431939849</v>
      </c>
      <c r="E917" s="1">
        <f t="shared" si="14"/>
        <v>-2.2235782646133231</v>
      </c>
      <c r="F917" s="7">
        <f>SQRT(IRS_returns_2015_25[[#This Row],[  σ2]])</f>
        <v>3.6846385754833335</v>
      </c>
    </row>
    <row r="918" spans="1:6" x14ac:dyDescent="0.3">
      <c r="A918" s="2">
        <v>43364</v>
      </c>
      <c r="B918" s="1">
        <v>1.4101210895482108</v>
      </c>
      <c r="C918" s="1">
        <f>IRS_returns_2015_25[[#This Row],[IRSrtn]]-AVERAGE($B$2:$B$2600)</f>
        <v>1.404344595481595</v>
      </c>
      <c r="D918" s="1">
        <f>w+a*C917^2+b*D917</f>
        <v>10.386499834369623</v>
      </c>
      <c r="E918" s="1">
        <f t="shared" si="14"/>
        <v>-2.1841317349588714</v>
      </c>
      <c r="F918" s="7">
        <f>SQRT(IRS_returns_2015_25[[#This Row],[  σ2]])</f>
        <v>3.2228093077887223</v>
      </c>
    </row>
    <row r="919" spans="1:6" x14ac:dyDescent="0.3">
      <c r="A919" s="2">
        <v>43367</v>
      </c>
      <c r="B919" s="1">
        <v>5.8329001745471842E-2</v>
      </c>
      <c r="C919" s="1">
        <f>IRS_returns_2015_25[[#This Row],[IRSrtn]]-AVERAGE($B$2:$B$2600)</f>
        <v>5.2552507678856046E-2</v>
      </c>
      <c r="D919" s="1">
        <f>w+a*C918^2+b*D918</f>
        <v>8.7402531003758543</v>
      </c>
      <c r="E919" s="1">
        <f t="shared" si="14"/>
        <v>-2.0030660984502511</v>
      </c>
      <c r="F919" s="7">
        <f>SQRT(IRS_returns_2015_25[[#This Row],[  σ2]])</f>
        <v>2.9563919057486028</v>
      </c>
    </row>
    <row r="920" spans="1:6" x14ac:dyDescent="0.3">
      <c r="A920" s="2">
        <v>43368</v>
      </c>
      <c r="B920" s="1">
        <v>-0.5261832877918593</v>
      </c>
      <c r="C920" s="1">
        <f>IRS_returns_2015_25[[#This Row],[IRSrtn]]-AVERAGE($B$2:$B$2600)</f>
        <v>-0.53195978185847514</v>
      </c>
      <c r="D920" s="1">
        <f>w+a*C919^2+b*D919</f>
        <v>7.1644699260833438</v>
      </c>
      <c r="E920" s="1">
        <f t="shared" si="14"/>
        <v>-1.9232545005351391</v>
      </c>
      <c r="F920" s="7">
        <f>SQRT(IRS_returns_2015_25[[#This Row],[  σ2]])</f>
        <v>2.6766527466377372</v>
      </c>
    </row>
    <row r="921" spans="1:6" x14ac:dyDescent="0.3">
      <c r="A921" s="2">
        <v>43369</v>
      </c>
      <c r="B921" s="1">
        <v>2.2603145522226864</v>
      </c>
      <c r="C921" s="1">
        <f>IRS_returns_2015_25[[#This Row],[IRSrtn]]-AVERAGE($B$2:$B$2600)</f>
        <v>2.2545380581560708</v>
      </c>
      <c r="D921" s="1">
        <f>w+a*C920^2+b*D920</f>
        <v>6.1837201329799516</v>
      </c>
      <c r="E921" s="1">
        <f t="shared" si="14"/>
        <v>-2.2408924072792811</v>
      </c>
      <c r="F921" s="7">
        <f>SQRT(IRS_returns_2015_25[[#This Row],[  σ2]])</f>
        <v>2.4867086948374051</v>
      </c>
    </row>
    <row r="922" spans="1:6" x14ac:dyDescent="0.3">
      <c r="A922" s="2">
        <v>43370</v>
      </c>
      <c r="B922" s="1">
        <v>-3.2617868169834807</v>
      </c>
      <c r="C922" s="1">
        <f>IRS_returns_2015_25[[#This Row],[IRSrtn]]-AVERAGE($B$2:$B$2600)</f>
        <v>-3.2675633110500963</v>
      </c>
      <c r="D922" s="1">
        <f>w+a*C921^2+b*D921</f>
        <v>6.7003279055734017</v>
      </c>
      <c r="E922" s="1">
        <f t="shared" si="14"/>
        <v>-2.666766577885423</v>
      </c>
      <c r="F922" s="7">
        <f>SQRT(IRS_returns_2015_25[[#This Row],[  σ2]])</f>
        <v>2.5884991608214598</v>
      </c>
    </row>
    <row r="923" spans="1:6" x14ac:dyDescent="0.3">
      <c r="A923" s="2">
        <v>43371</v>
      </c>
      <c r="B923" s="1">
        <v>0.35460167501790707</v>
      </c>
      <c r="C923" s="1">
        <f>IRS_returns_2015_25[[#This Row],[IRSrtn]]-AVERAGE($B$2:$B$2600)</f>
        <v>0.34882518095129128</v>
      </c>
      <c r="D923" s="1">
        <f>w+a*C922^2+b*D922</f>
        <v>8.4072259957558018</v>
      </c>
      <c r="E923" s="1">
        <f t="shared" si="14"/>
        <v>-1.9907208928838729</v>
      </c>
      <c r="F923" s="7">
        <f>SQRT(IRS_returns_2015_25[[#This Row],[  σ2]])</f>
        <v>2.8995216839602702</v>
      </c>
    </row>
    <row r="924" spans="1:6" x14ac:dyDescent="0.3">
      <c r="A924" s="2">
        <v>43374</v>
      </c>
      <c r="B924" s="1">
        <v>-2.8120187034803568</v>
      </c>
      <c r="C924" s="1">
        <f>IRS_returns_2015_25[[#This Row],[IRSrtn]]-AVERAGE($B$2:$B$2600)</f>
        <v>-2.8177951975469724</v>
      </c>
      <c r="D924" s="1">
        <f>w+a*C923^2+b*D923</f>
        <v>6.9717423747701659</v>
      </c>
      <c r="E924" s="1">
        <f t="shared" si="14"/>
        <v>-2.4593105343003758</v>
      </c>
      <c r="F924" s="7">
        <f>SQRT(IRS_returns_2015_25[[#This Row],[  σ2]])</f>
        <v>2.6404057216212373</v>
      </c>
    </row>
    <row r="925" spans="1:6" x14ac:dyDescent="0.3">
      <c r="A925" s="2">
        <v>43375</v>
      </c>
      <c r="B925" s="1">
        <v>-0.48661622827248507</v>
      </c>
      <c r="C925" s="1">
        <f>IRS_returns_2015_25[[#This Row],[IRSrtn]]-AVERAGE($B$2:$B$2600)</f>
        <v>-0.49239272233910086</v>
      </c>
      <c r="D925" s="1">
        <f>w+a*C924^2+b*D924</f>
        <v>7.9210416743400662</v>
      </c>
      <c r="E925" s="1">
        <f t="shared" si="14"/>
        <v>-1.9690041054894962</v>
      </c>
      <c r="F925" s="7">
        <f>SQRT(IRS_returns_2015_25[[#This Row],[  σ2]])</f>
        <v>2.8144345212386921</v>
      </c>
    </row>
    <row r="926" spans="1:6" x14ac:dyDescent="0.3">
      <c r="A926" s="2">
        <v>43376</v>
      </c>
      <c r="B926" s="1">
        <v>1.7528338661381593</v>
      </c>
      <c r="C926" s="1">
        <f>IRS_returns_2015_25[[#This Row],[IRSrtn]]-AVERAGE($B$2:$B$2600)</f>
        <v>1.7470573720715434</v>
      </c>
      <c r="D926" s="1">
        <f>w+a*C925^2+b*D925</f>
        <v>6.6775073152844069</v>
      </c>
      <c r="E926" s="1">
        <f t="shared" si="14"/>
        <v>-2.0968549886586847</v>
      </c>
      <c r="F926" s="7">
        <f>SQRT(IRS_returns_2015_25[[#This Row],[  σ2]])</f>
        <v>2.584087327333271</v>
      </c>
    </row>
    <row r="927" spans="1:6" x14ac:dyDescent="0.3">
      <c r="A927" s="2">
        <v>43377</v>
      </c>
      <c r="B927" s="1">
        <v>-6.3700004530027776</v>
      </c>
      <c r="C927" s="1">
        <f>IRS_returns_2015_25[[#This Row],[IRSrtn]]-AVERAGE($B$2:$B$2600)</f>
        <v>-6.3757769470693937</v>
      </c>
      <c r="D927" s="1">
        <f>w+a*C926^2+b*D926</f>
        <v>6.5342628073761162</v>
      </c>
      <c r="E927" s="1">
        <f t="shared" si="14"/>
        <v>-4.9680358482484603</v>
      </c>
      <c r="F927" s="7">
        <f>SQRT(IRS_returns_2015_25[[#This Row],[  σ2]])</f>
        <v>2.5562204144744864</v>
      </c>
    </row>
    <row r="928" spans="1:6" x14ac:dyDescent="0.3">
      <c r="A928" s="2">
        <v>43378</v>
      </c>
      <c r="B928" s="1">
        <v>0.19138295105807224</v>
      </c>
      <c r="C928" s="1">
        <f>IRS_returns_2015_25[[#This Row],[IRSrtn]]-AVERAGE($B$2:$B$2600)</f>
        <v>0.18560645699145645</v>
      </c>
      <c r="D928" s="1">
        <f>w+a*C927^2+b*D927</f>
        <v>15.599725058082335</v>
      </c>
      <c r="E928" s="1">
        <f t="shared" si="14"/>
        <v>-2.2936693563486426</v>
      </c>
      <c r="F928" s="7">
        <f>SQRT(IRS_returns_2015_25[[#This Row],[  σ2]])</f>
        <v>3.9496487259099808</v>
      </c>
    </row>
    <row r="929" spans="1:6" x14ac:dyDescent="0.3">
      <c r="A929" s="2">
        <v>43381</v>
      </c>
      <c r="B929" s="1">
        <v>4.0592473647273586</v>
      </c>
      <c r="C929" s="1">
        <f>IRS_returns_2015_25[[#This Row],[IRSrtn]]-AVERAGE($B$2:$B$2600)</f>
        <v>4.0534708706607425</v>
      </c>
      <c r="D929" s="1">
        <f>w+a*C928^2+b*D928</f>
        <v>11.738655824533804</v>
      </c>
      <c r="E929" s="1">
        <f t="shared" si="14"/>
        <v>-2.8502334477579261</v>
      </c>
      <c r="F929" s="7">
        <f>SQRT(IRS_returns_2015_25[[#This Row],[  σ2]])</f>
        <v>3.4261721825579352</v>
      </c>
    </row>
    <row r="930" spans="1:6" x14ac:dyDescent="0.3">
      <c r="A930" s="2">
        <v>43382</v>
      </c>
      <c r="B930" s="1">
        <v>0.48840563666696646</v>
      </c>
      <c r="C930" s="1">
        <f>IRS_returns_2015_25[[#This Row],[IRSrtn]]-AVERAGE($B$2:$B$2600)</f>
        <v>0.48262914260035067</v>
      </c>
      <c r="D930" s="1">
        <f>w+a*C929^2+b*D929</f>
        <v>13.16320207869358</v>
      </c>
      <c r="E930" s="1">
        <f t="shared" si="14"/>
        <v>-2.2164989458396196</v>
      </c>
      <c r="F930" s="7">
        <f>SQRT(IRS_returns_2015_25[[#This Row],[  σ2]])</f>
        <v>3.6281127433823745</v>
      </c>
    </row>
    <row r="931" spans="1:6" x14ac:dyDescent="0.3">
      <c r="A931" s="2">
        <v>43383</v>
      </c>
      <c r="B931" s="1">
        <v>-5.895111661979735</v>
      </c>
      <c r="C931" s="1">
        <f>IRS_returns_2015_25[[#This Row],[IRSrtn]]-AVERAGE($B$2:$B$2600)</f>
        <v>-5.9008881560463511</v>
      </c>
      <c r="D931" s="1">
        <f>w+a*C930^2+b*D930</f>
        <v>10.164981636772024</v>
      </c>
      <c r="E931" s="1">
        <f t="shared" si="14"/>
        <v>-3.7911794021343379</v>
      </c>
      <c r="F931" s="7">
        <f>SQRT(IRS_returns_2015_25[[#This Row],[  σ2]])</f>
        <v>3.1882568335647026</v>
      </c>
    </row>
    <row r="932" spans="1:6" x14ac:dyDescent="0.3">
      <c r="A932" s="2">
        <v>43384</v>
      </c>
      <c r="B932" s="1">
        <v>-7.3015347869735514</v>
      </c>
      <c r="C932" s="1">
        <f>IRS_returns_2015_25[[#This Row],[IRSrtn]]-AVERAGE($B$2:$B$2600)</f>
        <v>-7.3073112810401675</v>
      </c>
      <c r="D932" s="1">
        <f>w+a*C931^2+b*D931</f>
        <v>16.596264771846933</v>
      </c>
      <c r="E932" s="1">
        <f t="shared" si="14"/>
        <v>-3.9322266347170451</v>
      </c>
      <c r="F932" s="7">
        <f>SQRT(IRS_returns_2015_25[[#This Row],[  σ2]])</f>
        <v>4.0738513438571777</v>
      </c>
    </row>
    <row r="933" spans="1:6" x14ac:dyDescent="0.3">
      <c r="A933" s="2">
        <v>43385</v>
      </c>
      <c r="B933" s="1">
        <v>6.9464258545748336E-2</v>
      </c>
      <c r="C933" s="1">
        <f>IRS_returns_2015_25[[#This Row],[IRSrtn]]-AVERAGE($B$2:$B$2600)</f>
        <v>6.3687764479132547E-2</v>
      </c>
      <c r="D933" s="1">
        <f>w+a*C932^2+b*D932</f>
        <v>25.403792815425025</v>
      </c>
      <c r="E933" s="1">
        <f t="shared" si="14"/>
        <v>-2.5364676095483034</v>
      </c>
      <c r="F933" s="7">
        <f>SQRT(IRS_returns_2015_25[[#This Row],[  σ2]])</f>
        <v>5.0402175365181439</v>
      </c>
    </row>
    <row r="934" spans="1:6" x14ac:dyDescent="0.3">
      <c r="A934" s="2">
        <v>43388</v>
      </c>
      <c r="B934" s="1">
        <v>1.4478053911044064</v>
      </c>
      <c r="C934" s="1">
        <f>IRS_returns_2015_25[[#This Row],[IRSrtn]]-AVERAGE($B$2:$B$2600)</f>
        <v>1.4420288970377906</v>
      </c>
      <c r="D934" s="1">
        <f>w+a*C933^2+b*D933</f>
        <v>18.257982189316749</v>
      </c>
      <c r="E934" s="1">
        <f t="shared" si="14"/>
        <v>-2.4281859683572717</v>
      </c>
      <c r="F934" s="7">
        <f>SQRT(IRS_returns_2015_25[[#This Row],[  σ2]])</f>
        <v>4.2729360151208384</v>
      </c>
    </row>
    <row r="935" spans="1:6" x14ac:dyDescent="0.3">
      <c r="A935" s="2">
        <v>43389</v>
      </c>
      <c r="B935" s="1">
        <v>0.75007302446752355</v>
      </c>
      <c r="C935" s="1">
        <f>IRS_returns_2015_25[[#This Row],[IRSrtn]]-AVERAGE($B$2:$B$2600)</f>
        <v>0.74429653040090771</v>
      </c>
      <c r="D935" s="1">
        <f>w+a*C934^2+b*D934</f>
        <v>14.006565213304931</v>
      </c>
      <c r="E935" s="1">
        <f t="shared" si="14"/>
        <v>-2.2584772457667928</v>
      </c>
      <c r="F935" s="7">
        <f>SQRT(IRS_returns_2015_25[[#This Row],[  σ2]])</f>
        <v>3.7425345974760114</v>
      </c>
    </row>
    <row r="936" spans="1:6" x14ac:dyDescent="0.3">
      <c r="A936" s="2">
        <v>43390</v>
      </c>
      <c r="B936" s="1">
        <v>-2.8248401109147281</v>
      </c>
      <c r="C936" s="1">
        <f>IRS_returns_2015_25[[#This Row],[IRSrtn]]-AVERAGE($B$2:$B$2600)</f>
        <v>-2.8306166049813437</v>
      </c>
      <c r="D936" s="1">
        <f>w+a*C935^2+b*D935</f>
        <v>10.804645460743803</v>
      </c>
      <c r="E936" s="1">
        <f t="shared" si="14"/>
        <v>-2.4797111325178545</v>
      </c>
      <c r="F936" s="7">
        <f>SQRT(IRS_returns_2015_25[[#This Row],[  σ2]])</f>
        <v>3.2870420533883959</v>
      </c>
    </row>
    <row r="937" spans="1:6" x14ac:dyDescent="0.3">
      <c r="A937" s="2">
        <v>43391</v>
      </c>
      <c r="B937" s="1">
        <v>-2.190126001326842</v>
      </c>
      <c r="C937" s="1">
        <f>IRS_returns_2015_25[[#This Row],[IRSrtn]]-AVERAGE($B$2:$B$2600)</f>
        <v>-2.1959024953934576</v>
      </c>
      <c r="D937" s="1">
        <f>w+a*C936^2+b*D936</f>
        <v>10.490314579002026</v>
      </c>
      <c r="E937" s="1">
        <f t="shared" si="14"/>
        <v>-2.3239952040791008</v>
      </c>
      <c r="F937" s="7">
        <f>SQRT(IRS_returns_2015_25[[#This Row],[  σ2]])</f>
        <v>3.2388755115011794</v>
      </c>
    </row>
    <row r="938" spans="1:6" x14ac:dyDescent="0.3">
      <c r="A938" s="2">
        <v>43392</v>
      </c>
      <c r="B938" s="1">
        <v>-1.0772239455933974</v>
      </c>
      <c r="C938" s="1">
        <f>IRS_returns_2015_25[[#This Row],[IRSrtn]]-AVERAGE($B$2:$B$2600)</f>
        <v>-1.0830004396600132</v>
      </c>
      <c r="D938" s="1">
        <f>w+a*C937^2+b*D937</f>
        <v>9.5037184029891435</v>
      </c>
      <c r="E938" s="1">
        <f t="shared" si="14"/>
        <v>-2.106486997010439</v>
      </c>
      <c r="F938" s="7">
        <f>SQRT(IRS_returns_2015_25[[#This Row],[  σ2]])</f>
        <v>3.082810147088066</v>
      </c>
    </row>
    <row r="939" spans="1:6" x14ac:dyDescent="0.3">
      <c r="A939" s="2">
        <v>43395</v>
      </c>
      <c r="B939" s="1">
        <v>-0.36165797048677284</v>
      </c>
      <c r="C939" s="1">
        <f>IRS_returns_2015_25[[#This Row],[IRSrtn]]-AVERAGE($B$2:$B$2600)</f>
        <v>-0.36743446455338863</v>
      </c>
      <c r="D939" s="1">
        <f>w+a*C938^2+b*D938</f>
        <v>7.9578230000618202</v>
      </c>
      <c r="E939" s="1">
        <f t="shared" si="14"/>
        <v>-1.9644989955603627</v>
      </c>
      <c r="F939" s="7">
        <f>SQRT(IRS_returns_2015_25[[#This Row],[  σ2]])</f>
        <v>2.8209613609657649</v>
      </c>
    </row>
    <row r="940" spans="1:6" x14ac:dyDescent="0.3">
      <c r="A940" s="2">
        <v>43396</v>
      </c>
      <c r="B940" s="1">
        <v>-1.3863739358241478</v>
      </c>
      <c r="C940" s="1">
        <f>IRS_returns_2015_25[[#This Row],[IRSrtn]]-AVERAGE($B$2:$B$2600)</f>
        <v>-1.3921504298907637</v>
      </c>
      <c r="D940" s="1">
        <f>w+a*C939^2+b*D939</f>
        <v>6.6758149165049838</v>
      </c>
      <c r="E940" s="1">
        <f t="shared" si="14"/>
        <v>-2.0133411956103182</v>
      </c>
      <c r="F940" s="7">
        <f>SQRT(IRS_returns_2015_25[[#This Row],[  σ2]])</f>
        <v>2.5837598411046225</v>
      </c>
    </row>
    <row r="941" spans="1:6" x14ac:dyDescent="0.3">
      <c r="A941" s="2">
        <v>43397</v>
      </c>
      <c r="B941" s="1">
        <v>-1.4058647954915404</v>
      </c>
      <c r="C941" s="1">
        <f>IRS_returns_2015_25[[#This Row],[IRSrtn]]-AVERAGE($B$2:$B$2600)</f>
        <v>-1.4116412895581563</v>
      </c>
      <c r="D941" s="1">
        <f>w+a*C940^2+b*D940</f>
        <v>6.2616794505734399</v>
      </c>
      <c r="E941" s="1">
        <f t="shared" si="14"/>
        <v>-1.9952838880242172</v>
      </c>
      <c r="F941" s="7">
        <f>SQRT(IRS_returns_2015_25[[#This Row],[  σ2]])</f>
        <v>2.5023347998566137</v>
      </c>
    </row>
    <row r="942" spans="1:6" x14ac:dyDescent="0.3">
      <c r="A942" s="2">
        <v>43398</v>
      </c>
      <c r="B942" s="1">
        <v>0.37188798375433763</v>
      </c>
      <c r="C942" s="1">
        <f>IRS_returns_2015_25[[#This Row],[IRSrtn]]-AVERAGE($B$2:$B$2600)</f>
        <v>0.36611148968772184</v>
      </c>
      <c r="D942" s="1">
        <f>w+a*C941^2+b*D941</f>
        <v>5.9992975976462031</v>
      </c>
      <c r="E942" s="1">
        <f t="shared" si="14"/>
        <v>-1.8259308405385111</v>
      </c>
      <c r="F942" s="7">
        <f>SQRT(IRS_returns_2015_25[[#This Row],[  σ2]])</f>
        <v>2.4493463613066657</v>
      </c>
    </row>
    <row r="943" spans="1:6" x14ac:dyDescent="0.3">
      <c r="A943" s="2">
        <v>43399</v>
      </c>
      <c r="B943" s="1">
        <v>-3.551564551730646</v>
      </c>
      <c r="C943" s="1">
        <f>IRS_returns_2015_25[[#This Row],[IRSrtn]]-AVERAGE($B$2:$B$2600)</f>
        <v>-3.5573410457972616</v>
      </c>
      <c r="D943" s="1">
        <f>w+a*C942^2+b*D942</f>
        <v>5.3717553695975084</v>
      </c>
      <c r="E943" s="1">
        <f t="shared" si="14"/>
        <v>-2.9374060380989233</v>
      </c>
      <c r="F943" s="7">
        <f>SQRT(IRS_returns_2015_25[[#This Row],[  σ2]])</f>
        <v>2.3177047632512449</v>
      </c>
    </row>
    <row r="944" spans="1:6" x14ac:dyDescent="0.3">
      <c r="A944" s="2">
        <v>43402</v>
      </c>
      <c r="B944" s="1">
        <v>1.2992128327591779</v>
      </c>
      <c r="C944" s="1">
        <f>IRS_returns_2015_25[[#This Row],[IRSrtn]]-AVERAGE($B$2:$B$2600)</f>
        <v>1.293436338692562</v>
      </c>
      <c r="D944" s="1">
        <f>w+a*C943^2+b*D943</f>
        <v>8.0046404986405921</v>
      </c>
      <c r="E944" s="1">
        <f t="shared" si="14"/>
        <v>-2.0634497319723026</v>
      </c>
      <c r="F944" s="7">
        <f>SQRT(IRS_returns_2015_25[[#This Row],[  σ2]])</f>
        <v>2.8292473378339675</v>
      </c>
    </row>
    <row r="945" spans="1:6" x14ac:dyDescent="0.3">
      <c r="A945" s="2">
        <v>43403</v>
      </c>
      <c r="B945" s="1">
        <v>-0.45661923139781457</v>
      </c>
      <c r="C945" s="1">
        <f>IRS_returns_2015_25[[#This Row],[IRSrtn]]-AVERAGE($B$2:$B$2600)</f>
        <v>-0.46239572546443036</v>
      </c>
      <c r="D945" s="1">
        <f>w+a*C944^2+b*D944</f>
        <v>7.0817080150823113</v>
      </c>
      <c r="E945" s="1">
        <f t="shared" si="14"/>
        <v>-1.9127920158637883</v>
      </c>
      <c r="F945" s="7">
        <f>SQRT(IRS_returns_2015_25[[#This Row],[  σ2]])</f>
        <v>2.6611478754632016</v>
      </c>
    </row>
    <row r="946" spans="1:6" x14ac:dyDescent="0.3">
      <c r="A946" s="2">
        <v>43404</v>
      </c>
      <c r="B946" s="1">
        <v>1.9638068120898744</v>
      </c>
      <c r="C946" s="1">
        <f>IRS_returns_2015_25[[#This Row],[IRSrtn]]-AVERAGE($B$2:$B$2600)</f>
        <v>1.9580303180232586</v>
      </c>
      <c r="D946" s="1">
        <f>w+a*C945^2+b*D945</f>
        <v>6.1117705493554642</v>
      </c>
      <c r="E946" s="1">
        <f t="shared" si="14"/>
        <v>-2.1376942571549837</v>
      </c>
      <c r="F946" s="7">
        <f>SQRT(IRS_returns_2015_25[[#This Row],[  σ2]])</f>
        <v>2.4721995367193692</v>
      </c>
    </row>
    <row r="947" spans="1:6" x14ac:dyDescent="0.3">
      <c r="A947" s="2">
        <v>43405</v>
      </c>
      <c r="B947" s="1">
        <v>1.8525848057908245</v>
      </c>
      <c r="C947" s="1">
        <f>IRS_returns_2015_25[[#This Row],[IRSrtn]]-AVERAGE($B$2:$B$2600)</f>
        <v>1.8468083117242087</v>
      </c>
      <c r="D947" s="1">
        <f>w+a*C946^2+b*D946</f>
        <v>6.3480968972091851</v>
      </c>
      <c r="E947" s="1">
        <f t="shared" si="14"/>
        <v>-2.1116557073675941</v>
      </c>
      <c r="F947" s="7">
        <f>SQRT(IRS_returns_2015_25[[#This Row],[  σ2]])</f>
        <v>2.5195429937211204</v>
      </c>
    </row>
    <row r="948" spans="1:6" x14ac:dyDescent="0.3">
      <c r="A948" s="2">
        <v>43406</v>
      </c>
      <c r="B948" s="1">
        <v>1.6745880505367072</v>
      </c>
      <c r="C948" s="1">
        <f>IRS_returns_2015_25[[#This Row],[IRSrtn]]-AVERAGE($B$2:$B$2600)</f>
        <v>1.6688115564700914</v>
      </c>
      <c r="D948" s="1">
        <f>w+a*C947^2+b*D947</f>
        <v>6.4023151524646122</v>
      </c>
      <c r="E948" s="1">
        <f t="shared" si="14"/>
        <v>-2.0647625034388071</v>
      </c>
      <c r="F948" s="7">
        <f>SQRT(IRS_returns_2015_25[[#This Row],[  σ2]])</f>
        <v>2.5302796589437722</v>
      </c>
    </row>
    <row r="949" spans="1:6" x14ac:dyDescent="0.3">
      <c r="A949" s="2">
        <v>43409</v>
      </c>
      <c r="B949" s="1">
        <v>1.0772239455933974</v>
      </c>
      <c r="C949" s="1">
        <f>IRS_returns_2015_25[[#This Row],[IRSrtn]]-AVERAGE($B$2:$B$2600)</f>
        <v>1.0714474515267816</v>
      </c>
      <c r="D949" s="1">
        <f>w+a*C948^2+b*D948</f>
        <v>6.2859406962531468</v>
      </c>
      <c r="E949" s="1">
        <f t="shared" si="14"/>
        <v>-1.9294111493843913</v>
      </c>
      <c r="F949" s="7">
        <f>SQRT(IRS_returns_2015_25[[#This Row],[  σ2]])</f>
        <v>2.5071778349876075</v>
      </c>
    </row>
    <row r="950" spans="1:6" x14ac:dyDescent="0.3">
      <c r="A950" s="2">
        <v>43410</v>
      </c>
      <c r="B950" s="1">
        <v>2.8865037358765111</v>
      </c>
      <c r="C950" s="1">
        <f>IRS_returns_2015_25[[#This Row],[IRSrtn]]-AVERAGE($B$2:$B$2600)</f>
        <v>2.8807272418098955</v>
      </c>
      <c r="D950" s="1">
        <f>w+a*C949^2+b*D949</f>
        <v>5.8096300824291562</v>
      </c>
      <c r="E950" s="1">
        <f t="shared" si="14"/>
        <v>-2.5129067798985774</v>
      </c>
      <c r="F950" s="7">
        <f>SQRT(IRS_returns_2015_25[[#This Row],[  σ2]])</f>
        <v>2.4103174235832832</v>
      </c>
    </row>
    <row r="951" spans="1:6" x14ac:dyDescent="0.3">
      <c r="A951" s="2">
        <v>43411</v>
      </c>
      <c r="B951" s="1">
        <v>-2.8865037358765111</v>
      </c>
      <c r="C951" s="1">
        <f>IRS_returns_2015_25[[#This Row],[IRSrtn]]-AVERAGE($B$2:$B$2600)</f>
        <v>-2.8922802299431267</v>
      </c>
      <c r="D951" s="1">
        <f>w+a*C950^2+b*D950</f>
        <v>7.2347816973551184</v>
      </c>
      <c r="E951" s="1">
        <f t="shared" si="14"/>
        <v>-2.4865183668113091</v>
      </c>
      <c r="F951" s="7">
        <f>SQRT(IRS_returns_2015_25[[#This Row],[  σ2]])</f>
        <v>2.6897549511721546</v>
      </c>
    </row>
    <row r="952" spans="1:6" x14ac:dyDescent="0.3">
      <c r="A952" s="2">
        <v>43412</v>
      </c>
      <c r="B952" s="1">
        <v>-1.8018526004133673</v>
      </c>
      <c r="C952" s="1">
        <f>IRS_returns_2015_25[[#This Row],[IRSrtn]]-AVERAGE($B$2:$B$2600)</f>
        <v>-1.8076290944799831</v>
      </c>
      <c r="D952" s="1">
        <f>w+a*C951^2+b*D951</f>
        <v>8.1997792863698038</v>
      </c>
      <c r="E952" s="1">
        <f t="shared" si="14"/>
        <v>-2.1702367187905778</v>
      </c>
      <c r="F952" s="7">
        <f>SQRT(IRS_returns_2015_25[[#This Row],[  σ2]])</f>
        <v>2.8635256741244355</v>
      </c>
    </row>
    <row r="953" spans="1:6" x14ac:dyDescent="0.3">
      <c r="A953" s="2">
        <v>43413</v>
      </c>
      <c r="B953" s="1">
        <v>-4.3097317821996217</v>
      </c>
      <c r="C953" s="1">
        <f>IRS_returns_2015_25[[#This Row],[IRSrtn]]-AVERAGE($B$2:$B$2600)</f>
        <v>-4.3155082762662378</v>
      </c>
      <c r="D953" s="1">
        <f>w+a*C952^2+b*D952</f>
        <v>7.6001257808251612</v>
      </c>
      <c r="E953" s="1">
        <f t="shared" si="14"/>
        <v>-3.1582382650489977</v>
      </c>
      <c r="F953" s="7">
        <f>SQRT(IRS_returns_2015_25[[#This Row],[  σ2]])</f>
        <v>2.756832563074</v>
      </c>
    </row>
    <row r="954" spans="1:6" x14ac:dyDescent="0.3">
      <c r="A954" s="2">
        <v>43416</v>
      </c>
      <c r="B954" s="1">
        <v>0.75642903286818886</v>
      </c>
      <c r="C954" s="1">
        <f>IRS_returns_2015_25[[#This Row],[IRSrtn]]-AVERAGE($B$2:$B$2600)</f>
        <v>0.75065253880157301</v>
      </c>
      <c r="D954" s="1">
        <f>w+a*C953^2+b*D953</f>
        <v>10.942433890234412</v>
      </c>
      <c r="E954" s="1">
        <f t="shared" si="14"/>
        <v>-2.141010093524077</v>
      </c>
      <c r="F954" s="7">
        <f>SQRT(IRS_returns_2015_25[[#This Row],[  σ2]])</f>
        <v>3.3079349888161969</v>
      </c>
    </row>
    <row r="955" spans="1:6" x14ac:dyDescent="0.3">
      <c r="A955" s="2">
        <v>43417</v>
      </c>
      <c r="B955" s="1">
        <v>-2.0556418656273667</v>
      </c>
      <c r="C955" s="1">
        <f>IRS_returns_2015_25[[#This Row],[IRSrtn]]-AVERAGE($B$2:$B$2600)</f>
        <v>-2.0614183596939823</v>
      </c>
      <c r="D955" s="1">
        <f>w+a*C954^2+b*D954</f>
        <v>8.7671171650509869</v>
      </c>
      <c r="E955" s="1">
        <f t="shared" si="14"/>
        <v>-2.2467939183119938</v>
      </c>
      <c r="F955" s="7">
        <f>SQRT(IRS_returns_2015_25[[#This Row],[  σ2]])</f>
        <v>2.9609318068896804</v>
      </c>
    </row>
    <row r="956" spans="1:6" x14ac:dyDescent="0.3">
      <c r="A956" s="2">
        <v>43418</v>
      </c>
      <c r="B956" s="1">
        <v>1.2232585572109045</v>
      </c>
      <c r="C956" s="1">
        <f>IRS_returns_2015_25[[#This Row],[IRSrtn]]-AVERAGE($B$2:$B$2600)</f>
        <v>1.2174820631442886</v>
      </c>
      <c r="D956" s="1">
        <f>w+a*C955^2+b*D955</f>
        <v>8.2170573301025911</v>
      </c>
      <c r="E956" s="1">
        <f t="shared" si="14"/>
        <v>-2.0622388567847088</v>
      </c>
      <c r="F956" s="7">
        <f>SQRT(IRS_returns_2015_25[[#This Row],[  σ2]])</f>
        <v>2.8665410044341928</v>
      </c>
    </row>
    <row r="957" spans="1:6" x14ac:dyDescent="0.3">
      <c r="A957" s="2">
        <v>43419</v>
      </c>
      <c r="B957" s="1">
        <v>1.4334420696881178</v>
      </c>
      <c r="C957" s="1">
        <f>IRS_returns_2015_25[[#This Row],[IRSrtn]]-AVERAGE($B$2:$B$2600)</f>
        <v>1.427665575621502</v>
      </c>
      <c r="D957" s="1">
        <f>w+a*C956^2+b*D956</f>
        <v>7.176649787212166</v>
      </c>
      <c r="E957" s="1">
        <f t="shared" si="14"/>
        <v>-2.0463590805722878</v>
      </c>
      <c r="F957" s="7">
        <f>SQRT(IRS_returns_2015_25[[#This Row],[  σ2]])</f>
        <v>2.6789269843002752</v>
      </c>
    </row>
    <row r="958" spans="1:6" x14ac:dyDescent="0.3">
      <c r="A958" s="2">
        <v>43420</v>
      </c>
      <c r="B958" s="1">
        <v>-0.14991576387091143</v>
      </c>
      <c r="C958" s="1">
        <f>IRS_returns_2015_25[[#This Row],[IRSrtn]]-AVERAGE($B$2:$B$2600)</f>
        <v>-0.15569225793752722</v>
      </c>
      <c r="D958" s="1">
        <f>w+a*C957^2+b*D957</f>
        <v>6.6194941873319983</v>
      </c>
      <c r="E958" s="1">
        <f t="shared" si="14"/>
        <v>-1.865778974934122</v>
      </c>
      <c r="F958" s="7">
        <f>SQRT(IRS_returns_2015_25[[#This Row],[  σ2]])</f>
        <v>2.5728377693379731</v>
      </c>
    </row>
    <row r="959" spans="1:6" x14ac:dyDescent="0.3">
      <c r="A959" s="2">
        <v>43423</v>
      </c>
      <c r="B959" s="1">
        <v>-1.1316754014579544</v>
      </c>
      <c r="C959" s="1">
        <f>IRS_returns_2015_25[[#This Row],[IRSrtn]]-AVERAGE($B$2:$B$2600)</f>
        <v>-1.1374518955245703</v>
      </c>
      <c r="D959" s="1">
        <f>w+a*C958^2+b*D958</f>
        <v>5.7578784587654974</v>
      </c>
      <c r="E959" s="1">
        <f t="shared" si="14"/>
        <v>-1.9065732074919832</v>
      </c>
      <c r="F959" s="7">
        <f>SQRT(IRS_returns_2015_25[[#This Row],[  σ2]])</f>
        <v>2.3995579715367366</v>
      </c>
    </row>
    <row r="960" spans="1:6" x14ac:dyDescent="0.3">
      <c r="A960" s="2">
        <v>43424</v>
      </c>
      <c r="B960" s="1">
        <v>-3.8674627564385666</v>
      </c>
      <c r="C960" s="1">
        <f>IRS_returns_2015_25[[#This Row],[IRSrtn]]-AVERAGE($B$2:$B$2600)</f>
        <v>-3.8732392505051823</v>
      </c>
      <c r="D960" s="1">
        <f>w+a*C959^2+b*D959</f>
        <v>5.4936136728055374</v>
      </c>
      <c r="E960" s="1">
        <f t="shared" si="14"/>
        <v>-3.1361336758518168</v>
      </c>
      <c r="F960" s="7">
        <f>SQRT(IRS_returns_2015_25[[#This Row],[  σ2]])</f>
        <v>2.3438459149025852</v>
      </c>
    </row>
    <row r="961" spans="1:6" x14ac:dyDescent="0.3">
      <c r="A961" s="2">
        <v>43425</v>
      </c>
      <c r="B961" s="1">
        <v>2.4153967107990226</v>
      </c>
      <c r="C961" s="1">
        <f>IRS_returns_2015_25[[#This Row],[IRSrtn]]-AVERAGE($B$2:$B$2600)</f>
        <v>2.409620216732407</v>
      </c>
      <c r="D961" s="1">
        <f>w+a*C960^2+b*D960</f>
        <v>8.6576844095212948</v>
      </c>
      <c r="E961" s="1">
        <f t="shared" si="14"/>
        <v>-2.333486808914266</v>
      </c>
      <c r="F961" s="7">
        <f>SQRT(IRS_returns_2015_25[[#This Row],[  σ2]])</f>
        <v>2.9423943327707276</v>
      </c>
    </row>
    <row r="962" spans="1:6" x14ac:dyDescent="0.3">
      <c r="A962" s="2">
        <v>43427</v>
      </c>
      <c r="B962" s="1">
        <v>2.3584285997091392</v>
      </c>
      <c r="C962" s="1">
        <f>IRS_returns_2015_25[[#This Row],[IRSrtn]]-AVERAGE($B$2:$B$2600)</f>
        <v>2.3526521056425236</v>
      </c>
      <c r="D962" s="1">
        <f>w+a*C961^2+b*D961</f>
        <v>8.5235259075594811</v>
      </c>
      <c r="E962" s="1">
        <f t="shared" ref="E962:E1025" si="15">-0.5*(LN(2*PI())+LN(D962)+C962^2/D962)</f>
        <v>-2.3150415081515354</v>
      </c>
      <c r="F962" s="7">
        <f>SQRT(IRS_returns_2015_25[[#This Row],[  σ2]])</f>
        <v>2.9195078194037229</v>
      </c>
    </row>
    <row r="963" spans="1:6" x14ac:dyDescent="0.3">
      <c r="A963" s="2">
        <v>43430</v>
      </c>
      <c r="B963" s="1">
        <v>-0.15049675329015244</v>
      </c>
      <c r="C963" s="1">
        <f>IRS_returns_2015_25[[#This Row],[IRSrtn]]-AVERAGE($B$2:$B$2600)</f>
        <v>-0.15627324735676823</v>
      </c>
      <c r="D963" s="1">
        <f>w+a*C962^2+b*D962</f>
        <v>8.3681127387638412</v>
      </c>
      <c r="E963" s="1">
        <f t="shared" si="15"/>
        <v>-1.9826119128237327</v>
      </c>
      <c r="F963" s="7">
        <f>SQRT(IRS_returns_2015_25[[#This Row],[  σ2]])</f>
        <v>2.8927690434536668</v>
      </c>
    </row>
    <row r="964" spans="1:6" x14ac:dyDescent="0.3">
      <c r="A964" s="2">
        <v>43431</v>
      </c>
      <c r="B964" s="1">
        <v>-0.45281988973475684</v>
      </c>
      <c r="C964" s="1">
        <f>IRS_returns_2015_25[[#This Row],[IRSrtn]]-AVERAGE($B$2:$B$2600)</f>
        <v>-0.45859638380137263</v>
      </c>
      <c r="D964" s="1">
        <f>w+a*C963^2+b*D963</f>
        <v>6.922007214874105</v>
      </c>
      <c r="E964" s="1">
        <f t="shared" si="15"/>
        <v>-1.9014828762603424</v>
      </c>
      <c r="F964" s="7">
        <f>SQRT(IRS_returns_2015_25[[#This Row],[  σ2]])</f>
        <v>2.630970774234124</v>
      </c>
    </row>
    <row r="965" spans="1:6" x14ac:dyDescent="0.3">
      <c r="A965" s="2">
        <v>43432</v>
      </c>
      <c r="B965" s="1">
        <v>1.3523795769180502</v>
      </c>
      <c r="C965" s="1">
        <f>IRS_returns_2015_25[[#This Row],[IRSrtn]]-AVERAGE($B$2:$B$2600)</f>
        <v>1.3466030828514344</v>
      </c>
      <c r="D965" s="1">
        <f>w+a*C964^2+b*D964</f>
        <v>6.0046024871013852</v>
      </c>
      <c r="E965" s="1">
        <f t="shared" si="15"/>
        <v>-1.9661974905516768</v>
      </c>
      <c r="F965" s="7">
        <f>SQRT(IRS_returns_2015_25[[#This Row],[  σ2]])</f>
        <v>2.4504290414336394</v>
      </c>
    </row>
    <row r="966" spans="1:6" x14ac:dyDescent="0.3">
      <c r="A966" s="2">
        <v>43433</v>
      </c>
      <c r="B966" s="1">
        <v>1.1131819564783818</v>
      </c>
      <c r="C966" s="1">
        <f>IRS_returns_2015_25[[#This Row],[IRSrtn]]-AVERAGE($B$2:$B$2600)</f>
        <v>1.107405462411766</v>
      </c>
      <c r="D966" s="1">
        <f>w+a*C965^2+b*D965</f>
        <v>5.7844485255759572</v>
      </c>
      <c r="E966" s="1">
        <f t="shared" si="15"/>
        <v>-1.9025288305732162</v>
      </c>
      <c r="F966" s="7">
        <f>SQRT(IRS_returns_2015_25[[#This Row],[  σ2]])</f>
        <v>2.4050880494435036</v>
      </c>
    </row>
    <row r="967" spans="1:6" x14ac:dyDescent="0.3">
      <c r="A967" s="2">
        <v>43434</v>
      </c>
      <c r="B967" s="1">
        <v>1.3924620761184947</v>
      </c>
      <c r="C967" s="1">
        <f>IRS_returns_2015_25[[#This Row],[IRSrtn]]-AVERAGE($B$2:$B$2600)</f>
        <v>1.3866855820518789</v>
      </c>
      <c r="D967" s="1">
        <f>w+a*C966^2+b*D966</f>
        <v>5.4948676440633291</v>
      </c>
      <c r="E967" s="1">
        <f t="shared" si="15"/>
        <v>-1.9458178692733583</v>
      </c>
      <c r="F967" s="7">
        <f>SQRT(IRS_returns_2015_25[[#This Row],[  σ2]])</f>
        <v>2.3441134025604069</v>
      </c>
    </row>
    <row r="968" spans="1:6" x14ac:dyDescent="0.3">
      <c r="A968" s="2">
        <v>43437</v>
      </c>
      <c r="B968" s="1">
        <v>5.7279826960439095</v>
      </c>
      <c r="C968" s="1">
        <f>IRS_returns_2015_25[[#This Row],[IRSrtn]]-AVERAGE($B$2:$B$2600)</f>
        <v>5.7222062019772935</v>
      </c>
      <c r="D968" s="1">
        <f>w+a*C967^2+b*D967</f>
        <v>5.4718030688402095</v>
      </c>
      <c r="E968" s="1">
        <f t="shared" si="15"/>
        <v>-4.7607768270173478</v>
      </c>
      <c r="F968" s="7">
        <f>SQRT(IRS_returns_2015_25[[#This Row],[  σ2]])</f>
        <v>2.3391885492281741</v>
      </c>
    </row>
    <row r="969" spans="1:6" x14ac:dyDescent="0.3">
      <c r="A969" s="2">
        <v>43438</v>
      </c>
      <c r="B969" s="1">
        <v>-8.7573768151455678</v>
      </c>
      <c r="C969" s="1">
        <f>IRS_returns_2015_25[[#This Row],[IRSrtn]]-AVERAGE($B$2:$B$2600)</f>
        <v>-8.7631533092121838</v>
      </c>
      <c r="D969" s="1">
        <f>w+a*C968^2+b*D968</f>
        <v>12.96591645407376</v>
      </c>
      <c r="E969" s="1">
        <f t="shared" si="15"/>
        <v>-5.1614360289158814</v>
      </c>
      <c r="F969" s="7">
        <f>SQRT(IRS_returns_2015_25[[#This Row],[  σ2]])</f>
        <v>3.6008216359705685</v>
      </c>
    </row>
    <row r="970" spans="1:6" x14ac:dyDescent="0.3">
      <c r="A970" s="2">
        <v>43440</v>
      </c>
      <c r="B970" s="1">
        <v>1.3412858244530756</v>
      </c>
      <c r="C970" s="1">
        <f>IRS_returns_2015_25[[#This Row],[IRSrtn]]-AVERAGE($B$2:$B$2600)</f>
        <v>1.3355093303864598</v>
      </c>
      <c r="D970" s="1">
        <f>w+a*C969^2+b*D969</f>
        <v>28.68745332867536</v>
      </c>
      <c r="E970" s="1">
        <f t="shared" si="15"/>
        <v>-2.6282549660367658</v>
      </c>
      <c r="F970" s="7">
        <f>SQRT(IRS_returns_2015_25[[#This Row],[  σ2]])</f>
        <v>5.3560669645436061</v>
      </c>
    </row>
    <row r="971" spans="1:6" x14ac:dyDescent="0.3">
      <c r="A971" s="2">
        <v>43441</v>
      </c>
      <c r="B971" s="1">
        <v>-1.0416702740299488</v>
      </c>
      <c r="C971" s="1">
        <f>IRS_returns_2015_25[[#This Row],[IRSrtn]]-AVERAGE($B$2:$B$2600)</f>
        <v>-1.0474467680965647</v>
      </c>
      <c r="D971" s="1">
        <f>w+a*C970^2+b*D970</f>
        <v>20.877551712998329</v>
      </c>
      <c r="E971" s="1">
        <f t="shared" si="15"/>
        <v>-2.464551487565684</v>
      </c>
      <c r="F971" s="7">
        <f>SQRT(IRS_returns_2015_25[[#This Row],[  σ2]])</f>
        <v>4.5691959591374856</v>
      </c>
    </row>
    <row r="972" spans="1:6" x14ac:dyDescent="0.3">
      <c r="A972" s="2">
        <v>43444</v>
      </c>
      <c r="B972" s="1">
        <v>-2.4225206226196949</v>
      </c>
      <c r="C972" s="1">
        <f>IRS_returns_2015_25[[#This Row],[IRSrtn]]-AVERAGE($B$2:$B$2600)</f>
        <v>-2.4282971166863105</v>
      </c>
      <c r="D972" s="1">
        <f>w+a*C971^2+b*D971</f>
        <v>15.511118623674292</v>
      </c>
      <c r="E972" s="1">
        <f t="shared" si="15"/>
        <v>-2.4797945040695391</v>
      </c>
      <c r="F972" s="7">
        <f>SQRT(IRS_returns_2015_25[[#This Row],[  σ2]])</f>
        <v>3.9384157504857575</v>
      </c>
    </row>
    <row r="973" spans="1:6" x14ac:dyDescent="0.3">
      <c r="A973" s="2">
        <v>43445</v>
      </c>
      <c r="B973" s="1">
        <v>-0.69205340494327139</v>
      </c>
      <c r="C973" s="1">
        <f>IRS_returns_2015_25[[#This Row],[IRSrtn]]-AVERAGE($B$2:$B$2600)</f>
        <v>-0.69782989900988723</v>
      </c>
      <c r="D973" s="1">
        <f>w+a*C972^2+b*D972</f>
        <v>13.107987142349621</v>
      </c>
      <c r="E973" s="1">
        <f t="shared" si="15"/>
        <v>-2.2241245930066134</v>
      </c>
      <c r="F973" s="7">
        <f>SQRT(IRS_returns_2015_25[[#This Row],[  σ2]])</f>
        <v>3.6204954277487524</v>
      </c>
    </row>
    <row r="974" spans="1:6" x14ac:dyDescent="0.3">
      <c r="A974" s="2">
        <v>43446</v>
      </c>
      <c r="B974" s="1">
        <v>-1.6336371825397489</v>
      </c>
      <c r="C974" s="1">
        <f>IRS_returns_2015_25[[#This Row],[IRSrtn]]-AVERAGE($B$2:$B$2600)</f>
        <v>-1.6394136766063647</v>
      </c>
      <c r="D974" s="1">
        <f>w+a*C973^2+b*D973</f>
        <v>10.190119865184009</v>
      </c>
      <c r="E974" s="1">
        <f t="shared" si="15"/>
        <v>-2.2115244618608276</v>
      </c>
      <c r="F974" s="7">
        <f>SQRT(IRS_returns_2015_25[[#This Row],[  σ2]])</f>
        <v>3.1921967146753363</v>
      </c>
    </row>
    <row r="975" spans="1:6" x14ac:dyDescent="0.3">
      <c r="A975" s="2">
        <v>43447</v>
      </c>
      <c r="B975" s="1">
        <v>2.2490203238444639</v>
      </c>
      <c r="C975" s="1">
        <f>IRS_returns_2015_25[[#This Row],[IRSrtn]]-AVERAGE($B$2:$B$2600)</f>
        <v>2.2432438297778483</v>
      </c>
      <c r="D975" s="1">
        <f>w+a*C974^2+b*D974</f>
        <v>8.78384948884419</v>
      </c>
      <c r="E975" s="1">
        <f t="shared" si="15"/>
        <v>-2.29183882173461</v>
      </c>
      <c r="F975" s="7">
        <f>SQRT(IRS_returns_2015_25[[#This Row],[  σ2]])</f>
        <v>2.9637559766020196</v>
      </c>
    </row>
    <row r="976" spans="1:6" x14ac:dyDescent="0.3">
      <c r="A976" s="2">
        <v>43448</v>
      </c>
      <c r="B976" s="1">
        <v>-2.1706157143154492</v>
      </c>
      <c r="C976" s="1">
        <f>IRS_returns_2015_25[[#This Row],[IRSrtn]]-AVERAGE($B$2:$B$2600)</f>
        <v>-2.1763922083820648</v>
      </c>
      <c r="D976" s="1">
        <f>w+a*C975^2+b*D975</f>
        <v>8.4189003158586768</v>
      </c>
      <c r="E976" s="1">
        <f t="shared" si="15"/>
        <v>-2.2654905968828438</v>
      </c>
      <c r="F976" s="7">
        <f>SQRT(IRS_returns_2015_25[[#This Row],[  σ2]])</f>
        <v>2.9015341314309362</v>
      </c>
    </row>
    <row r="977" spans="1:6" x14ac:dyDescent="0.3">
      <c r="A977" s="2">
        <v>43451</v>
      </c>
      <c r="B977" s="1">
        <v>-1.3412398275199688</v>
      </c>
      <c r="C977" s="1">
        <f>IRS_returns_2015_25[[#This Row],[IRSrtn]]-AVERAGE($B$2:$B$2600)</f>
        <v>-1.3470163215865847</v>
      </c>
      <c r="D977" s="1">
        <f>w+a*C976^2+b*D976</f>
        <v>8.1039588313840785</v>
      </c>
      <c r="E977" s="1">
        <f t="shared" si="15"/>
        <v>-2.0770634321908408</v>
      </c>
      <c r="F977" s="7">
        <f>SQRT(IRS_returns_2015_25[[#This Row],[  σ2]])</f>
        <v>2.8467453049726945</v>
      </c>
    </row>
    <row r="978" spans="1:6" x14ac:dyDescent="0.3">
      <c r="A978" s="2">
        <v>43452</v>
      </c>
      <c r="B978" s="1">
        <v>-0.47771419056998887</v>
      </c>
      <c r="C978" s="1">
        <f>IRS_returns_2015_25[[#This Row],[IRSrtn]]-AVERAGE($B$2:$B$2600)</f>
        <v>-0.48349068463660466</v>
      </c>
      <c r="D978" s="1">
        <f>w+a*C977^2+b*D977</f>
        <v>7.1822963396623987</v>
      </c>
      <c r="E978" s="1">
        <f t="shared" si="15"/>
        <v>-1.9210216840214891</v>
      </c>
      <c r="F978" s="7">
        <f>SQRT(IRS_returns_2015_25[[#This Row],[  σ2]])</f>
        <v>2.6799806603149956</v>
      </c>
    </row>
    <row r="979" spans="1:6" x14ac:dyDescent="0.3">
      <c r="A979" s="2">
        <v>43453</v>
      </c>
      <c r="B979" s="1">
        <v>-0.39984286085177345</v>
      </c>
      <c r="C979" s="1">
        <f>IRS_returns_2015_25[[#This Row],[IRSrtn]]-AVERAGE($B$2:$B$2600)</f>
        <v>-0.40561935491838924</v>
      </c>
      <c r="D979" s="1">
        <f>w+a*C978^2+b*D978</f>
        <v>6.1835955280665011</v>
      </c>
      <c r="E979" s="1">
        <f t="shared" si="15"/>
        <v>-1.8431919955836824</v>
      </c>
      <c r="F979" s="7">
        <f>SQRT(IRS_returns_2015_25[[#This Row],[  σ2]])</f>
        <v>2.4866836405273793</v>
      </c>
    </row>
    <row r="980" spans="1:6" x14ac:dyDescent="0.3">
      <c r="A980" s="2">
        <v>43454</v>
      </c>
      <c r="B980" s="1">
        <v>2.1403922694127164</v>
      </c>
      <c r="C980" s="1">
        <f>IRS_returns_2015_25[[#This Row],[IRSrtn]]-AVERAGE($B$2:$B$2600)</f>
        <v>2.1346157753461008</v>
      </c>
      <c r="D980" s="1">
        <f>w+a*C979^2+b*D979</f>
        <v>5.5018743266766847</v>
      </c>
      <c r="E980" s="1">
        <f t="shared" si="15"/>
        <v>-2.1855767812765929</v>
      </c>
      <c r="F980" s="7">
        <f>SQRT(IRS_returns_2015_25[[#This Row],[  σ2]])</f>
        <v>2.3456074536624163</v>
      </c>
    </row>
    <row r="981" spans="1:6" x14ac:dyDescent="0.3">
      <c r="A981" s="2">
        <v>43455</v>
      </c>
      <c r="B981" s="1">
        <v>-0.39293004233926787</v>
      </c>
      <c r="C981" s="1">
        <f>IRS_returns_2015_25[[#This Row],[IRSrtn]]-AVERAGE($B$2:$B$2600)</f>
        <v>-0.39870653640588366</v>
      </c>
      <c r="D981" s="1">
        <f>w+a*C980^2+b*D980</f>
        <v>6.1181649104536815</v>
      </c>
      <c r="E981" s="1">
        <f t="shared" si="15"/>
        <v>-1.8375610208592139</v>
      </c>
      <c r="F981" s="7">
        <f>SQRT(IRS_returns_2015_25[[#This Row],[  σ2]])</f>
        <v>2.473492452071298</v>
      </c>
    </row>
    <row r="982" spans="1:6" x14ac:dyDescent="0.3">
      <c r="A982" s="2">
        <v>43460</v>
      </c>
      <c r="B982" s="1">
        <v>-1.9881394087423843</v>
      </c>
      <c r="C982" s="1">
        <f>IRS_returns_2015_25[[#This Row],[IRSrtn]]-AVERAGE($B$2:$B$2600)</f>
        <v>-1.9939159028090001</v>
      </c>
      <c r="D982" s="1">
        <f>w+a*C981^2+b*D981</f>
        <v>5.456961339535737</v>
      </c>
      <c r="E982" s="1">
        <f t="shared" si="15"/>
        <v>-2.1316624660622105</v>
      </c>
      <c r="F982" s="7">
        <f>SQRT(IRS_returns_2015_25[[#This Row],[  σ2]])</f>
        <v>2.3360139853039703</v>
      </c>
    </row>
    <row r="983" spans="1:6" x14ac:dyDescent="0.3">
      <c r="A983" s="2">
        <v>43461</v>
      </c>
      <c r="B983" s="1">
        <v>0.80000881318329498</v>
      </c>
      <c r="C983" s="1">
        <f>IRS_returns_2015_25[[#This Row],[IRSrtn]]-AVERAGE($B$2:$B$2600)</f>
        <v>0.79423231911667913</v>
      </c>
      <c r="D983" s="1">
        <f>w+a*C982^2+b*D982</f>
        <v>5.9467333610206525</v>
      </c>
      <c r="E983" s="1">
        <f t="shared" si="15"/>
        <v>-1.8633975003204675</v>
      </c>
      <c r="F983" s="7">
        <f>SQRT(IRS_returns_2015_25[[#This Row],[  σ2]])</f>
        <v>2.4385924958919749</v>
      </c>
    </row>
    <row r="984" spans="1:6" x14ac:dyDescent="0.3">
      <c r="A984" s="2">
        <v>43462</v>
      </c>
      <c r="B984" s="1">
        <v>1.1881305955590893</v>
      </c>
      <c r="C984" s="1">
        <f>IRS_returns_2015_25[[#This Row],[IRSrtn]]-AVERAGE($B$2:$B$2600)</f>
        <v>1.1823541014924734</v>
      </c>
      <c r="D984" s="1">
        <f>w+a*C983^2+b*D983</f>
        <v>5.4577997296409411</v>
      </c>
      <c r="E984" s="1">
        <f t="shared" si="15"/>
        <v>-1.8955314340277625</v>
      </c>
      <c r="F984" s="7">
        <f>SQRT(IRS_returns_2015_25[[#This Row],[  σ2]])</f>
        <v>2.3361934272745786</v>
      </c>
    </row>
    <row r="985" spans="1:6" x14ac:dyDescent="0.3">
      <c r="A985" s="2">
        <v>43465</v>
      </c>
      <c r="B985" s="1">
        <v>2.7952148875122873</v>
      </c>
      <c r="C985" s="1">
        <f>IRS_returns_2015_25[[#This Row],[IRSrtn]]-AVERAGE($B$2:$B$2600)</f>
        <v>2.7894383934456717</v>
      </c>
      <c r="D985" s="1">
        <f>w+a*C984^2+b*D984</f>
        <v>5.3192258811151074</v>
      </c>
      <c r="E985" s="1">
        <f t="shared" si="15"/>
        <v>-2.4860026996510443</v>
      </c>
      <c r="F985" s="7">
        <f>SQRT(IRS_returns_2015_25[[#This Row],[  σ2]])</f>
        <v>2.3063447012784337</v>
      </c>
    </row>
    <row r="986" spans="1:6" x14ac:dyDescent="0.3">
      <c r="A986" s="2">
        <v>43467</v>
      </c>
      <c r="B986" s="1">
        <v>0.53454916080810655</v>
      </c>
      <c r="C986" s="1">
        <f>IRS_returns_2015_25[[#This Row],[IRSrtn]]-AVERAGE($B$2:$B$2600)</f>
        <v>0.5287726667414907</v>
      </c>
      <c r="D986" s="1">
        <f>w+a*C985^2+b*D985</f>
        <v>6.7821927265941007</v>
      </c>
      <c r="E986" s="1">
        <f t="shared" si="15"/>
        <v>-1.8967016054591557</v>
      </c>
      <c r="F986" s="7">
        <f>SQRT(IRS_returns_2015_25[[#This Row],[  σ2]])</f>
        <v>2.6042643350078927</v>
      </c>
    </row>
    <row r="987" spans="1:6" x14ac:dyDescent="0.3">
      <c r="A987" s="2">
        <v>43468</v>
      </c>
      <c r="B987" s="1">
        <v>-3.2510508789269643</v>
      </c>
      <c r="C987" s="1">
        <f>IRS_returns_2015_25[[#This Row],[IRSrtn]]-AVERAGE($B$2:$B$2600)</f>
        <v>-3.2568273729935799</v>
      </c>
      <c r="D987" s="1">
        <f>w+a*C986^2+b*D986</f>
        <v>5.9284081111291567</v>
      </c>
      <c r="E987" s="1">
        <f t="shared" si="15"/>
        <v>-2.7034009426827477</v>
      </c>
      <c r="F987" s="7">
        <f>SQRT(IRS_returns_2015_25[[#This Row],[  σ2]])</f>
        <v>2.4348322552342609</v>
      </c>
    </row>
    <row r="988" spans="1:6" x14ac:dyDescent="0.3">
      <c r="A988" s="2">
        <v>43469</v>
      </c>
      <c r="B988" s="1">
        <v>2.5632371967903023</v>
      </c>
      <c r="C988" s="1">
        <f>IRS_returns_2015_25[[#This Row],[IRSrtn]]-AVERAGE($B$2:$B$2600)</f>
        <v>2.5574607027236866</v>
      </c>
      <c r="D988" s="1">
        <f>w+a*C987^2+b*D987</f>
        <v>7.8762795285215779</v>
      </c>
      <c r="E988" s="1">
        <f t="shared" si="15"/>
        <v>-2.3660754193312785</v>
      </c>
      <c r="F988" s="7">
        <f>SQRT(IRS_returns_2015_25[[#This Row],[  σ2]])</f>
        <v>2.8064710097418746</v>
      </c>
    </row>
    <row r="989" spans="1:6" x14ac:dyDescent="0.3">
      <c r="A989" s="2">
        <v>43472</v>
      </c>
      <c r="B989" s="1">
        <v>1.6730421477180624</v>
      </c>
      <c r="C989" s="1">
        <f>IRS_returns_2015_25[[#This Row],[IRSrtn]]-AVERAGE($B$2:$B$2600)</f>
        <v>1.6672656536514465</v>
      </c>
      <c r="D989" s="1">
        <f>w+a*C988^2+b*D988</f>
        <v>8.1822523314413829</v>
      </c>
      <c r="E989" s="1">
        <f t="shared" si="15"/>
        <v>-2.139788373285533</v>
      </c>
      <c r="F989" s="7">
        <f>SQRT(IRS_returns_2015_25[[#This Row],[  σ2]])</f>
        <v>2.8604636567244448</v>
      </c>
    </row>
    <row r="990" spans="1:6" x14ac:dyDescent="0.3">
      <c r="A990" s="2">
        <v>43473</v>
      </c>
      <c r="B990" s="1">
        <v>-1.8265246090593212</v>
      </c>
      <c r="C990" s="1">
        <f>IRS_returns_2015_25[[#This Row],[IRSrtn]]-AVERAGE($B$2:$B$2600)</f>
        <v>-1.8323011031259371</v>
      </c>
      <c r="D990" s="1">
        <f>w+a*C989^2+b*D989</f>
        <v>7.4696180619101131</v>
      </c>
      <c r="E990" s="1">
        <f t="shared" si="15"/>
        <v>-2.1490926627792493</v>
      </c>
      <c r="F990" s="7">
        <f>SQRT(IRS_returns_2015_25[[#This Row],[  σ2]])</f>
        <v>2.7330602009304723</v>
      </c>
    </row>
    <row r="991" spans="1:6" x14ac:dyDescent="0.3">
      <c r="A991" s="2">
        <v>43474</v>
      </c>
      <c r="B991" s="1">
        <v>5.6731645648187001</v>
      </c>
      <c r="C991" s="1">
        <f>IRS_returns_2015_25[[#This Row],[IRSrtn]]-AVERAGE($B$2:$B$2600)</f>
        <v>5.6673880707520841</v>
      </c>
      <c r="D991" s="1">
        <f>w+a*C990^2+b*D990</f>
        <v>7.1359260689690949</v>
      </c>
      <c r="E991" s="1">
        <f t="shared" si="15"/>
        <v>-4.1520434851650574</v>
      </c>
      <c r="F991" s="7">
        <f>SQRT(IRS_returns_2015_25[[#This Row],[  σ2]])</f>
        <v>2.6713154192212296</v>
      </c>
    </row>
    <row r="992" spans="1:6" x14ac:dyDescent="0.3">
      <c r="A992" s="2">
        <v>43475</v>
      </c>
      <c r="B992" s="1">
        <v>-3.4702730313820318</v>
      </c>
      <c r="C992" s="1">
        <f>IRS_returns_2015_25[[#This Row],[IRSrtn]]-AVERAGE($B$2:$B$2600)</f>
        <v>-3.4760495254486474</v>
      </c>
      <c r="D992" s="1">
        <f>w+a*C991^2+b*D991</f>
        <v>13.921626686642037</v>
      </c>
      <c r="E992" s="1">
        <f t="shared" si="15"/>
        <v>-2.6696225163277538</v>
      </c>
      <c r="F992" s="7">
        <f>SQRT(IRS_returns_2015_25[[#This Row],[  σ2]])</f>
        <v>3.7311696137594761</v>
      </c>
    </row>
    <row r="993" spans="1:6" x14ac:dyDescent="0.3">
      <c r="A993" s="2">
        <v>43476</v>
      </c>
      <c r="B993" s="1">
        <v>1.046349971721483</v>
      </c>
      <c r="C993" s="1">
        <f>IRS_returns_2015_25[[#This Row],[IRSrtn]]-AVERAGE($B$2:$B$2600)</f>
        <v>1.0405734776548672</v>
      </c>
      <c r="D993" s="1">
        <f>w+a*C992^2+b*D992</f>
        <v>13.557124754522334</v>
      </c>
      <c r="E993" s="1">
        <f t="shared" si="15"/>
        <v>-2.262329113061472</v>
      </c>
      <c r="F993" s="7">
        <f>SQRT(IRS_returns_2015_25[[#This Row],[  σ2]])</f>
        <v>3.6820001024609348</v>
      </c>
    </row>
    <row r="994" spans="1:6" x14ac:dyDescent="0.3">
      <c r="A994" s="2">
        <v>43479</v>
      </c>
      <c r="B994" s="1">
        <v>4.0078286443622879</v>
      </c>
      <c r="C994" s="1">
        <f>IRS_returns_2015_25[[#This Row],[IRSrtn]]-AVERAGE($B$2:$B$2600)</f>
        <v>4.0020521502956719</v>
      </c>
      <c r="D994" s="1">
        <f>w+a*C993^2+b*D993</f>
        <v>10.634291292142034</v>
      </c>
      <c r="E994" s="1">
        <f t="shared" si="15"/>
        <v>-2.8540358578975868</v>
      </c>
      <c r="F994" s="7">
        <f>SQRT(IRS_returns_2015_25[[#This Row],[  σ2]])</f>
        <v>3.2610261103128315</v>
      </c>
    </row>
    <row r="995" spans="1:6" x14ac:dyDescent="0.3">
      <c r="A995" s="2">
        <v>43480</v>
      </c>
      <c r="B995" s="1">
        <v>4.1279075425879164</v>
      </c>
      <c r="C995" s="1">
        <f>IRS_returns_2015_25[[#This Row],[IRSrtn]]-AVERAGE($B$2:$B$2600)</f>
        <v>4.1221310485213003</v>
      </c>
      <c r="D995" s="1">
        <f>w+a*C994^2+b*D994</f>
        <v>12.327087276014893</v>
      </c>
      <c r="E995" s="1">
        <f t="shared" si="15"/>
        <v>-2.8640505261177722</v>
      </c>
      <c r="F995" s="7">
        <f>SQRT(IRS_returns_2015_25[[#This Row],[  σ2]])</f>
        <v>3.5109951973785001</v>
      </c>
    </row>
    <row r="996" spans="1:6" x14ac:dyDescent="0.3">
      <c r="A996" s="2">
        <v>43481</v>
      </c>
      <c r="B996" s="1">
        <v>-4.844752434405919</v>
      </c>
      <c r="C996" s="1">
        <f>IRS_returns_2015_25[[#This Row],[IRSrtn]]-AVERAGE($B$2:$B$2600)</f>
        <v>-4.850528928472535</v>
      </c>
      <c r="D996" s="1">
        <f>w+a*C995^2+b*D995</f>
        <v>13.691700673162661</v>
      </c>
      <c r="E996" s="1">
        <f t="shared" si="15"/>
        <v>-3.0865266136298173</v>
      </c>
      <c r="F996" s="7">
        <f>SQRT(IRS_returns_2015_25[[#This Row],[  σ2]])</f>
        <v>3.7002298135605929</v>
      </c>
    </row>
    <row r="997" spans="1:6" x14ac:dyDescent="0.3">
      <c r="A997" s="2">
        <v>43482</v>
      </c>
      <c r="B997" s="1">
        <v>0.85959928667116436</v>
      </c>
      <c r="C997" s="1">
        <f>IRS_returns_2015_25[[#This Row],[IRSrtn]]-AVERAGE($B$2:$B$2600)</f>
        <v>0.85382279260454852</v>
      </c>
      <c r="D997" s="1">
        <f>w+a*C996^2+b*D996</f>
        <v>16.192560251388361</v>
      </c>
      <c r="E997" s="1">
        <f t="shared" si="15"/>
        <v>-2.3337252300137745</v>
      </c>
      <c r="F997" s="7">
        <f>SQRT(IRS_returns_2015_25[[#This Row],[  σ2]])</f>
        <v>4.0239980431640818</v>
      </c>
    </row>
    <row r="998" spans="1:6" x14ac:dyDescent="0.3">
      <c r="A998" s="2">
        <v>43483</v>
      </c>
      <c r="B998" s="1">
        <v>-2.6745331281172291</v>
      </c>
      <c r="C998" s="1">
        <f>IRS_returns_2015_25[[#This Row],[IRSrtn]]-AVERAGE($B$2:$B$2600)</f>
        <v>-2.6803096221838447</v>
      </c>
      <c r="D998" s="1">
        <f>w+a*C997^2+b*D997</f>
        <v>12.302546382532892</v>
      </c>
      <c r="E998" s="1">
        <f t="shared" si="15"/>
        <v>-2.4658161657037896</v>
      </c>
      <c r="F998" s="7">
        <f>SQRT(IRS_returns_2015_25[[#This Row],[  σ2]])</f>
        <v>3.5074985933757539</v>
      </c>
    </row>
    <row r="999" spans="1:6" x14ac:dyDescent="0.3">
      <c r="A999" s="2">
        <v>43487</v>
      </c>
      <c r="B999" s="1">
        <v>2.0305233367171827</v>
      </c>
      <c r="C999" s="1">
        <f>IRS_returns_2015_25[[#This Row],[IRSrtn]]-AVERAGE($B$2:$B$2600)</f>
        <v>2.024746842650567</v>
      </c>
      <c r="D999" s="1">
        <f>w+a*C998^2+b*D998</f>
        <v>11.28566967558811</v>
      </c>
      <c r="E999" s="1">
        <f t="shared" si="15"/>
        <v>-2.3123339646629506</v>
      </c>
      <c r="F999" s="7">
        <f>SQRT(IRS_returns_2015_25[[#This Row],[  σ2]])</f>
        <v>3.3594150793833308</v>
      </c>
    </row>
    <row r="1000" spans="1:6" x14ac:dyDescent="0.3">
      <c r="A1000" s="2">
        <v>43488</v>
      </c>
      <c r="B1000" s="1">
        <v>-4.6280698031855305</v>
      </c>
      <c r="C1000" s="1">
        <f>IRS_returns_2015_25[[#This Row],[IRSrtn]]-AVERAGE($B$2:$B$2600)</f>
        <v>-4.6338462972521466</v>
      </c>
      <c r="D1000" s="1">
        <f>w+a*C999^2+b*D999</f>
        <v>9.8571899165038612</v>
      </c>
      <c r="E1000" s="1">
        <f t="shared" si="15"/>
        <v>-3.152220278905046</v>
      </c>
      <c r="F1000" s="7">
        <f>SQRT(IRS_returns_2015_25[[#This Row],[  σ2]])</f>
        <v>3.139616205287497</v>
      </c>
    </row>
    <row r="1001" spans="1:6" x14ac:dyDescent="0.3">
      <c r="A1001" s="2">
        <v>43489</v>
      </c>
      <c r="B1001" s="1">
        <v>3.545419615030676</v>
      </c>
      <c r="C1001" s="1">
        <f>IRS_returns_2015_25[[#This Row],[IRSrtn]]-AVERAGE($B$2:$B$2600)</f>
        <v>3.5396431209640604</v>
      </c>
      <c r="D1001" s="1">
        <f>w+a*C1000^2+b*D1000</f>
        <v>13.139137864714217</v>
      </c>
      <c r="E1001" s="1">
        <f t="shared" si="15"/>
        <v>-2.6835206898708921</v>
      </c>
      <c r="F1001" s="7">
        <f>SQRT(IRS_returns_2015_25[[#This Row],[  σ2]])</f>
        <v>3.6247948720878282</v>
      </c>
    </row>
    <row r="1002" spans="1:6" x14ac:dyDescent="0.3">
      <c r="A1002" s="2">
        <v>43490</v>
      </c>
      <c r="B1002" s="1">
        <v>0.43446601267729257</v>
      </c>
      <c r="C1002" s="1">
        <f>IRS_returns_2015_25[[#This Row],[IRSrtn]]-AVERAGE($B$2:$B$2600)</f>
        <v>0.42868951861067678</v>
      </c>
      <c r="D1002" s="1">
        <f>w+a*C1001^2+b*D1001</f>
        <v>13.144913972393454</v>
      </c>
      <c r="E1002" s="1">
        <f t="shared" si="15"/>
        <v>-2.2139463249887164</v>
      </c>
      <c r="F1002" s="7">
        <f>SQRT(IRS_returns_2015_25[[#This Row],[  σ2]])</f>
        <v>3.6255915341352858</v>
      </c>
    </row>
    <row r="1003" spans="1:6" x14ac:dyDescent="0.3">
      <c r="A1003" s="2">
        <v>43493</v>
      </c>
      <c r="B1003" s="1">
        <v>-7.2275968233803667E-2</v>
      </c>
      <c r="C1003" s="1">
        <f>IRS_returns_2015_25[[#This Row],[IRSrtn]]-AVERAGE($B$2:$B$2600)</f>
        <v>-7.8052462300419456E-2</v>
      </c>
      <c r="D1003" s="1">
        <f>w+a*C1002^2+b*D1002</f>
        <v>10.14083004542079</v>
      </c>
      <c r="E1003" s="1">
        <f t="shared" si="15"/>
        <v>-2.0775238389757402</v>
      </c>
      <c r="F1003" s="7">
        <f>SQRT(IRS_returns_2015_25[[#This Row],[  σ2]])</f>
        <v>3.184466995498743</v>
      </c>
    </row>
    <row r="1004" spans="1:6" x14ac:dyDescent="0.3">
      <c r="A1004" s="2">
        <v>43494</v>
      </c>
      <c r="B1004" s="1">
        <v>4.73084363317815</v>
      </c>
      <c r="C1004" s="1">
        <f>IRS_returns_2015_25[[#This Row],[IRSrtn]]-AVERAGE($B$2:$B$2600)</f>
        <v>4.725067139111534</v>
      </c>
      <c r="D1004" s="1">
        <f>w+a*C1003^2+b*D1003</f>
        <v>8.09766886295448</v>
      </c>
      <c r="E1004" s="1">
        <f t="shared" si="15"/>
        <v>-3.3432875532635142</v>
      </c>
      <c r="F1004" s="7">
        <f>SQRT(IRS_returns_2015_25[[#This Row],[  σ2]])</f>
        <v>2.8456403256480747</v>
      </c>
    </row>
    <row r="1005" spans="1:6" x14ac:dyDescent="0.3">
      <c r="A1005" s="2">
        <v>43495</v>
      </c>
      <c r="B1005" s="1">
        <v>2.3851273687079733</v>
      </c>
      <c r="C1005" s="1">
        <f>IRS_returns_2015_25[[#This Row],[IRSrtn]]-AVERAGE($B$2:$B$2600)</f>
        <v>2.3793508746413576</v>
      </c>
      <c r="D1005" s="1">
        <f>w+a*C1004^2+b*D1004</f>
        <v>12.175805912575065</v>
      </c>
      <c r="E1005" s="1">
        <f t="shared" si="15"/>
        <v>-2.4011459293021531</v>
      </c>
      <c r="F1005" s="7">
        <f>SQRT(IRS_returns_2015_25[[#This Row],[  σ2]])</f>
        <v>3.4893847469969637</v>
      </c>
    </row>
    <row r="1006" spans="1:6" x14ac:dyDescent="0.3">
      <c r="A1006" s="2">
        <v>43496</v>
      </c>
      <c r="B1006" s="1">
        <v>3.8961718788927513</v>
      </c>
      <c r="C1006" s="1">
        <f>IRS_returns_2015_25[[#This Row],[IRSrtn]]-AVERAGE($B$2:$B$2600)</f>
        <v>3.8903953848261357</v>
      </c>
      <c r="D1006" s="1">
        <f>w+a*C1005^2+b*D1005</f>
        <v>10.830278963785117</v>
      </c>
      <c r="E1006" s="1">
        <f t="shared" si="15"/>
        <v>-2.8088550439580846</v>
      </c>
      <c r="F1006" s="7">
        <f>SQRT(IRS_returns_2015_25[[#This Row],[  σ2]])</f>
        <v>3.2909389182701521</v>
      </c>
    </row>
    <row r="1007" spans="1:6" x14ac:dyDescent="0.3">
      <c r="A1007" s="2">
        <v>43497</v>
      </c>
      <c r="B1007" s="1">
        <v>-2.8244923570230007</v>
      </c>
      <c r="C1007" s="1">
        <f>IRS_returns_2015_25[[#This Row],[IRSrtn]]-AVERAGE($B$2:$B$2600)</f>
        <v>-2.8302688510896163</v>
      </c>
      <c r="D1007" s="1">
        <f>w+a*C1006^2+b*D1006</f>
        <v>12.242844364355268</v>
      </c>
      <c r="E1007" s="1">
        <f t="shared" si="15"/>
        <v>-2.498556437773356</v>
      </c>
      <c r="F1007" s="7">
        <f>SQRT(IRS_returns_2015_25[[#This Row],[  σ2]])</f>
        <v>3.4989776170126135</v>
      </c>
    </row>
    <row r="1008" spans="1:6" x14ac:dyDescent="0.3">
      <c r="A1008" s="2">
        <v>43500</v>
      </c>
      <c r="B1008" s="1">
        <v>-0.66846300806364667</v>
      </c>
      <c r="C1008" s="1">
        <f>IRS_returns_2015_25[[#This Row],[IRSrtn]]-AVERAGE($B$2:$B$2600)</f>
        <v>-0.67423950213026251</v>
      </c>
      <c r="D1008" s="1">
        <f>w+a*C1007^2+b*D1007</f>
        <v>11.447267978515344</v>
      </c>
      <c r="E1008" s="1">
        <f t="shared" si="15"/>
        <v>-2.1576703001257846</v>
      </c>
      <c r="F1008" s="7">
        <f>SQRT(IRS_returns_2015_25[[#This Row],[  σ2]])</f>
        <v>3.3833811459123759</v>
      </c>
    </row>
    <row r="1009" spans="1:6" x14ac:dyDescent="0.3">
      <c r="A1009" s="2">
        <v>43501</v>
      </c>
      <c r="B1009" s="1">
        <v>1.7946655745311624</v>
      </c>
      <c r="C1009" s="1">
        <f>IRS_returns_2015_25[[#This Row],[IRSrtn]]-AVERAGE($B$2:$B$2600)</f>
        <v>1.7888890804645465</v>
      </c>
      <c r="D1009" s="1">
        <f>w+a*C1008^2+b*D1008</f>
        <v>9.0766649883905988</v>
      </c>
      <c r="E1009" s="1">
        <f t="shared" si="15"/>
        <v>-2.1980749868865481</v>
      </c>
      <c r="F1009" s="7">
        <f>SQRT(IRS_returns_2015_25[[#This Row],[  σ2]])</f>
        <v>3.0127504026040057</v>
      </c>
    </row>
    <row r="1010" spans="1:6" x14ac:dyDescent="0.3">
      <c r="A1010" s="2">
        <v>43502</v>
      </c>
      <c r="B1010" s="1">
        <v>-0.59464285989694332</v>
      </c>
      <c r="C1010" s="1">
        <f>IRS_returns_2015_25[[#This Row],[IRSrtn]]-AVERAGE($B$2:$B$2600)</f>
        <v>-0.60041935396355917</v>
      </c>
      <c r="D1010" s="1">
        <f>w+a*C1009^2+b*D1009</f>
        <v>8.167461546055474</v>
      </c>
      <c r="E1010" s="1">
        <f t="shared" si="15"/>
        <v>-1.9910871000638128</v>
      </c>
      <c r="F1010" s="7">
        <f>SQRT(IRS_returns_2015_25[[#This Row],[  σ2]])</f>
        <v>2.8578771047852065</v>
      </c>
    </row>
    <row r="1011" spans="1:6" x14ac:dyDescent="0.3">
      <c r="A1011" s="2">
        <v>43503</v>
      </c>
      <c r="B1011" s="1">
        <v>-5.0979496386729384</v>
      </c>
      <c r="C1011" s="1">
        <f>IRS_returns_2015_25[[#This Row],[IRSrtn]]-AVERAGE($B$2:$B$2600)</f>
        <v>-5.1037261327395544</v>
      </c>
      <c r="D1011" s="1">
        <f>w+a*C1010^2+b*D1010</f>
        <v>6.8703166816528078</v>
      </c>
      <c r="E1011" s="1">
        <f t="shared" si="15"/>
        <v>-3.7782364851625641</v>
      </c>
      <c r="F1011" s="7">
        <f>SQRT(IRS_returns_2015_25[[#This Row],[  σ2]])</f>
        <v>2.621128894513356</v>
      </c>
    </row>
    <row r="1012" spans="1:6" x14ac:dyDescent="0.3">
      <c r="A1012" s="2">
        <v>43504</v>
      </c>
      <c r="B1012" s="1">
        <v>6.9364825106850159</v>
      </c>
      <c r="C1012" s="1">
        <f>IRS_returns_2015_25[[#This Row],[IRSrtn]]-AVERAGE($B$2:$B$2600)</f>
        <v>6.9307060166183998</v>
      </c>
      <c r="D1012" s="1">
        <f>w+a*C1011^2+b*D1011</f>
        <v>12.265543251767177</v>
      </c>
      <c r="E1012" s="1">
        <f t="shared" si="15"/>
        <v>-4.1304504136323468</v>
      </c>
      <c r="F1012" s="7">
        <f>SQRT(IRS_returns_2015_25[[#This Row],[  σ2]])</f>
        <v>3.5022197606328445</v>
      </c>
    </row>
    <row r="1013" spans="1:6" x14ac:dyDescent="0.3">
      <c r="A1013" s="2">
        <v>43507</v>
      </c>
      <c r="B1013" s="1">
        <v>-5.2081200194923571</v>
      </c>
      <c r="C1013" s="1">
        <f>IRS_returns_2015_25[[#This Row],[IRSrtn]]-AVERAGE($B$2:$B$2600)</f>
        <v>-5.2138965135589732</v>
      </c>
      <c r="D1013" s="1">
        <f>w+a*C1012^2+b*D1012</f>
        <v>21.214281704345872</v>
      </c>
      <c r="E1013" s="1">
        <f t="shared" si="15"/>
        <v>-3.0869931966484536</v>
      </c>
      <c r="F1013" s="7">
        <f>SQRT(IRS_returns_2015_25[[#This Row],[  σ2]])</f>
        <v>4.6058964061674113</v>
      </c>
    </row>
    <row r="1014" spans="1:6" x14ac:dyDescent="0.3">
      <c r="A1014" s="2">
        <v>43508</v>
      </c>
      <c r="B1014" s="1">
        <v>1.6315777720504077</v>
      </c>
      <c r="C1014" s="1">
        <f>IRS_returns_2015_25[[#This Row],[IRSrtn]]-AVERAGE($B$2:$B$2600)</f>
        <v>1.6258012779837918</v>
      </c>
      <c r="D1014" s="1">
        <f>w+a*C1013^2+b*D1013</f>
        <v>22.0915163216177</v>
      </c>
      <c r="E1014" s="1">
        <f t="shared" si="15"/>
        <v>-2.5263599065329934</v>
      </c>
      <c r="F1014" s="7">
        <f>SQRT(IRS_returns_2015_25[[#This Row],[  σ2]])</f>
        <v>4.7001613080422784</v>
      </c>
    </row>
    <row r="1015" spans="1:6" x14ac:dyDescent="0.3">
      <c r="A1015" s="2">
        <v>43509</v>
      </c>
      <c r="B1015" s="1">
        <v>-0.94852654962833682</v>
      </c>
      <c r="C1015" s="1">
        <f>IRS_returns_2015_25[[#This Row],[IRSrtn]]-AVERAGE($B$2:$B$2600)</f>
        <v>-0.95430304369495267</v>
      </c>
      <c r="D1015" s="1">
        <f>w+a*C1014^2+b*D1014</f>
        <v>16.695978421205588</v>
      </c>
      <c r="E1015" s="1">
        <f t="shared" si="15"/>
        <v>-2.3537953359116046</v>
      </c>
      <c r="F1015" s="7">
        <f>SQRT(IRS_returns_2015_25[[#This Row],[  σ2]])</f>
        <v>4.0860712697168644</v>
      </c>
    </row>
    <row r="1016" spans="1:6" x14ac:dyDescent="0.3">
      <c r="A1016" s="2">
        <v>43510</v>
      </c>
      <c r="B1016" s="1">
        <v>-4.0992159866344746</v>
      </c>
      <c r="C1016" s="1">
        <f>IRS_returns_2015_25[[#This Row],[IRSrtn]]-AVERAGE($B$2:$B$2600)</f>
        <v>-4.1049924807010907</v>
      </c>
      <c r="D1016" s="1">
        <f>w+a*C1015^2+b*D1015</f>
        <v>12.681946790509315</v>
      </c>
      <c r="E1016" s="1">
        <f t="shared" si="15"/>
        <v>-2.853396426338501</v>
      </c>
      <c r="F1016" s="7">
        <f>SQRT(IRS_returns_2015_25[[#This Row],[  σ2]])</f>
        <v>3.5611721090828108</v>
      </c>
    </row>
    <row r="1017" spans="1:6" x14ac:dyDescent="0.3">
      <c r="A1017" s="2">
        <v>43511</v>
      </c>
      <c r="B1017" s="1">
        <v>-1.0695269339167091</v>
      </c>
      <c r="C1017" s="1">
        <f>IRS_returns_2015_25[[#This Row],[IRSrtn]]-AVERAGE($B$2:$B$2600)</f>
        <v>-1.0753034279833249</v>
      </c>
      <c r="D1017" s="1">
        <f>w+a*C1016^2+b*D1016</f>
        <v>13.893581693884517</v>
      </c>
      <c r="E1017" s="1">
        <f t="shared" si="15"/>
        <v>-2.2762639543532837</v>
      </c>
      <c r="F1017" s="7">
        <f>SQRT(IRS_returns_2015_25[[#This Row],[  σ2]])</f>
        <v>3.7274095151840396</v>
      </c>
    </row>
    <row r="1018" spans="1:6" x14ac:dyDescent="0.3">
      <c r="A1018" s="2">
        <v>43515</v>
      </c>
      <c r="B1018" s="1">
        <v>-1.9544608835619481</v>
      </c>
      <c r="C1018" s="1">
        <f>IRS_returns_2015_25[[#This Row],[IRSrtn]]-AVERAGE($B$2:$B$2600)</f>
        <v>-1.960237377628564</v>
      </c>
      <c r="D1018" s="1">
        <f>w+a*C1017^2+b*D1017</f>
        <v>10.876180732650356</v>
      </c>
      <c r="E1018" s="1">
        <f t="shared" si="15"/>
        <v>-2.2888749984726244</v>
      </c>
      <c r="F1018" s="7">
        <f>SQRT(IRS_returns_2015_25[[#This Row],[  σ2]])</f>
        <v>3.2979055069316883</v>
      </c>
    </row>
    <row r="1019" spans="1:6" x14ac:dyDescent="0.3">
      <c r="A1019" s="2">
        <v>43516</v>
      </c>
      <c r="B1019" s="1">
        <v>-0.43956695702696003</v>
      </c>
      <c r="C1019" s="1">
        <f>IRS_returns_2015_25[[#This Row],[IRSrtn]]-AVERAGE($B$2:$B$2600)</f>
        <v>-0.44534345109357582</v>
      </c>
      <c r="D1019" s="1">
        <f>w+a*C1018^2+b*D1018</f>
        <v>9.5219514320944292</v>
      </c>
      <c r="E1019" s="1">
        <f t="shared" si="15"/>
        <v>-2.0561528365751638</v>
      </c>
      <c r="F1019" s="7">
        <f>SQRT(IRS_returns_2015_25[[#This Row],[  σ2]])</f>
        <v>3.0857659392919659</v>
      </c>
    </row>
    <row r="1020" spans="1:6" x14ac:dyDescent="0.3">
      <c r="A1020" s="2">
        <v>43517</v>
      </c>
      <c r="B1020" s="1">
        <v>0.43956695702696003</v>
      </c>
      <c r="C1020" s="1">
        <f>IRS_returns_2015_25[[#This Row],[IRSrtn]]-AVERAGE($B$2:$B$2600)</f>
        <v>0.43379046296034424</v>
      </c>
      <c r="D1020" s="1">
        <f>w+a*C1019^2+b*D1019</f>
        <v>7.7325099176038261</v>
      </c>
      <c r="E1020" s="1">
        <f t="shared" si="15"/>
        <v>-1.9538230159902026</v>
      </c>
      <c r="F1020" s="7">
        <f>SQRT(IRS_returns_2015_25[[#This Row],[  σ2]])</f>
        <v>2.7807390955650311</v>
      </c>
    </row>
    <row r="1021" spans="1:6" x14ac:dyDescent="0.3">
      <c r="A1021" s="2">
        <v>43518</v>
      </c>
      <c r="B1021" s="1">
        <v>0.72833945440140546</v>
      </c>
      <c r="C1021" s="1">
        <f>IRS_returns_2015_25[[#This Row],[IRSrtn]]-AVERAGE($B$2:$B$2600)</f>
        <v>0.72256296033478962</v>
      </c>
      <c r="D1021" s="1">
        <f>w+a*C1020^2+b*D1020</f>
        <v>6.5387741348830835</v>
      </c>
      <c r="E1021" s="1">
        <f t="shared" si="15"/>
        <v>-1.8977365603184162</v>
      </c>
      <c r="F1021" s="7">
        <f>SQRT(IRS_returns_2015_25[[#This Row],[  σ2]])</f>
        <v>2.5571026836799269</v>
      </c>
    </row>
    <row r="1022" spans="1:6" x14ac:dyDescent="0.3">
      <c r="A1022" s="2">
        <v>43521</v>
      </c>
      <c r="B1022" s="1">
        <v>-4.6036330734595232</v>
      </c>
      <c r="C1022" s="1">
        <f>IRS_returns_2015_25[[#This Row],[IRSrtn]]-AVERAGE($B$2:$B$2600)</f>
        <v>-4.6094095675261393</v>
      </c>
      <c r="D1022" s="1">
        <f>w+a*C1021^2+b*D1021</f>
        <v>5.8254445508193271</v>
      </c>
      <c r="E1022" s="1">
        <f t="shared" si="15"/>
        <v>-3.623664361003117</v>
      </c>
      <c r="F1022" s="7">
        <f>SQRT(IRS_returns_2015_25[[#This Row],[  σ2]])</f>
        <v>2.413595772042064</v>
      </c>
    </row>
    <row r="1023" spans="1:6" x14ac:dyDescent="0.3">
      <c r="A1023" s="2">
        <v>43522</v>
      </c>
      <c r="B1023" s="1">
        <v>-0.15209900461354842</v>
      </c>
      <c r="C1023" s="1">
        <f>IRS_returns_2015_25[[#This Row],[IRSrtn]]-AVERAGE($B$2:$B$2600)</f>
        <v>-0.15787549868016421</v>
      </c>
      <c r="D1023" s="1">
        <f>w+a*C1022^2+b*D1022</f>
        <v>10.400103212712327</v>
      </c>
      <c r="E1023" s="1">
        <f t="shared" si="15"/>
        <v>-2.0910446881017126</v>
      </c>
      <c r="F1023" s="7">
        <f>SQRT(IRS_returns_2015_25[[#This Row],[  σ2]])</f>
        <v>3.2249191017314414</v>
      </c>
    </row>
    <row r="1024" spans="1:6" x14ac:dyDescent="0.3">
      <c r="A1024" s="2">
        <v>43523</v>
      </c>
      <c r="B1024" s="1">
        <v>-2.3874743599793025</v>
      </c>
      <c r="C1024" s="1">
        <f>IRS_returns_2015_25[[#This Row],[IRSrtn]]-AVERAGE($B$2:$B$2600)</f>
        <v>-2.3932508540459181</v>
      </c>
      <c r="D1024" s="1">
        <f>w+a*C1023^2+b*D1023</f>
        <v>8.2748598746473263</v>
      </c>
      <c r="E1024" s="1">
        <f t="shared" si="15"/>
        <v>-2.3216369373464043</v>
      </c>
      <c r="F1024" s="7">
        <f>SQRT(IRS_returns_2015_25[[#This Row],[  σ2]])</f>
        <v>2.8766056168073035</v>
      </c>
    </row>
    <row r="1025" spans="1:6" x14ac:dyDescent="0.3">
      <c r="A1025" s="2">
        <v>43524</v>
      </c>
      <c r="B1025" s="1">
        <v>6.6339280074251494</v>
      </c>
      <c r="C1025" s="1">
        <f>IRS_returns_2015_25[[#This Row],[IRSrtn]]-AVERAGE($B$2:$B$2600)</f>
        <v>6.6281515133585334</v>
      </c>
      <c r="D1025" s="1">
        <f>w+a*C1024^2+b*D1024</f>
        <v>8.2495174865904417</v>
      </c>
      <c r="E1025" s="1">
        <f t="shared" si="15"/>
        <v>-4.6367408641373205</v>
      </c>
      <c r="F1025" s="7">
        <f>SQRT(IRS_returns_2015_25[[#This Row],[  σ2]])</f>
        <v>2.8721973272375352</v>
      </c>
    </row>
    <row r="1026" spans="1:6" x14ac:dyDescent="0.3">
      <c r="A1026" s="2">
        <v>43525</v>
      </c>
      <c r="B1026" s="1">
        <v>2.0217182346860429</v>
      </c>
      <c r="C1026" s="1">
        <f>IRS_returns_2015_25[[#This Row],[IRSrtn]]-AVERAGE($B$2:$B$2600)</f>
        <v>2.0159417406194273</v>
      </c>
      <c r="D1026" s="1">
        <f>w+a*C1025^2+b*D1025</f>
        <v>17.541223391914482</v>
      </c>
      <c r="E1026" s="1">
        <f t="shared" ref="E1026:E1089" si="16">-0.5*(LN(2*PI())+LN(D1026)+C1026^2/D1026)</f>
        <v>-2.4670574083890586</v>
      </c>
      <c r="F1026" s="7">
        <f>SQRT(IRS_returns_2015_25[[#This Row],[  σ2]])</f>
        <v>4.1882243722029129</v>
      </c>
    </row>
    <row r="1027" spans="1:6" x14ac:dyDescent="0.3">
      <c r="A1027" s="2">
        <v>43528</v>
      </c>
      <c r="B1027" s="1">
        <v>-2.0946797822194441</v>
      </c>
      <c r="C1027" s="1">
        <f>IRS_returns_2015_25[[#This Row],[IRSrtn]]-AVERAGE($B$2:$B$2600)</f>
        <v>-2.1004562762860597</v>
      </c>
      <c r="D1027" s="1">
        <f>w+a*C1026^2+b*D1026</f>
        <v>14.0129478405554</v>
      </c>
      <c r="E1027" s="1">
        <f t="shared" si="16"/>
        <v>-2.396352264203423</v>
      </c>
      <c r="F1027" s="7">
        <f>SQRT(IRS_returns_2015_25[[#This Row],[  σ2]])</f>
        <v>3.7433872148837875</v>
      </c>
    </row>
    <row r="1028" spans="1:6" x14ac:dyDescent="0.3">
      <c r="A1028" s="2">
        <v>43529</v>
      </c>
      <c r="B1028" s="1">
        <v>2.0231790228036672</v>
      </c>
      <c r="C1028" s="1">
        <f>IRS_returns_2015_25[[#This Row],[IRSrtn]]-AVERAGE($B$2:$B$2600)</f>
        <v>2.0174025287370516</v>
      </c>
      <c r="D1028" s="1">
        <f>w+a*C1027^2+b*D1027</f>
        <v>11.748880486894681</v>
      </c>
      <c r="E1028" s="1">
        <f t="shared" si="16"/>
        <v>-2.324021800540379</v>
      </c>
      <c r="F1028" s="7">
        <f>SQRT(IRS_returns_2015_25[[#This Row],[  σ2]])</f>
        <v>3.4276639985410879</v>
      </c>
    </row>
    <row r="1029" spans="1:6" x14ac:dyDescent="0.3">
      <c r="A1029" s="2">
        <v>43530</v>
      </c>
      <c r="B1029" s="1">
        <v>-6.3489932264890303</v>
      </c>
      <c r="C1029" s="1">
        <f>IRS_returns_2015_25[[#This Row],[IRSrtn]]-AVERAGE($B$2:$B$2600)</f>
        <v>-6.3547697205556464</v>
      </c>
      <c r="D1029" s="1">
        <f>w+a*C1028^2+b*D1028</f>
        <v>10.158323910048528</v>
      </c>
      <c r="E1029" s="1">
        <f t="shared" si="16"/>
        <v>-4.0657703650635888</v>
      </c>
      <c r="F1029" s="7">
        <f>SQRT(IRS_returns_2015_25[[#This Row],[  σ2]])</f>
        <v>3.1872125611650892</v>
      </c>
    </row>
    <row r="1030" spans="1:6" x14ac:dyDescent="0.3">
      <c r="A1030" s="2">
        <v>43531</v>
      </c>
      <c r="B1030" s="1">
        <v>-6.2102519941177992</v>
      </c>
      <c r="C1030" s="1">
        <f>IRS_returns_2015_25[[#This Row],[IRSrtn]]-AVERAGE($B$2:$B$2600)</f>
        <v>-6.2160284881844152</v>
      </c>
      <c r="D1030" s="1">
        <f>w+a*C1029^2+b*D1029</f>
        <v>17.94716299928875</v>
      </c>
      <c r="E1030" s="1">
        <f t="shared" si="16"/>
        <v>-3.439120242727804</v>
      </c>
      <c r="F1030" s="7">
        <f>SQRT(IRS_returns_2015_25[[#This Row],[  σ2]])</f>
        <v>4.2364092105565945</v>
      </c>
    </row>
    <row r="1031" spans="1:6" x14ac:dyDescent="0.3">
      <c r="A1031" s="2">
        <v>43532</v>
      </c>
      <c r="B1031" s="1">
        <v>0.56612606023880296</v>
      </c>
      <c r="C1031" s="1">
        <f>IRS_returns_2015_25[[#This Row],[IRSrtn]]-AVERAGE($B$2:$B$2600)</f>
        <v>0.56034956617218712</v>
      </c>
      <c r="D1031" s="1">
        <f>w+a*C1030^2+b*D1030</f>
        <v>22.707376711881047</v>
      </c>
      <c r="E1031" s="1">
        <f t="shared" si="16"/>
        <v>-2.4871973202639794</v>
      </c>
      <c r="F1031" s="7">
        <f>SQRT(IRS_returns_2015_25[[#This Row],[  σ2]])</f>
        <v>4.7652257776396123</v>
      </c>
    </row>
    <row r="1032" spans="1:6" x14ac:dyDescent="0.3">
      <c r="A1032" s="2">
        <v>43535</v>
      </c>
      <c r="B1032" s="1">
        <v>8.0616749279371902E-2</v>
      </c>
      <c r="C1032" s="1">
        <f>IRS_returns_2015_25[[#This Row],[IRSrtn]]-AVERAGE($B$2:$B$2600)</f>
        <v>7.4840255212756113E-2</v>
      </c>
      <c r="D1032" s="1">
        <f>w+a*C1031^2+b*D1031</f>
        <v>16.538448637226335</v>
      </c>
      <c r="E1032" s="1">
        <f t="shared" si="16"/>
        <v>-2.3219518131193198</v>
      </c>
      <c r="F1032" s="7">
        <f>SQRT(IRS_returns_2015_25[[#This Row],[  σ2]])</f>
        <v>4.0667491485492846</v>
      </c>
    </row>
    <row r="1033" spans="1:6" x14ac:dyDescent="0.3">
      <c r="A1033" s="2">
        <v>43536</v>
      </c>
      <c r="B1033" s="1">
        <v>4.5677151517057979</v>
      </c>
      <c r="C1033" s="1">
        <f>IRS_returns_2015_25[[#This Row],[IRSrtn]]-AVERAGE($B$2:$B$2600)</f>
        <v>4.5619386576391818</v>
      </c>
      <c r="D1033" s="1">
        <f>w+a*C1032^2+b*D1032</f>
        <v>12.356550822963589</v>
      </c>
      <c r="E1033" s="1">
        <f t="shared" si="16"/>
        <v>-3.0181471438516114</v>
      </c>
      <c r="F1033" s="7">
        <f>SQRT(IRS_returns_2015_25[[#This Row],[  σ2]])</f>
        <v>3.5151885899569582</v>
      </c>
    </row>
    <row r="1034" spans="1:6" x14ac:dyDescent="0.3">
      <c r="A1034" s="2">
        <v>43537</v>
      </c>
      <c r="B1034" s="1">
        <v>-4.2459236636637421</v>
      </c>
      <c r="C1034" s="1">
        <f>IRS_returns_2015_25[[#This Row],[IRSrtn]]-AVERAGE($B$2:$B$2600)</f>
        <v>-4.2517001577303581</v>
      </c>
      <c r="D1034" s="1">
        <f>w+a*C1033^2+b*D1033</f>
        <v>14.641891467719642</v>
      </c>
      <c r="E1034" s="1">
        <f t="shared" si="16"/>
        <v>-2.8781844446108882</v>
      </c>
      <c r="F1034" s="7">
        <f>SQRT(IRS_returns_2015_25[[#This Row],[  σ2]])</f>
        <v>3.8264724574625704</v>
      </c>
    </row>
    <row r="1035" spans="1:6" x14ac:dyDescent="0.3">
      <c r="A1035" s="2">
        <v>43538</v>
      </c>
      <c r="B1035" s="1">
        <v>0.72029172775023298</v>
      </c>
      <c r="C1035" s="1">
        <f>IRS_returns_2015_25[[#This Row],[IRSrtn]]-AVERAGE($B$2:$B$2600)</f>
        <v>0.71451523368361713</v>
      </c>
      <c r="D1035" s="1">
        <f>w+a*C1034^2+b*D1034</f>
        <v>15.497062037715505</v>
      </c>
      <c r="E1035" s="1">
        <f t="shared" si="16"/>
        <v>-2.3057356602005341</v>
      </c>
      <c r="F1035" s="7">
        <f>SQRT(IRS_returns_2015_25[[#This Row],[  σ2]])</f>
        <v>3.9366307977400554</v>
      </c>
    </row>
    <row r="1036" spans="1:6" x14ac:dyDescent="0.3">
      <c r="A1036" s="2">
        <v>43539</v>
      </c>
      <c r="B1036" s="1">
        <v>2.1302595234051314</v>
      </c>
      <c r="C1036" s="1">
        <f>IRS_returns_2015_25[[#This Row],[IRSrtn]]-AVERAGE($B$2:$B$2600)</f>
        <v>2.1244830293385157</v>
      </c>
      <c r="D1036" s="1">
        <f>w+a*C1035^2+b*D1035</f>
        <v>11.786308669148545</v>
      </c>
      <c r="E1036" s="1">
        <f t="shared" si="16"/>
        <v>-2.3438769343642401</v>
      </c>
      <c r="F1036" s="7">
        <f>SQRT(IRS_returns_2015_25[[#This Row],[  σ2]])</f>
        <v>3.4331193788082208</v>
      </c>
    </row>
    <row r="1037" spans="1:6" x14ac:dyDescent="0.3">
      <c r="A1037" s="2">
        <v>43542</v>
      </c>
      <c r="B1037" s="1">
        <v>4.1290296234767876</v>
      </c>
      <c r="C1037" s="1">
        <f>IRS_returns_2015_25[[#This Row],[IRSrtn]]-AVERAGE($B$2:$B$2600)</f>
        <v>4.1232531294101715</v>
      </c>
      <c r="D1037" s="1">
        <f>w+a*C1036^2+b*D1036</f>
        <v>10.29130284732336</v>
      </c>
      <c r="E1037" s="1">
        <f t="shared" si="16"/>
        <v>-2.9105873364212136</v>
      </c>
      <c r="F1037" s="7">
        <f>SQRT(IRS_returns_2015_25[[#This Row],[  σ2]])</f>
        <v>3.2080060547516678</v>
      </c>
    </row>
    <row r="1038" spans="1:6" x14ac:dyDescent="0.3">
      <c r="A1038" s="2">
        <v>43543</v>
      </c>
      <c r="B1038" s="1">
        <v>-0.37522861125927065</v>
      </c>
      <c r="C1038" s="1">
        <f>IRS_returns_2015_25[[#This Row],[IRSrtn]]-AVERAGE($B$2:$B$2600)</f>
        <v>-0.38100510532588644</v>
      </c>
      <c r="D1038" s="1">
        <f>w+a*C1037^2+b*D1037</f>
        <v>12.338699198998228</v>
      </c>
      <c r="E1038" s="1">
        <f t="shared" si="16"/>
        <v>-2.1811913367970459</v>
      </c>
      <c r="F1038" s="7">
        <f>SQRT(IRS_returns_2015_25[[#This Row],[  σ2]])</f>
        <v>3.5126484593534588</v>
      </c>
    </row>
    <row r="1039" spans="1:6" x14ac:dyDescent="0.3">
      <c r="A1039" s="2">
        <v>43544</v>
      </c>
      <c r="B1039" s="1">
        <v>-3.831890669236282</v>
      </c>
      <c r="C1039" s="1">
        <f>IRS_returns_2015_25[[#This Row],[IRSrtn]]-AVERAGE($B$2:$B$2600)</f>
        <v>-3.8376671633028976</v>
      </c>
      <c r="D1039" s="1">
        <f>w+a*C1038^2+b*D1038</f>
        <v>9.5947121242145545</v>
      </c>
      <c r="E1039" s="1">
        <f t="shared" si="16"/>
        <v>-2.817034494219214</v>
      </c>
      <c r="F1039" s="7">
        <f>SQRT(IRS_returns_2015_25[[#This Row],[  σ2]])</f>
        <v>3.0975332321404649</v>
      </c>
    </row>
    <row r="1040" spans="1:6" x14ac:dyDescent="0.3">
      <c r="A1040" s="2">
        <v>43545</v>
      </c>
      <c r="B1040" s="1">
        <v>-1.099778092944792</v>
      </c>
      <c r="C1040" s="1">
        <f>IRS_returns_2015_25[[#This Row],[IRSrtn]]-AVERAGE($B$2:$B$2600)</f>
        <v>-1.1055545870114079</v>
      </c>
      <c r="D1040" s="1">
        <f>w+a*C1039^2+b*D1039</f>
        <v>11.321022756972262</v>
      </c>
      <c r="E1040" s="1">
        <f t="shared" si="16"/>
        <v>-2.1862507142821452</v>
      </c>
      <c r="F1040" s="7">
        <f>SQRT(IRS_returns_2015_25[[#This Row],[  σ2]])</f>
        <v>3.3646727562977445</v>
      </c>
    </row>
    <row r="1041" spans="1:6" x14ac:dyDescent="0.3">
      <c r="A1041" s="2">
        <v>43546</v>
      </c>
      <c r="B1041" s="1">
        <v>-5.9391168063751554</v>
      </c>
      <c r="C1041" s="1">
        <f>IRS_returns_2015_25[[#This Row],[IRSrtn]]-AVERAGE($B$2:$B$2600)</f>
        <v>-5.9448933004417714</v>
      </c>
      <c r="D1041" s="1">
        <f>w+a*C1040^2+b*D1040</f>
        <v>9.1796596761254001</v>
      </c>
      <c r="E1041" s="1">
        <f t="shared" si="16"/>
        <v>-3.9524372266342027</v>
      </c>
      <c r="F1041" s="7">
        <f>SQRT(IRS_returns_2015_25[[#This Row],[  σ2]])</f>
        <v>3.0297953191800597</v>
      </c>
    </row>
    <row r="1042" spans="1:6" x14ac:dyDescent="0.3">
      <c r="A1042" s="2">
        <v>43549</v>
      </c>
      <c r="B1042" s="1">
        <v>-1.1804550420499549</v>
      </c>
      <c r="C1042" s="1">
        <f>IRS_returns_2015_25[[#This Row],[IRSrtn]]-AVERAGE($B$2:$B$2600)</f>
        <v>-1.1862315361165707</v>
      </c>
      <c r="D1042" s="1">
        <f>w+a*C1041^2+b*D1041</f>
        <v>16.067328086659064</v>
      </c>
      <c r="E1042" s="1">
        <f t="shared" si="16"/>
        <v>-2.3511215074211842</v>
      </c>
      <c r="F1042" s="7">
        <f>SQRT(IRS_returns_2015_25[[#This Row],[  σ2]])</f>
        <v>4.0084071757568571</v>
      </c>
    </row>
    <row r="1043" spans="1:6" x14ac:dyDescent="0.3">
      <c r="A1043" s="2">
        <v>43550</v>
      </c>
      <c r="B1043" s="1">
        <v>0.67624563647101787</v>
      </c>
      <c r="C1043" s="1">
        <f>IRS_returns_2015_25[[#This Row],[IRSrtn]]-AVERAGE($B$2:$B$2600)</f>
        <v>0.67046914240440203</v>
      </c>
      <c r="D1043" s="1">
        <f>w+a*C1042^2+b*D1042</f>
        <v>12.384403917095975</v>
      </c>
      <c r="E1043" s="1">
        <f t="shared" si="16"/>
        <v>-2.195306490402988</v>
      </c>
      <c r="F1043" s="7">
        <f>SQRT(IRS_returns_2015_25[[#This Row],[  σ2]])</f>
        <v>3.5191481806107534</v>
      </c>
    </row>
    <row r="1044" spans="1:6" x14ac:dyDescent="0.3">
      <c r="A1044" s="2">
        <v>43551</v>
      </c>
      <c r="B1044" s="1">
        <v>-6.5269001295892526</v>
      </c>
      <c r="C1044" s="1">
        <f>IRS_returns_2015_25[[#This Row],[IRSrtn]]-AVERAGE($B$2:$B$2600)</f>
        <v>-6.5326766236558687</v>
      </c>
      <c r="D1044" s="1">
        <f>w+a*C1043^2+b*D1043</f>
        <v>9.6992967324270936</v>
      </c>
      <c r="E1044" s="1">
        <f t="shared" si="16"/>
        <v>-4.2549115212159343</v>
      </c>
      <c r="F1044" s="7">
        <f>SQRT(IRS_returns_2015_25[[#This Row],[  σ2]])</f>
        <v>3.1143693956284464</v>
      </c>
    </row>
    <row r="1045" spans="1:6" x14ac:dyDescent="0.3">
      <c r="A1045" s="2">
        <v>43552</v>
      </c>
      <c r="B1045" s="1">
        <v>-8.9952800376913444E-2</v>
      </c>
      <c r="C1045" s="1">
        <f>IRS_returns_2015_25[[#This Row],[IRSrtn]]-AVERAGE($B$2:$B$2600)</f>
        <v>-9.5729294443529234E-2</v>
      </c>
      <c r="D1045" s="1">
        <f>w+a*C1044^2+b*D1044</f>
        <v>18.200212760077477</v>
      </c>
      <c r="E1045" s="1">
        <f t="shared" si="16"/>
        <v>-2.369906933254851</v>
      </c>
      <c r="F1045" s="7">
        <f>SQRT(IRS_returns_2015_25[[#This Row],[  σ2]])</f>
        <v>4.2661707373331268</v>
      </c>
    </row>
    <row r="1046" spans="1:6" x14ac:dyDescent="0.3">
      <c r="A1046" s="2">
        <v>43553</v>
      </c>
      <c r="B1046" s="1">
        <v>-1.908286106567969</v>
      </c>
      <c r="C1046" s="1">
        <f>IRS_returns_2015_25[[#This Row],[IRSrtn]]-AVERAGE($B$2:$B$2600)</f>
        <v>-1.9140626006345849</v>
      </c>
      <c r="D1046" s="1">
        <f>w+a*C1045^2+b*D1045</f>
        <v>13.463683105559996</v>
      </c>
      <c r="E1046" s="1">
        <f t="shared" si="16"/>
        <v>-2.3549927124769647</v>
      </c>
      <c r="F1046" s="7">
        <f>SQRT(IRS_returns_2015_25[[#This Row],[  σ2]])</f>
        <v>3.6692891826019922</v>
      </c>
    </row>
    <row r="1047" spans="1:6" x14ac:dyDescent="0.3">
      <c r="A1047" s="2">
        <v>43556</v>
      </c>
      <c r="B1047" s="1">
        <v>-2.790873639321978</v>
      </c>
      <c r="C1047" s="1">
        <f>IRS_returns_2015_25[[#This Row],[IRSrtn]]-AVERAGE($B$2:$B$2600)</f>
        <v>-2.7966501333885936</v>
      </c>
      <c r="D1047" s="1">
        <f>w+a*C1046^2+b*D1046</f>
        <v>11.200907297350046</v>
      </c>
      <c r="E1047" s="1">
        <f t="shared" si="16"/>
        <v>-2.4760706764228551</v>
      </c>
      <c r="F1047" s="7">
        <f>SQRT(IRS_returns_2015_25[[#This Row],[  σ2]])</f>
        <v>3.3467756568599047</v>
      </c>
    </row>
    <row r="1048" spans="1:6" x14ac:dyDescent="0.3">
      <c r="A1048" s="2">
        <v>43557</v>
      </c>
      <c r="B1048" s="1">
        <v>1.591045340654107</v>
      </c>
      <c r="C1048" s="1">
        <f>IRS_returns_2015_25[[#This Row],[IRSrtn]]-AVERAGE($B$2:$B$2600)</f>
        <v>1.5852688465874911</v>
      </c>
      <c r="D1048" s="1">
        <f>w+a*C1047^2+b*D1047</f>
        <v>10.707541880543484</v>
      </c>
      <c r="E1048" s="1">
        <f t="shared" si="16"/>
        <v>-2.2217635089996439</v>
      </c>
      <c r="F1048" s="7">
        <f>SQRT(IRS_returns_2015_25[[#This Row],[  σ2]])</f>
        <v>3.2722380537704594</v>
      </c>
    </row>
    <row r="1049" spans="1:6" x14ac:dyDescent="0.3">
      <c r="A1049" s="2">
        <v>43558</v>
      </c>
      <c r="B1049" s="1">
        <v>-2.1586986298069544</v>
      </c>
      <c r="C1049" s="1">
        <f>IRS_returns_2015_25[[#This Row],[IRSrtn]]-AVERAGE($B$2:$B$2600)</f>
        <v>-2.16447512387357</v>
      </c>
      <c r="D1049" s="1">
        <f>w+a*C1048^2+b*D1048</f>
        <v>9.0857647501985674</v>
      </c>
      <c r="E1049" s="1">
        <f t="shared" si="16"/>
        <v>-2.2801112554392584</v>
      </c>
      <c r="F1049" s="7">
        <f>SQRT(IRS_returns_2015_25[[#This Row],[  σ2]])</f>
        <v>3.0142602326605061</v>
      </c>
    </row>
    <row r="1050" spans="1:6" x14ac:dyDescent="0.3">
      <c r="A1050" s="2">
        <v>43559</v>
      </c>
      <c r="B1050" s="1">
        <v>1.5066220550709719</v>
      </c>
      <c r="C1050" s="1">
        <f>IRS_returns_2015_25[[#This Row],[IRSrtn]]-AVERAGE($B$2:$B$2600)</f>
        <v>1.5008455610043561</v>
      </c>
      <c r="D1050" s="1">
        <f>w+a*C1049^2+b*D1049</f>
        <v>8.535297510663904</v>
      </c>
      <c r="E1050" s="1">
        <f t="shared" si="16"/>
        <v>-2.1229978802135188</v>
      </c>
      <c r="F1050" s="7">
        <f>SQRT(IRS_returns_2015_25[[#This Row],[  σ2]])</f>
        <v>2.9215231490891704</v>
      </c>
    </row>
    <row r="1051" spans="1:6" x14ac:dyDescent="0.3">
      <c r="A1051" s="2">
        <v>43560</v>
      </c>
      <c r="B1051" s="1">
        <v>-3.2291539017687665</v>
      </c>
      <c r="C1051" s="1">
        <f>IRS_returns_2015_25[[#This Row],[IRSrtn]]-AVERAGE($B$2:$B$2600)</f>
        <v>-3.2349303958353821</v>
      </c>
      <c r="D1051" s="1">
        <f>w+a*C1050^2+b*D1050</f>
        <v>7.5761848769828015</v>
      </c>
      <c r="E1051" s="1">
        <f t="shared" si="16"/>
        <v>-2.622079585959312</v>
      </c>
      <c r="F1051" s="7">
        <f>SQRT(IRS_returns_2015_25[[#This Row],[  σ2]])</f>
        <v>2.7524870348437251</v>
      </c>
    </row>
    <row r="1052" spans="1:6" x14ac:dyDescent="0.3">
      <c r="A1052" s="2">
        <v>43563</v>
      </c>
      <c r="B1052" s="1">
        <v>4.1593984370658976</v>
      </c>
      <c r="C1052" s="1">
        <f>IRS_returns_2015_25[[#This Row],[IRSrtn]]-AVERAGE($B$2:$B$2600)</f>
        <v>4.1536219429992816</v>
      </c>
      <c r="D1052" s="1">
        <f>w+a*C1051^2+b*D1051</f>
        <v>8.9385972780372889</v>
      </c>
      <c r="E1052" s="1">
        <f t="shared" si="16"/>
        <v>-2.9791884215673865</v>
      </c>
      <c r="F1052" s="7">
        <f>SQRT(IRS_returns_2015_25[[#This Row],[  σ2]])</f>
        <v>2.9897486981412484</v>
      </c>
    </row>
    <row r="1053" spans="1:6" x14ac:dyDescent="0.3">
      <c r="A1053" s="2">
        <v>43564</v>
      </c>
      <c r="B1053" s="1">
        <v>-4.0629041211110106</v>
      </c>
      <c r="C1053" s="1">
        <f>IRS_returns_2015_25[[#This Row],[IRSrtn]]-AVERAGE($B$2:$B$2600)</f>
        <v>-4.0686806151776267</v>
      </c>
      <c r="D1053" s="1">
        <f>w+a*C1052^2+b*D1052</f>
        <v>11.499424025372601</v>
      </c>
      <c r="E1053" s="1">
        <f t="shared" si="16"/>
        <v>-2.8598692296659936</v>
      </c>
      <c r="F1053" s="7">
        <f>SQRT(IRS_returns_2015_25[[#This Row],[  σ2]])</f>
        <v>3.3910800676735136</v>
      </c>
    </row>
    <row r="1054" spans="1:6" x14ac:dyDescent="0.3">
      <c r="A1054" s="2">
        <v>43565</v>
      </c>
      <c r="B1054" s="1">
        <v>3.1326595858138795</v>
      </c>
      <c r="C1054" s="1">
        <f>IRS_returns_2015_25[[#This Row],[IRSrtn]]-AVERAGE($B$2:$B$2600)</f>
        <v>3.1268830917472639</v>
      </c>
      <c r="D1054" s="1">
        <f>w+a*C1053^2+b*D1053</f>
        <v>13.034040952681497</v>
      </c>
      <c r="E1054" s="1">
        <f t="shared" si="16"/>
        <v>-2.5777923942479366</v>
      </c>
      <c r="F1054" s="7">
        <f>SQRT(IRS_returns_2015_25[[#This Row],[  σ2]])</f>
        <v>3.6102688200023967</v>
      </c>
    </row>
    <row r="1055" spans="1:6" x14ac:dyDescent="0.3">
      <c r="A1055" s="2">
        <v>43567</v>
      </c>
      <c r="B1055" s="1">
        <v>-1.9821153503507993</v>
      </c>
      <c r="C1055" s="1">
        <f>IRS_returns_2015_25[[#This Row],[IRSrtn]]-AVERAGE($B$2:$B$2600)</f>
        <v>-1.9878918444174152</v>
      </c>
      <c r="D1055" s="1">
        <f>w+a*C1054^2+b*D1054</f>
        <v>12.404504089043551</v>
      </c>
      <c r="E1055" s="1">
        <f t="shared" si="16"/>
        <v>-2.3372538011489841</v>
      </c>
      <c r="F1055" s="7">
        <f>SQRT(IRS_returns_2015_25[[#This Row],[  σ2]])</f>
        <v>3.5220028519357491</v>
      </c>
    </row>
    <row r="1056" spans="1:6" x14ac:dyDescent="0.3">
      <c r="A1056" s="2">
        <v>43570</v>
      </c>
      <c r="B1056" s="1">
        <v>9.5266819549344461E-2</v>
      </c>
      <c r="C1056" s="1">
        <f>IRS_returns_2015_25[[#This Row],[IRSrtn]]-AVERAGE($B$2:$B$2600)</f>
        <v>8.9490325482728672E-2</v>
      </c>
      <c r="D1056" s="1">
        <f>w+a*C1055^2+b*D1055</f>
        <v>10.565984346027568</v>
      </c>
      <c r="E1056" s="1">
        <f t="shared" si="16"/>
        <v>-2.0981374182484562</v>
      </c>
      <c r="F1056" s="7">
        <f>SQRT(IRS_returns_2015_25[[#This Row],[  σ2]])</f>
        <v>3.250536009034136</v>
      </c>
    </row>
    <row r="1057" spans="1:6" x14ac:dyDescent="0.3">
      <c r="A1057" s="2">
        <v>43571</v>
      </c>
      <c r="B1057" s="1">
        <v>-1.9231362970494992</v>
      </c>
      <c r="C1057" s="1">
        <f>IRS_returns_2015_25[[#This Row],[IRSrtn]]-AVERAGE($B$2:$B$2600)</f>
        <v>-1.928912791116115</v>
      </c>
      <c r="D1057" s="1">
        <f>w+a*C1056^2+b*D1056</f>
        <v>8.3811681003325074</v>
      </c>
      <c r="E1057" s="1">
        <f t="shared" si="16"/>
        <v>-2.2039003193626545</v>
      </c>
      <c r="F1057" s="7">
        <f>SQRT(IRS_returns_2015_25[[#This Row],[  σ2]])</f>
        <v>2.8950247149778372</v>
      </c>
    </row>
    <row r="1058" spans="1:6" x14ac:dyDescent="0.3">
      <c r="A1058" s="2">
        <v>43572</v>
      </c>
      <c r="B1058" s="1">
        <v>-1.8618924574040019</v>
      </c>
      <c r="C1058" s="1">
        <f>IRS_returns_2015_25[[#This Row],[IRSrtn]]-AVERAGE($B$2:$B$2600)</f>
        <v>-1.8676689514706177</v>
      </c>
      <c r="D1058" s="1">
        <f>w+a*C1057^2+b*D1057</f>
        <v>7.8312969409828996</v>
      </c>
      <c r="E1058" s="1">
        <f t="shared" si="16"/>
        <v>-2.1707107503526726</v>
      </c>
      <c r="F1058" s="7">
        <f>SQRT(IRS_returns_2015_25[[#This Row],[  σ2]])</f>
        <v>2.798445450778503</v>
      </c>
    </row>
    <row r="1059" spans="1:6" x14ac:dyDescent="0.3">
      <c r="A1059" s="2">
        <v>43573</v>
      </c>
      <c r="B1059" s="1">
        <v>1.9589267268219857</v>
      </c>
      <c r="C1059" s="1">
        <f>IRS_returns_2015_25[[#This Row],[IRSrtn]]-AVERAGE($B$2:$B$2600)</f>
        <v>1.9531502327553698</v>
      </c>
      <c r="D1059" s="1">
        <f>w+a*C1058^2+b*D1058</f>
        <v>7.4085857474337473</v>
      </c>
      <c r="E1059" s="1">
        <f t="shared" si="16"/>
        <v>-2.1777160784169469</v>
      </c>
      <c r="F1059" s="7">
        <f>SQRT(IRS_returns_2015_25[[#This Row],[  σ2]])</f>
        <v>2.7218717360363893</v>
      </c>
    </row>
    <row r="1060" spans="1:6" x14ac:dyDescent="0.3">
      <c r="A1060" s="2">
        <v>43577</v>
      </c>
      <c r="B1060" s="1">
        <v>-1.2689271758324683</v>
      </c>
      <c r="C1060" s="1">
        <f>IRS_returns_2015_25[[#This Row],[IRSrtn]]-AVERAGE($B$2:$B$2600)</f>
        <v>-1.2747036698990841</v>
      </c>
      <c r="D1060" s="1">
        <f>w+a*C1059^2+b*D1059</f>
        <v>7.2067579312093137</v>
      </c>
      <c r="E1060" s="1">
        <f t="shared" si="16"/>
        <v>-2.0191804721098521</v>
      </c>
      <c r="F1060" s="7">
        <f>SQRT(IRS_returns_2015_25[[#This Row],[  σ2]])</f>
        <v>2.684540543781992</v>
      </c>
    </row>
    <row r="1061" spans="1:6" x14ac:dyDescent="0.3">
      <c r="A1061" s="2">
        <v>43578</v>
      </c>
      <c r="B1061" s="1">
        <v>-4.6239362565909659</v>
      </c>
      <c r="C1061" s="1">
        <f>IRS_returns_2015_25[[#This Row],[IRSrtn]]-AVERAGE($B$2:$B$2600)</f>
        <v>-4.6297127506575819</v>
      </c>
      <c r="D1061" s="1">
        <f>w+a*C1060^2+b*D1060</f>
        <v>6.5388227232878817</v>
      </c>
      <c r="E1061" s="1">
        <f t="shared" si="16"/>
        <v>-3.4968155165695136</v>
      </c>
      <c r="F1061" s="7">
        <f>SQRT(IRS_returns_2015_25[[#This Row],[  σ2]])</f>
        <v>2.5571121843376137</v>
      </c>
    </row>
    <row r="1062" spans="1:6" x14ac:dyDescent="0.3">
      <c r="A1062" s="2">
        <v>43579</v>
      </c>
      <c r="B1062" s="1">
        <v>0.81967217486926813</v>
      </c>
      <c r="C1062" s="1">
        <f>IRS_returns_2015_25[[#This Row],[IRSrtn]]-AVERAGE($B$2:$B$2600)</f>
        <v>0.81389568080265229</v>
      </c>
      <c r="D1062" s="1">
        <f>w+a*C1061^2+b*D1061</f>
        <v>10.920715683954267</v>
      </c>
      <c r="E1062" s="1">
        <f t="shared" si="16"/>
        <v>-2.1445981679942143</v>
      </c>
      <c r="F1062" s="7">
        <f>SQRT(IRS_returns_2015_25[[#This Row],[  σ2]])</f>
        <v>3.3046506145059067</v>
      </c>
    </row>
    <row r="1063" spans="1:6" x14ac:dyDescent="0.3">
      <c r="A1063" s="2">
        <v>43580</v>
      </c>
      <c r="B1063" s="1">
        <v>2.5190279739985222</v>
      </c>
      <c r="C1063" s="1">
        <f>IRS_returns_2015_25[[#This Row],[IRSrtn]]-AVERAGE($B$2:$B$2600)</f>
        <v>2.5132514799319066</v>
      </c>
      <c r="D1063" s="1">
        <f>w+a*C1062^2+b*D1062</f>
        <v>8.776767392468356</v>
      </c>
      <c r="E1063" s="1">
        <f t="shared" si="16"/>
        <v>-2.3648308503653603</v>
      </c>
      <c r="F1063" s="7">
        <f>SQRT(IRS_returns_2015_25[[#This Row],[  σ2]])</f>
        <v>2.962560951688312</v>
      </c>
    </row>
    <row r="1064" spans="1:6" x14ac:dyDescent="0.3">
      <c r="A1064" s="2">
        <v>43581</v>
      </c>
      <c r="B1064" s="1">
        <v>-4.5809451883526364</v>
      </c>
      <c r="C1064" s="1">
        <f>IRS_returns_2015_25[[#This Row],[IRSrtn]]-AVERAGE($B$2:$B$2600)</f>
        <v>-4.5867216824192525</v>
      </c>
      <c r="D1064" s="1">
        <f>w+a*C1063^2+b*D1063</f>
        <v>8.7271026370591898</v>
      </c>
      <c r="E1064" s="1">
        <f t="shared" si="16"/>
        <v>-3.2074817269893208</v>
      </c>
      <c r="F1064" s="7">
        <f>SQRT(IRS_returns_2015_25[[#This Row],[  σ2]])</f>
        <v>2.9541669954589889</v>
      </c>
    </row>
    <row r="1065" spans="1:6" x14ac:dyDescent="0.3">
      <c r="A1065" s="2">
        <v>43584</v>
      </c>
      <c r="B1065" s="1">
        <v>-4.8009188378162815</v>
      </c>
      <c r="C1065" s="1">
        <f>IRS_returns_2015_25[[#This Row],[IRSrtn]]-AVERAGE($B$2:$B$2600)</f>
        <v>-4.8066953318828975</v>
      </c>
      <c r="D1065" s="1">
        <f>w+a*C1064^2+b*D1064</f>
        <v>12.280950221897323</v>
      </c>
      <c r="E1065" s="1">
        <f t="shared" si="16"/>
        <v>-3.1136200374468253</v>
      </c>
      <c r="F1065" s="7">
        <f>SQRT(IRS_returns_2015_25[[#This Row],[  σ2]])</f>
        <v>3.5044186710348013</v>
      </c>
    </row>
    <row r="1066" spans="1:6" x14ac:dyDescent="0.3">
      <c r="A1066" s="2">
        <v>43585</v>
      </c>
      <c r="B1066" s="1">
        <v>2.5891269045619225</v>
      </c>
      <c r="C1066" s="1">
        <f>IRS_returns_2015_25[[#This Row],[IRSrtn]]-AVERAGE($B$2:$B$2600)</f>
        <v>2.5833504104953069</v>
      </c>
      <c r="D1066" s="1">
        <f>w+a*C1065^2+b*D1065</f>
        <v>15.150260501481839</v>
      </c>
      <c r="E1066" s="1">
        <f t="shared" si="16"/>
        <v>-2.4981977130959199</v>
      </c>
      <c r="F1066" s="7">
        <f>SQRT(IRS_returns_2015_25[[#This Row],[  σ2]])</f>
        <v>3.8923335547563029</v>
      </c>
    </row>
    <row r="1067" spans="1:6" x14ac:dyDescent="0.3">
      <c r="A1067" s="2">
        <v>43586</v>
      </c>
      <c r="B1067" s="1">
        <v>-2.3707812946264895</v>
      </c>
      <c r="C1067" s="1">
        <f>IRS_returns_2015_25[[#This Row],[IRSrtn]]-AVERAGE($B$2:$B$2600)</f>
        <v>-2.3765577886931051</v>
      </c>
      <c r="D1067" s="1">
        <f>w+a*C1066^2+b*D1066</f>
        <v>13.057091383596511</v>
      </c>
      <c r="E1067" s="1">
        <f t="shared" si="16"/>
        <v>-2.419886197932513</v>
      </c>
      <c r="F1067" s="7">
        <f>SQRT(IRS_returns_2015_25[[#This Row],[  σ2]])</f>
        <v>3.6134597525912073</v>
      </c>
    </row>
    <row r="1068" spans="1:6" x14ac:dyDescent="0.3">
      <c r="A1068" s="2">
        <v>43587</v>
      </c>
      <c r="B1068" s="1">
        <v>-1.7602238258308311</v>
      </c>
      <c r="C1068" s="1">
        <f>IRS_returns_2015_25[[#This Row],[IRSrtn]]-AVERAGE($B$2:$B$2600)</f>
        <v>-1.766000319897447</v>
      </c>
      <c r="D1068" s="1">
        <f>w+a*C1067^2+b*D1067</f>
        <v>11.413728869961627</v>
      </c>
      <c r="E1068" s="1">
        <f t="shared" si="16"/>
        <v>-2.2729700521009999</v>
      </c>
      <c r="F1068" s="7">
        <f>SQRT(IRS_returns_2015_25[[#This Row],[  σ2]])</f>
        <v>3.3784210616738743</v>
      </c>
    </row>
    <row r="1069" spans="1:6" x14ac:dyDescent="0.3">
      <c r="A1069" s="2">
        <v>43588</v>
      </c>
      <c r="B1069" s="1">
        <v>-1.228391454577471</v>
      </c>
      <c r="C1069" s="1">
        <f>IRS_returns_2015_25[[#This Row],[IRSrtn]]-AVERAGE($B$2:$B$2600)</f>
        <v>-1.2341679486440869</v>
      </c>
      <c r="D1069" s="1">
        <f>w+a*C1068^2+b*D1068</f>
        <v>9.7034589783836083</v>
      </c>
      <c r="E1069" s="1">
        <f t="shared" si="16"/>
        <v>-2.1336656988874729</v>
      </c>
      <c r="F1069" s="7">
        <f>SQRT(IRS_returns_2015_25[[#This Row],[  σ2]])</f>
        <v>3.1150375564964876</v>
      </c>
    </row>
    <row r="1070" spans="1:6" x14ac:dyDescent="0.3">
      <c r="A1070" s="2">
        <v>43591</v>
      </c>
      <c r="B1070" s="1">
        <v>3.4238508324837547</v>
      </c>
      <c r="C1070" s="1">
        <f>IRS_returns_2015_25[[#This Row],[IRSrtn]]-AVERAGE($B$2:$B$2600)</f>
        <v>3.418074338417139</v>
      </c>
      <c r="D1070" s="1">
        <f>w+a*C1069^2+b*D1069</f>
        <v>8.1761394200782593</v>
      </c>
      <c r="E1070" s="1">
        <f t="shared" si="16"/>
        <v>-2.68401976976019</v>
      </c>
      <c r="F1070" s="7">
        <f>SQRT(IRS_returns_2015_25[[#This Row],[  σ2]])</f>
        <v>2.8593949395070033</v>
      </c>
    </row>
    <row r="1071" spans="1:6" x14ac:dyDescent="0.3">
      <c r="A1071" s="2">
        <v>43592</v>
      </c>
      <c r="B1071" s="1">
        <v>-2.3065269666196375</v>
      </c>
      <c r="C1071" s="1">
        <f>IRS_returns_2015_25[[#This Row],[IRSrtn]]-AVERAGE($B$2:$B$2600)</f>
        <v>-2.3123034606862531</v>
      </c>
      <c r="D1071" s="1">
        <f>w+a*C1070^2+b*D1070</f>
        <v>9.6348739368712728</v>
      </c>
      <c r="E1071" s="1">
        <f t="shared" si="16"/>
        <v>-2.3291016035687107</v>
      </c>
      <c r="F1071" s="7">
        <f>SQRT(IRS_returns_2015_25[[#This Row],[  σ2]])</f>
        <v>3.1040093326005436</v>
      </c>
    </row>
    <row r="1072" spans="1:6" x14ac:dyDescent="0.3">
      <c r="A1072" s="2">
        <v>43593</v>
      </c>
      <c r="B1072" s="1">
        <v>0.22197445152212225</v>
      </c>
      <c r="C1072" s="1">
        <f>IRS_returns_2015_25[[#This Row],[IRSrtn]]-AVERAGE($B$2:$B$2600)</f>
        <v>0.21619795745550646</v>
      </c>
      <c r="D1072" s="1">
        <f>w+a*C1071^2+b*D1071</f>
        <v>9.0620948071893963</v>
      </c>
      <c r="E1072" s="1">
        <f t="shared" si="16"/>
        <v>-2.0235676471511099</v>
      </c>
      <c r="F1072" s="7">
        <f>SQRT(IRS_returns_2015_25[[#This Row],[  σ2]])</f>
        <v>3.0103313450830287</v>
      </c>
    </row>
    <row r="1073" spans="1:6" x14ac:dyDescent="0.3">
      <c r="A1073" s="2">
        <v>43594</v>
      </c>
      <c r="B1073" s="1">
        <v>3.0570142971864112</v>
      </c>
      <c r="C1073" s="1">
        <f>IRS_returns_2015_25[[#This Row],[IRSrtn]]-AVERAGE($B$2:$B$2600)</f>
        <v>3.0512378031197955</v>
      </c>
      <c r="D1073" s="1">
        <f>w+a*C1072^2+b*D1072</f>
        <v>7.389440995198199</v>
      </c>
      <c r="E1073" s="1">
        <f t="shared" si="16"/>
        <v>-2.5489210341495632</v>
      </c>
      <c r="F1073" s="7">
        <f>SQRT(IRS_returns_2015_25[[#This Row],[  σ2]])</f>
        <v>2.7183526252490124</v>
      </c>
    </row>
    <row r="1074" spans="1:6" x14ac:dyDescent="0.3">
      <c r="A1074" s="2">
        <v>43595</v>
      </c>
      <c r="B1074" s="1">
        <v>-3.0570142971864112</v>
      </c>
      <c r="C1074" s="1">
        <f>IRS_returns_2015_25[[#This Row],[IRSrtn]]-AVERAGE($B$2:$B$2600)</f>
        <v>-3.0627907912530268</v>
      </c>
      <c r="D1074" s="1">
        <f>w+a*C1073^2+b*D1073</f>
        <v>8.5329308762682121</v>
      </c>
      <c r="E1074" s="1">
        <f t="shared" si="16"/>
        <v>-2.5405805610627059</v>
      </c>
      <c r="F1074" s="7">
        <f>SQRT(IRS_returns_2015_25[[#This Row],[  σ2]])</f>
        <v>2.9211180866695909</v>
      </c>
    </row>
    <row r="1075" spans="1:6" x14ac:dyDescent="0.3">
      <c r="A1075" s="2">
        <v>43598</v>
      </c>
      <c r="B1075" s="1">
        <v>-5.9377966740254751</v>
      </c>
      <c r="C1075" s="1">
        <f>IRS_returns_2015_25[[#This Row],[IRSrtn]]-AVERAGE($B$2:$B$2600)</f>
        <v>-5.9435731680920911</v>
      </c>
      <c r="D1075" s="1">
        <f>w+a*C1074^2+b*D1074</f>
        <v>9.3113814760736027</v>
      </c>
      <c r="E1075" s="1">
        <f t="shared" si="16"/>
        <v>-3.9314864222201589</v>
      </c>
      <c r="F1075" s="7">
        <f>SQRT(IRS_returns_2015_25[[#This Row],[  σ2]])</f>
        <v>3.0514556323292008</v>
      </c>
    </row>
    <row r="1076" spans="1:6" x14ac:dyDescent="0.3">
      <c r="A1076" s="2">
        <v>43599</v>
      </c>
      <c r="B1076" s="1">
        <v>2.5552865855769769</v>
      </c>
      <c r="C1076" s="1">
        <f>IRS_returns_2015_25[[#This Row],[IRSrtn]]-AVERAGE($B$2:$B$2600)</f>
        <v>2.5495100915103612</v>
      </c>
      <c r="D1076" s="1">
        <f>w+a*C1075^2+b*D1075</f>
        <v>16.151193565846842</v>
      </c>
      <c r="E1076" s="1">
        <f t="shared" si="16"/>
        <v>-2.5111590806796213</v>
      </c>
      <c r="F1076" s="7">
        <f>SQRT(IRS_returns_2015_25[[#This Row],[  σ2]])</f>
        <v>4.0188547579934815</v>
      </c>
    </row>
    <row r="1077" spans="1:6" x14ac:dyDescent="0.3">
      <c r="A1077" s="2">
        <v>43600</v>
      </c>
      <c r="B1077" s="1">
        <v>3.8249987037523248</v>
      </c>
      <c r="C1077" s="1">
        <f>IRS_returns_2015_25[[#This Row],[IRSrtn]]-AVERAGE($B$2:$B$2600)</f>
        <v>3.8192222096857091</v>
      </c>
      <c r="D1077" s="1">
        <f>w+a*C1076^2+b*D1076</f>
        <v>13.681107864449162</v>
      </c>
      <c r="E1077" s="1">
        <f t="shared" si="16"/>
        <v>-2.7600340934289762</v>
      </c>
      <c r="F1077" s="7">
        <f>SQRT(IRS_returns_2015_25[[#This Row],[  σ2]])</f>
        <v>3.6987981648704706</v>
      </c>
    </row>
    <row r="1078" spans="1:6" x14ac:dyDescent="0.3">
      <c r="A1078" s="2">
        <v>43601</v>
      </c>
      <c r="B1078" s="1">
        <v>2.2914132649264563</v>
      </c>
      <c r="C1078" s="1">
        <f>IRS_returns_2015_25[[#This Row],[IRSrtn]]-AVERAGE($B$2:$B$2600)</f>
        <v>2.2856367708598406</v>
      </c>
      <c r="D1078" s="1">
        <f>w+a*C1077^2+b*D1077</f>
        <v>14.006993805479521</v>
      </c>
      <c r="E1078" s="1">
        <f t="shared" si="16"/>
        <v>-2.425200021380618</v>
      </c>
      <c r="F1078" s="7">
        <f>SQRT(IRS_returns_2015_25[[#This Row],[  σ2]])</f>
        <v>3.7425918566522212</v>
      </c>
    </row>
    <row r="1079" spans="1:6" x14ac:dyDescent="0.3">
      <c r="A1079" s="2">
        <v>43602</v>
      </c>
      <c r="B1079" s="1">
        <v>-1.3029305271436531</v>
      </c>
      <c r="C1079" s="1">
        <f>IRS_returns_2015_25[[#This Row],[IRSrtn]]-AVERAGE($B$2:$B$2600)</f>
        <v>-1.3087070212102689</v>
      </c>
      <c r="D1079" s="1">
        <f>w+a*C1078^2+b*D1078</f>
        <v>11.94281372845122</v>
      </c>
      <c r="E1079" s="1">
        <f t="shared" si="16"/>
        <v>-2.230708198103073</v>
      </c>
      <c r="F1079" s="7">
        <f>SQRT(IRS_returns_2015_25[[#This Row],[  σ2]])</f>
        <v>3.4558376305103256</v>
      </c>
    </row>
    <row r="1080" spans="1:6" x14ac:dyDescent="0.3">
      <c r="A1080" s="2">
        <v>43605</v>
      </c>
      <c r="B1080" s="1">
        <v>-4.0139256124484213</v>
      </c>
      <c r="C1080" s="1">
        <f>IRS_returns_2015_25[[#This Row],[IRSrtn]]-AVERAGE($B$2:$B$2600)</f>
        <v>-4.0197021065150373</v>
      </c>
      <c r="D1080" s="1">
        <f>w+a*C1079^2+b*D1079</f>
        <v>9.7130975444111396</v>
      </c>
      <c r="E1080" s="1">
        <f t="shared" si="16"/>
        <v>-2.8874399094341694</v>
      </c>
      <c r="F1080" s="7">
        <f>SQRT(IRS_returns_2015_25[[#This Row],[  σ2]])</f>
        <v>3.1165842751979511</v>
      </c>
    </row>
    <row r="1081" spans="1:6" x14ac:dyDescent="0.3">
      <c r="A1081" s="2">
        <v>43606</v>
      </c>
      <c r="B1081" s="1">
        <v>4.9927207275954899</v>
      </c>
      <c r="C1081" s="1">
        <f>IRS_returns_2015_25[[#This Row],[IRSrtn]]-AVERAGE($B$2:$B$2600)</f>
        <v>4.9869442335288738</v>
      </c>
      <c r="D1081" s="1">
        <f>w+a*C1080^2+b*D1080</f>
        <v>11.748330016126786</v>
      </c>
      <c r="E1081" s="1">
        <f t="shared" si="16"/>
        <v>-3.2092259115393116</v>
      </c>
      <c r="F1081" s="7">
        <f>SQRT(IRS_returns_2015_25[[#This Row],[  σ2]])</f>
        <v>3.4275836993612256</v>
      </c>
    </row>
    <row r="1082" spans="1:6" x14ac:dyDescent="0.3">
      <c r="A1082" s="2">
        <v>43607</v>
      </c>
      <c r="B1082" s="1">
        <v>1.3971192884446815</v>
      </c>
      <c r="C1082" s="1">
        <f>IRS_returns_2015_25[[#This Row],[IRSrtn]]-AVERAGE($B$2:$B$2600)</f>
        <v>1.3913427943780656</v>
      </c>
      <c r="D1082" s="1">
        <f>w+a*C1081^2+b*D1081</f>
        <v>15.225799505000239</v>
      </c>
      <c r="E1082" s="1">
        <f t="shared" si="16"/>
        <v>-2.3440050698881381</v>
      </c>
      <c r="F1082" s="7">
        <f>SQRT(IRS_returns_2015_25[[#This Row],[  σ2]])</f>
        <v>3.9020250518160746</v>
      </c>
    </row>
    <row r="1083" spans="1:6" x14ac:dyDescent="0.3">
      <c r="A1083" s="2">
        <v>43608</v>
      </c>
      <c r="B1083" s="1">
        <v>-0.10678600164117924</v>
      </c>
      <c r="C1083" s="1">
        <f>IRS_returns_2015_25[[#This Row],[IRSrtn]]-AVERAGE($B$2:$B$2600)</f>
        <v>-0.11256249570779503</v>
      </c>
      <c r="D1083" s="1">
        <f>w+a*C1082^2+b*D1082</f>
        <v>11.952999353420125</v>
      </c>
      <c r="E1083" s="1">
        <f t="shared" si="16"/>
        <v>-2.1599596583000245</v>
      </c>
      <c r="F1083" s="7">
        <f>SQRT(IRS_returns_2015_25[[#This Row],[  σ2]])</f>
        <v>3.4573110003903502</v>
      </c>
    </row>
    <row r="1084" spans="1:6" x14ac:dyDescent="0.3">
      <c r="A1084" s="2">
        <v>43609</v>
      </c>
      <c r="B1084" s="1">
        <v>3.568063327151938</v>
      </c>
      <c r="C1084" s="1">
        <f>IRS_returns_2015_25[[#This Row],[IRSrtn]]-AVERAGE($B$2:$B$2600)</f>
        <v>3.5622868330853223</v>
      </c>
      <c r="D1084" s="1">
        <f>w+a*C1083^2+b*D1083</f>
        <v>9.3056630181654558</v>
      </c>
      <c r="E1084" s="1">
        <f t="shared" si="16"/>
        <v>-2.7160869304449355</v>
      </c>
      <c r="F1084" s="7">
        <f>SQRT(IRS_returns_2015_25[[#This Row],[  σ2]])</f>
        <v>3.0505184834984127</v>
      </c>
    </row>
    <row r="1085" spans="1:6" x14ac:dyDescent="0.3">
      <c r="A1085" s="2">
        <v>43613</v>
      </c>
      <c r="B1085" s="1">
        <v>-3.1416078133034375</v>
      </c>
      <c r="C1085" s="1">
        <f>IRS_returns_2015_25[[#This Row],[IRSrtn]]-AVERAGE($B$2:$B$2600)</f>
        <v>-3.1473843073700531</v>
      </c>
      <c r="D1085" s="1">
        <f>w+a*C1084^2+b*D1084</f>
        <v>10.632088004835847</v>
      </c>
      <c r="E1085" s="1">
        <f t="shared" si="16"/>
        <v>-2.5667320800896838</v>
      </c>
      <c r="F1085" s="7">
        <f>SQRT(IRS_returns_2015_25[[#This Row],[  σ2]])</f>
        <v>3.2606882716438639</v>
      </c>
    </row>
    <row r="1086" spans="1:6" x14ac:dyDescent="0.3">
      <c r="A1086" s="2">
        <v>43614</v>
      </c>
      <c r="B1086" s="1">
        <v>1.0581990006556907</v>
      </c>
      <c r="C1086" s="1">
        <f>IRS_returns_2015_25[[#This Row],[IRSrtn]]-AVERAGE($B$2:$B$2600)</f>
        <v>1.0524225065890749</v>
      </c>
      <c r="D1086" s="1">
        <f>w+a*C1085^2+b*D1085</f>
        <v>10.836824563316402</v>
      </c>
      <c r="E1086" s="1">
        <f t="shared" si="16"/>
        <v>-2.1615167554051191</v>
      </c>
      <c r="F1086" s="7">
        <f>SQRT(IRS_returns_2015_25[[#This Row],[  σ2]])</f>
        <v>3.2919332562062071</v>
      </c>
    </row>
    <row r="1087" spans="1:6" x14ac:dyDescent="0.3">
      <c r="A1087" s="2">
        <v>43615</v>
      </c>
      <c r="B1087" s="1">
        <v>0.42018998534731899</v>
      </c>
      <c r="C1087" s="1">
        <f>IRS_returns_2015_25[[#This Row],[IRSrtn]]-AVERAGE($B$2:$B$2600)</f>
        <v>0.41441349128070321</v>
      </c>
      <c r="D1087" s="1">
        <f>w+a*C1086^2+b*D1086</f>
        <v>8.8293844965499346</v>
      </c>
      <c r="E1087" s="1">
        <f t="shared" si="16"/>
        <v>-2.0177065834844803</v>
      </c>
      <c r="F1087" s="7">
        <f>SQRT(IRS_returns_2015_25[[#This Row],[  σ2]])</f>
        <v>2.9714280231144645</v>
      </c>
    </row>
    <row r="1088" spans="1:6" x14ac:dyDescent="0.3">
      <c r="A1088" s="2">
        <v>43616</v>
      </c>
      <c r="B1088" s="1">
        <v>-2.5479299577022996</v>
      </c>
      <c r="C1088" s="1">
        <f>IRS_returns_2015_25[[#This Row],[IRSrtn]]-AVERAGE($B$2:$B$2600)</f>
        <v>-2.5537064517689152</v>
      </c>
      <c r="D1088" s="1">
        <f>w+a*C1087^2+b*D1087</f>
        <v>7.2649773385199294</v>
      </c>
      <c r="E1088" s="1">
        <f t="shared" si="16"/>
        <v>-2.359296791997882</v>
      </c>
      <c r="F1088" s="7">
        <f>SQRT(IRS_returns_2015_25[[#This Row],[  σ2]])</f>
        <v>2.695362190600723</v>
      </c>
    </row>
    <row r="1089" spans="1:6" x14ac:dyDescent="0.3">
      <c r="A1089" s="2">
        <v>43619</v>
      </c>
      <c r="B1089" s="1">
        <v>-3.501450744880108</v>
      </c>
      <c r="C1089" s="1">
        <f>IRS_returns_2015_25[[#This Row],[IRSrtn]]-AVERAGE($B$2:$B$2600)</f>
        <v>-3.5072272389467236</v>
      </c>
      <c r="D1089" s="1">
        <f>w+a*C1088^2+b*D1088</f>
        <v>7.7706229476976398</v>
      </c>
      <c r="E1089" s="1">
        <f t="shared" si="16"/>
        <v>-2.7355974070567082</v>
      </c>
      <c r="F1089" s="7">
        <f>SQRT(IRS_returns_2015_25[[#This Row],[  σ2]])</f>
        <v>2.7875837113345385</v>
      </c>
    </row>
    <row r="1090" spans="1:6" x14ac:dyDescent="0.3">
      <c r="A1090" s="2">
        <v>43620</v>
      </c>
      <c r="B1090" s="1">
        <v>2.6375009805163163</v>
      </c>
      <c r="C1090" s="1">
        <f>IRS_returns_2015_25[[#This Row],[IRSrtn]]-AVERAGE($B$2:$B$2600)</f>
        <v>2.6317244864497007</v>
      </c>
      <c r="D1090" s="1">
        <f>w+a*C1089^2+b*D1089</f>
        <v>9.5153468234811509</v>
      </c>
      <c r="E1090" s="1">
        <f t="shared" ref="E1090:E1153" si="17">-0.5*(LN(2*PI())+LN(D1090)+C1090^2/D1090)</f>
        <v>-2.4093285198339505</v>
      </c>
      <c r="F1090" s="7">
        <f>SQRT(IRS_returns_2015_25[[#This Row],[  σ2]])</f>
        <v>3.0846955803581575</v>
      </c>
    </row>
    <row r="1091" spans="1:6" x14ac:dyDescent="0.3">
      <c r="A1091" s="2">
        <v>43621</v>
      </c>
      <c r="B1091" s="1">
        <v>-5.1178975560443263</v>
      </c>
      <c r="C1091" s="1">
        <f>IRS_returns_2015_25[[#This Row],[IRSrtn]]-AVERAGE($B$2:$B$2600)</f>
        <v>-5.1236740501109423</v>
      </c>
      <c r="D1091" s="1">
        <f>w+a*C1090^2+b*D1090</f>
        <v>9.3673017763480431</v>
      </c>
      <c r="E1091" s="1">
        <f t="shared" si="17"/>
        <v>-3.4388102884292624</v>
      </c>
      <c r="F1091" s="7">
        <f>SQRT(IRS_returns_2015_25[[#This Row],[  σ2]])</f>
        <v>3.0606048056467601</v>
      </c>
    </row>
    <row r="1092" spans="1:6" x14ac:dyDescent="0.3">
      <c r="A1092" s="2">
        <v>43622</v>
      </c>
      <c r="B1092" s="1">
        <v>-1.8433859744039438</v>
      </c>
      <c r="C1092" s="1">
        <f>IRS_returns_2015_25[[#This Row],[IRSrtn]]-AVERAGE($B$2:$B$2600)</f>
        <v>-1.8491624684705597</v>
      </c>
      <c r="D1092" s="1">
        <f>w+a*C1091^2+b*D1091</f>
        <v>13.977536251119652</v>
      </c>
      <c r="E1092" s="1">
        <f t="shared" si="17"/>
        <v>-2.359982036417315</v>
      </c>
      <c r="F1092" s="7">
        <f>SQRT(IRS_returns_2015_25[[#This Row],[  σ2]])</f>
        <v>3.7386543369399172</v>
      </c>
    </row>
    <row r="1093" spans="1:6" x14ac:dyDescent="0.3">
      <c r="A1093" s="2">
        <v>43626</v>
      </c>
      <c r="B1093" s="1">
        <v>1.2709713073949525</v>
      </c>
      <c r="C1093" s="1">
        <f>IRS_returns_2015_25[[#This Row],[IRSrtn]]-AVERAGE($B$2:$B$2600)</f>
        <v>1.2651948133283366</v>
      </c>
      <c r="D1093" s="1">
        <f>w+a*C1092^2+b*D1092</f>
        <v>11.483480414592231</v>
      </c>
      <c r="E1093" s="1">
        <f t="shared" si="17"/>
        <v>-2.2090898408897477</v>
      </c>
      <c r="F1093" s="7">
        <f>SQRT(IRS_returns_2015_25[[#This Row],[  σ2]])</f>
        <v>3.3887284362415691</v>
      </c>
    </row>
    <row r="1094" spans="1:6" x14ac:dyDescent="0.3">
      <c r="A1094" s="2">
        <v>43627</v>
      </c>
      <c r="B1094" s="1">
        <v>3.2752732387085759</v>
      </c>
      <c r="C1094" s="1">
        <f>IRS_returns_2015_25[[#This Row],[IRSrtn]]-AVERAGE($B$2:$B$2600)</f>
        <v>3.2694967446419603</v>
      </c>
      <c r="D1094" s="1">
        <f>w+a*C1093^2+b*D1093</f>
        <v>9.3800238439283206</v>
      </c>
      <c r="E1094" s="1">
        <f t="shared" si="17"/>
        <v>-2.608036817391862</v>
      </c>
      <c r="F1094" s="7">
        <f>SQRT(IRS_returns_2015_25[[#This Row],[  σ2]])</f>
        <v>3.062682458879523</v>
      </c>
    </row>
    <row r="1095" spans="1:6" x14ac:dyDescent="0.3">
      <c r="A1095" s="2">
        <v>43628</v>
      </c>
      <c r="B1095" s="1">
        <v>9.4299699285687488</v>
      </c>
      <c r="C1095" s="1">
        <f>IRS_returns_2015_25[[#This Row],[IRSrtn]]-AVERAGE($B$2:$B$2600)</f>
        <v>9.4241934345021328</v>
      </c>
      <c r="D1095" s="1">
        <f>w+a*C1094^2+b*D1094</f>
        <v>10.194223851026912</v>
      </c>
      <c r="E1095" s="1">
        <f t="shared" si="17"/>
        <v>-6.4360131683627717</v>
      </c>
      <c r="F1095" s="7">
        <f>SQRT(IRS_returns_2015_25[[#This Row],[  σ2]])</f>
        <v>3.1928394652764664</v>
      </c>
    </row>
    <row r="1096" spans="1:6" x14ac:dyDescent="0.3">
      <c r="A1096" s="2">
        <v>43629</v>
      </c>
      <c r="B1096" s="1">
        <v>-1.4256779588548874</v>
      </c>
      <c r="C1096" s="1">
        <f>IRS_returns_2015_25[[#This Row],[IRSrtn]]-AVERAGE($B$2:$B$2600)</f>
        <v>-1.4314544529215032</v>
      </c>
      <c r="D1096" s="1">
        <f>w+a*C1095^2+b*D1095</f>
        <v>29.771586657055249</v>
      </c>
      <c r="E1096" s="1">
        <f t="shared" si="17"/>
        <v>-2.6501288127266585</v>
      </c>
      <c r="F1096" s="7">
        <f>SQRT(IRS_returns_2015_25[[#This Row],[  σ2]])</f>
        <v>5.4563345440923294</v>
      </c>
    </row>
    <row r="1097" spans="1:6" x14ac:dyDescent="0.3">
      <c r="A1097" s="2">
        <v>43630</v>
      </c>
      <c r="B1097" s="1">
        <v>-1.7590003396720011</v>
      </c>
      <c r="C1097" s="1">
        <f>IRS_returns_2015_25[[#This Row],[IRSrtn]]-AVERAGE($B$2:$B$2600)</f>
        <v>-1.7647768337386169</v>
      </c>
      <c r="D1097" s="1">
        <f>w+a*C1096^2+b*D1096</f>
        <v>21.663960720676947</v>
      </c>
      <c r="E1097" s="1">
        <f t="shared" si="17"/>
        <v>-2.5286441815415621</v>
      </c>
      <c r="F1097" s="7">
        <f>SQRT(IRS_returns_2015_25[[#This Row],[  σ2]])</f>
        <v>4.6544560069547272</v>
      </c>
    </row>
    <row r="1098" spans="1:6" x14ac:dyDescent="0.3">
      <c r="A1098" s="2">
        <v>43633</v>
      </c>
      <c r="B1098" s="1">
        <v>-0.8385629089783464</v>
      </c>
      <c r="C1098" s="1">
        <f>IRS_returns_2015_25[[#This Row],[IRSrtn]]-AVERAGE($B$2:$B$2600)</f>
        <v>-0.84433940304496224</v>
      </c>
      <c r="D1098" s="1">
        <f>w+a*C1097^2+b*D1097</f>
        <v>16.526157104688316</v>
      </c>
      <c r="E1098" s="1">
        <f t="shared" si="17"/>
        <v>-2.3429798463844396</v>
      </c>
      <c r="F1098" s="7">
        <f>SQRT(IRS_returns_2015_25[[#This Row],[  σ2]])</f>
        <v>4.0652376443067038</v>
      </c>
    </row>
    <row r="1099" spans="1:6" x14ac:dyDescent="0.3">
      <c r="A1099" s="2">
        <v>43634</v>
      </c>
      <c r="B1099" s="1">
        <v>1.6701873946237011</v>
      </c>
      <c r="C1099" s="1">
        <f>IRS_returns_2015_25[[#This Row],[IRSrtn]]-AVERAGE($B$2:$B$2600)</f>
        <v>1.6644109005570853</v>
      </c>
      <c r="D1099" s="1">
        <f>w+a*C1098^2+b*D1098</f>
        <v>12.520703566120206</v>
      </c>
      <c r="E1099" s="1">
        <f t="shared" si="17"/>
        <v>-2.2932576283802408</v>
      </c>
      <c r="F1099" s="7">
        <f>SQRT(IRS_returns_2015_25[[#This Row],[  σ2]])</f>
        <v>3.5384606209650271</v>
      </c>
    </row>
    <row r="1100" spans="1:6" x14ac:dyDescent="0.3">
      <c r="A1100" s="2">
        <v>43635</v>
      </c>
      <c r="B1100" s="1">
        <v>-2.4097474710250033</v>
      </c>
      <c r="C1100" s="1">
        <f>IRS_returns_2015_25[[#This Row],[IRSrtn]]-AVERAGE($B$2:$B$2600)</f>
        <v>-2.4155239650916189</v>
      </c>
      <c r="D1100" s="1">
        <f>w+a*C1099^2+b*D1099</f>
        <v>10.355480178058082</v>
      </c>
      <c r="E1100" s="1">
        <f t="shared" si="17"/>
        <v>-2.3694195692982496</v>
      </c>
      <c r="F1100" s="7">
        <f>SQRT(IRS_returns_2015_25[[#This Row],[  σ2]])</f>
        <v>3.2179931911143136</v>
      </c>
    </row>
    <row r="1101" spans="1:6" x14ac:dyDescent="0.3">
      <c r="A1101" s="2">
        <v>43636</v>
      </c>
      <c r="B1101" s="1">
        <v>1.1597500617486212</v>
      </c>
      <c r="C1101" s="1">
        <f>IRS_returns_2015_25[[#This Row],[IRSrtn]]-AVERAGE($B$2:$B$2600)</f>
        <v>1.1539735676820053</v>
      </c>
      <c r="D1101" s="1">
        <f>w+a*C1100^2+b*D1100</f>
        <v>9.6607176402826074</v>
      </c>
      <c r="E1101" s="1">
        <f t="shared" si="17"/>
        <v>-2.1218936227097047</v>
      </c>
      <c r="F1101" s="7">
        <f>SQRT(IRS_returns_2015_25[[#This Row],[  σ2]])</f>
        <v>3.1081694999279894</v>
      </c>
    </row>
    <row r="1102" spans="1:6" x14ac:dyDescent="0.3">
      <c r="A1102" s="2">
        <v>43637</v>
      </c>
      <c r="B1102" s="1">
        <v>-0.42018998534731899</v>
      </c>
      <c r="C1102" s="1">
        <f>IRS_returns_2015_25[[#This Row],[IRSrtn]]-AVERAGE($B$2:$B$2600)</f>
        <v>-0.42596647941393478</v>
      </c>
      <c r="D1102" s="1">
        <f>w+a*C1101^2+b*D1101</f>
        <v>8.1010230822235023</v>
      </c>
      <c r="E1102" s="1">
        <f t="shared" si="17"/>
        <v>-1.9761327581250359</v>
      </c>
      <c r="F1102" s="7">
        <f>SQRT(IRS_returns_2015_25[[#This Row],[  σ2]])</f>
        <v>2.846229625701957</v>
      </c>
    </row>
    <row r="1103" spans="1:6" x14ac:dyDescent="0.3">
      <c r="A1103" s="2">
        <v>43640</v>
      </c>
      <c r="B1103" s="1">
        <v>-1.0581990006556907</v>
      </c>
      <c r="C1103" s="1">
        <f>IRS_returns_2015_25[[#This Row],[IRSrtn]]-AVERAGE($B$2:$B$2600)</f>
        <v>-1.0639754947223066</v>
      </c>
      <c r="D1103" s="1">
        <f>w+a*C1102^2+b*D1102</f>
        <v>6.7824605428612719</v>
      </c>
      <c r="E1103" s="1">
        <f t="shared" si="17"/>
        <v>-1.9595622808389992</v>
      </c>
      <c r="F1103" s="7">
        <f>SQRT(IRS_returns_2015_25[[#This Row],[  σ2]])</f>
        <v>2.6043157532951478</v>
      </c>
    </row>
    <row r="1104" spans="1:6" x14ac:dyDescent="0.3">
      <c r="A1104" s="2">
        <v>43641</v>
      </c>
      <c r="B1104" s="1">
        <v>-1.2848190304862062</v>
      </c>
      <c r="C1104" s="1">
        <f>IRS_returns_2015_25[[#This Row],[IRSrtn]]-AVERAGE($B$2:$B$2600)</f>
        <v>-1.290595524552822</v>
      </c>
      <c r="D1104" s="1">
        <f>w+a*C1103^2+b*D1103</f>
        <v>6.1362840187530558</v>
      </c>
      <c r="E1104" s="1">
        <f t="shared" si="17"/>
        <v>-1.9617685240006908</v>
      </c>
      <c r="F1104" s="7">
        <f>SQRT(IRS_returns_2015_25[[#This Row],[  σ2]])</f>
        <v>2.4771524011963932</v>
      </c>
    </row>
    <row r="1105" spans="1:6" x14ac:dyDescent="0.3">
      <c r="A1105" s="2">
        <v>43642</v>
      </c>
      <c r="B1105" s="1">
        <v>1.0718216090486177</v>
      </c>
      <c r="C1105" s="1">
        <f>IRS_returns_2015_25[[#This Row],[IRSrtn]]-AVERAGE($B$2:$B$2600)</f>
        <v>1.0660451149820018</v>
      </c>
      <c r="D1105" s="1">
        <f>w+a*C1104^2+b*D1104</f>
        <v>5.8361233068990028</v>
      </c>
      <c r="E1105" s="1">
        <f t="shared" si="17"/>
        <v>-1.8983355330415539</v>
      </c>
      <c r="F1105" s="7">
        <f>SQRT(IRS_returns_2015_25[[#This Row],[  σ2]])</f>
        <v>2.4158069680541536</v>
      </c>
    </row>
    <row r="1106" spans="1:6" x14ac:dyDescent="0.3">
      <c r="A1106" s="2">
        <v>43643</v>
      </c>
      <c r="B1106" s="1">
        <v>0.53163634569197704</v>
      </c>
      <c r="C1106" s="1">
        <f>IRS_returns_2015_25[[#This Row],[IRSrtn]]-AVERAGE($B$2:$B$2600)</f>
        <v>0.5258598516253612</v>
      </c>
      <c r="D1106" s="1">
        <f>w+a*C1105^2+b*D1105</f>
        <v>5.5073655938457104</v>
      </c>
      <c r="E1106" s="1">
        <f t="shared" si="17"/>
        <v>-1.7970870718972269</v>
      </c>
      <c r="F1106" s="7">
        <f>SQRT(IRS_returns_2015_25[[#This Row],[  σ2]])</f>
        <v>2.346777704395052</v>
      </c>
    </row>
    <row r="1107" spans="1:6" x14ac:dyDescent="0.3">
      <c r="A1107" s="2">
        <v>43644</v>
      </c>
      <c r="B1107" s="1">
        <v>3.6443241785523828</v>
      </c>
      <c r="C1107" s="1">
        <f>IRS_returns_2015_25[[#This Row],[IRSrtn]]-AVERAGE($B$2:$B$2600)</f>
        <v>3.6385476844857672</v>
      </c>
      <c r="D1107" s="1">
        <f>w+a*C1106^2+b*D1106</f>
        <v>5.0789859024653552</v>
      </c>
      <c r="E1107" s="1">
        <f t="shared" si="17"/>
        <v>-3.0348085763043913</v>
      </c>
      <c r="F1107" s="7">
        <f>SQRT(IRS_returns_2015_25[[#This Row],[  σ2]])</f>
        <v>2.2536605561764076</v>
      </c>
    </row>
    <row r="1108" spans="1:6" x14ac:dyDescent="0.3">
      <c r="A1108" s="2">
        <v>43647</v>
      </c>
      <c r="B1108" s="1">
        <v>1.1184771053541542</v>
      </c>
      <c r="C1108" s="1">
        <f>IRS_returns_2015_25[[#This Row],[IRSrtn]]-AVERAGE($B$2:$B$2600)</f>
        <v>1.1127006112875384</v>
      </c>
      <c r="D1108" s="1">
        <f>w+a*C1107^2+b*D1107</f>
        <v>7.9521166726348067</v>
      </c>
      <c r="E1108" s="1">
        <f t="shared" si="17"/>
        <v>-2.0335049683863553</v>
      </c>
      <c r="F1108" s="7">
        <f>SQRT(IRS_returns_2015_25[[#This Row],[  σ2]])</f>
        <v>2.8199497642041083</v>
      </c>
    </row>
    <row r="1109" spans="1:6" x14ac:dyDescent="0.3">
      <c r="A1109" s="2">
        <v>43648</v>
      </c>
      <c r="B1109" s="1">
        <v>-2.1462180155419119</v>
      </c>
      <c r="C1109" s="1">
        <f>IRS_returns_2015_25[[#This Row],[IRSrtn]]-AVERAGE($B$2:$B$2600)</f>
        <v>-2.1519945096085276</v>
      </c>
      <c r="D1109" s="1">
        <f>w+a*C1108^2+b*D1108</f>
        <v>6.9407848545447903</v>
      </c>
      <c r="E1109" s="1">
        <f t="shared" si="17"/>
        <v>-2.2212595575866061</v>
      </c>
      <c r="F1109" s="7">
        <f>SQRT(IRS_returns_2015_25[[#This Row],[  σ2]])</f>
        <v>2.634536933608028</v>
      </c>
    </row>
    <row r="1110" spans="1:6" x14ac:dyDescent="0.3">
      <c r="A1110" s="2">
        <v>43649</v>
      </c>
      <c r="B1110" s="1">
        <v>2.9518573209883936</v>
      </c>
      <c r="C1110" s="1">
        <f>IRS_returns_2015_25[[#This Row],[IRSrtn]]-AVERAGE($B$2:$B$2600)</f>
        <v>2.946080826921778</v>
      </c>
      <c r="D1110" s="1">
        <f>w+a*C1109^2+b*D1109</f>
        <v>7.0942225971446664</v>
      </c>
      <c r="E1110" s="1">
        <f t="shared" si="17"/>
        <v>-2.5103014759004862</v>
      </c>
      <c r="F1110" s="7">
        <f>SQRT(IRS_returns_2015_25[[#This Row],[  σ2]])</f>
        <v>2.6634981879371846</v>
      </c>
    </row>
    <row r="1111" spans="1:6" x14ac:dyDescent="0.3">
      <c r="A1111" s="2">
        <v>43651</v>
      </c>
      <c r="B1111" s="1">
        <v>1.4933164038007263</v>
      </c>
      <c r="C1111" s="1">
        <f>IRS_returns_2015_25[[#This Row],[IRSrtn]]-AVERAGE($B$2:$B$2600)</f>
        <v>1.4875399097341104</v>
      </c>
      <c r="D1111" s="1">
        <f>w+a*C1110^2+b*D1110</f>
        <v>8.1827389176521024</v>
      </c>
      <c r="E1111" s="1">
        <f t="shared" si="17"/>
        <v>-2.1051619180831631</v>
      </c>
      <c r="F1111" s="7">
        <f>SQRT(IRS_returns_2015_25[[#This Row],[  σ2]])</f>
        <v>2.8605487091906165</v>
      </c>
    </row>
    <row r="1112" spans="1:6" x14ac:dyDescent="0.3">
      <c r="A1112" s="2">
        <v>43654</v>
      </c>
      <c r="B1112" s="1">
        <v>1.4713331981803801</v>
      </c>
      <c r="C1112" s="1">
        <f>IRS_returns_2015_25[[#This Row],[IRSrtn]]-AVERAGE($B$2:$B$2600)</f>
        <v>1.4655567041137643</v>
      </c>
      <c r="D1112" s="1">
        <f>w+a*C1111^2+b*D1111</f>
        <v>7.3317926259853321</v>
      </c>
      <c r="E1112" s="1">
        <f t="shared" si="17"/>
        <v>-2.0615240884323378</v>
      </c>
      <c r="F1112" s="7">
        <f>SQRT(IRS_returns_2015_25[[#This Row],[  σ2]])</f>
        <v>2.7077283146551707</v>
      </c>
    </row>
    <row r="1113" spans="1:6" x14ac:dyDescent="0.3">
      <c r="A1113" s="2">
        <v>43655</v>
      </c>
      <c r="B1113" s="1">
        <v>1.3539782643018583</v>
      </c>
      <c r="C1113" s="1">
        <f>IRS_returns_2015_25[[#This Row],[IRSrtn]]-AVERAGE($B$2:$B$2600)</f>
        <v>1.3482017702352425</v>
      </c>
      <c r="D1113" s="1">
        <f>w+a*C1112^2+b*D1112</f>
        <v>6.7494860726410284</v>
      </c>
      <c r="E1113" s="1">
        <f t="shared" si="17"/>
        <v>-2.0083225610430246</v>
      </c>
      <c r="F1113" s="7">
        <f>SQRT(IRS_returns_2015_25[[#This Row],[  σ2]])</f>
        <v>2.5979773041042966</v>
      </c>
    </row>
    <row r="1114" spans="1:6" x14ac:dyDescent="0.3">
      <c r="A1114" s="2">
        <v>43656</v>
      </c>
      <c r="B1114" s="1">
        <v>0.47916032444823564</v>
      </c>
      <c r="C1114" s="1">
        <f>IRS_returns_2015_25[[#This Row],[IRSrtn]]-AVERAGE($B$2:$B$2600)</f>
        <v>0.47338383038161985</v>
      </c>
      <c r="D1114" s="1">
        <f>w+a*C1113^2+b*D1113</f>
        <v>6.2813796578278129</v>
      </c>
      <c r="E1114" s="1">
        <f t="shared" si="17"/>
        <v>-1.8555711776636152</v>
      </c>
      <c r="F1114" s="7">
        <f>SQRT(IRS_returns_2015_25[[#This Row],[  σ2]])</f>
        <v>2.5062680738156908</v>
      </c>
    </row>
    <row r="1115" spans="1:6" x14ac:dyDescent="0.3">
      <c r="A1115" s="2">
        <v>43657</v>
      </c>
      <c r="B1115" s="1">
        <v>0.47687532275353384</v>
      </c>
      <c r="C1115" s="1">
        <f>IRS_returns_2015_25[[#This Row],[IRSrtn]]-AVERAGE($B$2:$B$2600)</f>
        <v>0.47109882868691805</v>
      </c>
      <c r="D1115" s="1">
        <f>w+a*C1114^2+b*D1114</f>
        <v>5.5814839008726302</v>
      </c>
      <c r="E1115" s="1">
        <f t="shared" si="17"/>
        <v>-1.7985471513553277</v>
      </c>
      <c r="F1115" s="7">
        <f>SQRT(IRS_returns_2015_25[[#This Row],[  σ2]])</f>
        <v>2.3625164339899585</v>
      </c>
    </row>
    <row r="1116" spans="1:6" x14ac:dyDescent="0.3">
      <c r="A1116" s="2">
        <v>43658</v>
      </c>
      <c r="B1116" s="1">
        <v>9.5096347437317874E-2</v>
      </c>
      <c r="C1116" s="1">
        <f>IRS_returns_2015_25[[#This Row],[IRSrtn]]-AVERAGE($B$2:$B$2600)</f>
        <v>8.9319853370702085E-2</v>
      </c>
      <c r="D1116" s="1">
        <f>w+a*C1115^2+b*D1115</f>
        <v>5.1150257664809686</v>
      </c>
      <c r="E1116" s="1">
        <f t="shared" si="17"/>
        <v>-1.7358096143760273</v>
      </c>
      <c r="F1116" s="7">
        <f>SQRT(IRS_returns_2015_25[[#This Row],[  σ2]])</f>
        <v>2.2616422719963847</v>
      </c>
    </row>
    <row r="1117" spans="1:6" x14ac:dyDescent="0.3">
      <c r="A1117" s="2">
        <v>43661</v>
      </c>
      <c r="B1117" s="1">
        <v>-2.2105697254130252</v>
      </c>
      <c r="C1117" s="1">
        <f>IRS_returns_2015_25[[#This Row],[IRSrtn]]-AVERAGE($B$2:$B$2600)</f>
        <v>-2.2163462194796408</v>
      </c>
      <c r="D1117" s="1">
        <f>w+a*C1116^2+b*D1116</f>
        <v>4.7523664433277029</v>
      </c>
      <c r="E1117" s="1">
        <f t="shared" si="17"/>
        <v>-2.2150750938926014</v>
      </c>
      <c r="F1117" s="7">
        <f>SQRT(IRS_returns_2015_25[[#This Row],[  σ2]])</f>
        <v>2.1799923035019417</v>
      </c>
    </row>
    <row r="1118" spans="1:6" x14ac:dyDescent="0.3">
      <c r="A1118" s="2">
        <v>43662</v>
      </c>
      <c r="B1118" s="1">
        <v>-9.7222959247433849E-2</v>
      </c>
      <c r="C1118" s="1">
        <f>IRS_returns_2015_25[[#This Row],[IRSrtn]]-AVERAGE($B$2:$B$2600)</f>
        <v>-0.10299945331404964</v>
      </c>
      <c r="D1118" s="1">
        <f>w+a*C1117^2+b*D1117</f>
        <v>5.705848319111432</v>
      </c>
      <c r="E1118" s="1">
        <f t="shared" si="17"/>
        <v>-1.7906140183892085</v>
      </c>
      <c r="F1118" s="7">
        <f>SQRT(IRS_returns_2015_25[[#This Row],[  σ2]])</f>
        <v>2.3886917589156269</v>
      </c>
    </row>
    <row r="1119" spans="1:6" x14ac:dyDescent="0.3">
      <c r="A1119" s="2">
        <v>43663</v>
      </c>
      <c r="B1119" s="1">
        <v>0.67863852677652048</v>
      </c>
      <c r="C1119" s="1">
        <f>IRS_returns_2015_25[[#This Row],[IRSrtn]]-AVERAGE($B$2:$B$2600)</f>
        <v>0.67286203270990463</v>
      </c>
      <c r="D1119" s="1">
        <f>w+a*C1118^2+b*D1118</f>
        <v>5.146327897502891</v>
      </c>
      <c r="E1119" s="1">
        <f t="shared" si="17"/>
        <v>-1.7820672742820804</v>
      </c>
      <c r="F1119" s="7">
        <f>SQRT(IRS_returns_2015_25[[#This Row],[  σ2]])</f>
        <v>2.268551938462704</v>
      </c>
    </row>
    <row r="1120" spans="1:6" x14ac:dyDescent="0.3">
      <c r="A1120" s="2">
        <v>43664</v>
      </c>
      <c r="B1120" s="1">
        <v>-1.0685003831759854</v>
      </c>
      <c r="C1120" s="1">
        <f>IRS_returns_2015_25[[#This Row],[IRSrtn]]-AVERAGE($B$2:$B$2600)</f>
        <v>-1.0742768772426012</v>
      </c>
      <c r="D1120" s="1">
        <f>w+a*C1119^2+b*D1119</f>
        <v>4.8815717524534472</v>
      </c>
      <c r="E1120" s="1">
        <f t="shared" si="17"/>
        <v>-1.8298790452313283</v>
      </c>
      <c r="F1120" s="7">
        <f>SQRT(IRS_returns_2015_25[[#This Row],[  σ2]])</f>
        <v>2.2094279242494985</v>
      </c>
    </row>
    <row r="1121" spans="1:6" x14ac:dyDescent="0.3">
      <c r="A1121" s="2">
        <v>43665</v>
      </c>
      <c r="B1121" s="1">
        <v>1.0685003831759854</v>
      </c>
      <c r="C1121" s="1">
        <f>IRS_returns_2015_25[[#This Row],[IRSrtn]]-AVERAGE($B$2:$B$2600)</f>
        <v>1.0627238891093695</v>
      </c>
      <c r="D1121" s="1">
        <f>w+a*C1120^2+b*D1120</f>
        <v>4.8761974434502839</v>
      </c>
      <c r="E1121" s="1">
        <f t="shared" si="17"/>
        <v>-1.8269269976910891</v>
      </c>
      <c r="F1121" s="7">
        <f>SQRT(IRS_returns_2015_25[[#This Row],[  σ2]])</f>
        <v>2.2082113674760131</v>
      </c>
    </row>
    <row r="1122" spans="1:6" x14ac:dyDescent="0.3">
      <c r="A1122" s="2">
        <v>43668</v>
      </c>
      <c r="B1122" s="1">
        <v>-3.4401508426027849</v>
      </c>
      <c r="C1122" s="1">
        <f>IRS_returns_2015_25[[#This Row],[IRSrtn]]-AVERAGE($B$2:$B$2600)</f>
        <v>-3.4459273366694005</v>
      </c>
      <c r="D1122" s="1">
        <f>w+a*C1121^2+b*D1121</f>
        <v>4.8666042692375093</v>
      </c>
      <c r="E1122" s="1">
        <f t="shared" si="17"/>
        <v>-2.9301265498268849</v>
      </c>
      <c r="F1122" s="7">
        <f>SQRT(IRS_returns_2015_25[[#This Row],[  σ2]])</f>
        <v>2.2060381386634069</v>
      </c>
    </row>
    <row r="1123" spans="1:6" x14ac:dyDescent="0.3">
      <c r="A1123" s="2">
        <v>43669</v>
      </c>
      <c r="B1123" s="1">
        <v>0.69756305325530121</v>
      </c>
      <c r="C1123" s="1">
        <f>IRS_returns_2015_25[[#This Row],[IRSrtn]]-AVERAGE($B$2:$B$2600)</f>
        <v>0.69178655918868537</v>
      </c>
      <c r="D1123" s="1">
        <f>w+a*C1122^2+b*D1122</f>
        <v>7.4782427738609485</v>
      </c>
      <c r="E1123" s="1">
        <f t="shared" si="17"/>
        <v>-1.9569348532773914</v>
      </c>
      <c r="F1123" s="7">
        <f>SQRT(IRS_returns_2015_25[[#This Row],[  σ2]])</f>
        <v>2.7346375946112036</v>
      </c>
    </row>
    <row r="1124" spans="1:6" x14ac:dyDescent="0.3">
      <c r="A1124" s="2">
        <v>43670</v>
      </c>
      <c r="B1124" s="1">
        <v>-0.69756305325530121</v>
      </c>
      <c r="C1124" s="1">
        <f>IRS_returns_2015_25[[#This Row],[IRSrtn]]-AVERAGE($B$2:$B$2600)</f>
        <v>-0.70333954732191706</v>
      </c>
      <c r="D1124" s="1">
        <f>w+a*C1123^2+b*D1123</f>
        <v>6.4402587949872601</v>
      </c>
      <c r="E1124" s="1">
        <f t="shared" si="17"/>
        <v>-1.8886286906975867</v>
      </c>
      <c r="F1124" s="7">
        <f>SQRT(IRS_returns_2015_25[[#This Row],[  σ2]])</f>
        <v>2.537766497333287</v>
      </c>
    </row>
    <row r="1125" spans="1:6" x14ac:dyDescent="0.3">
      <c r="A1125" s="2">
        <v>43671</v>
      </c>
      <c r="B1125" s="1">
        <v>-0.40079987553696128</v>
      </c>
      <c r="C1125" s="1">
        <f>IRS_returns_2015_25[[#This Row],[IRSrtn]]-AVERAGE($B$2:$B$2600)</f>
        <v>-0.40657636960357707</v>
      </c>
      <c r="D1125" s="1">
        <f>w+a*C1124^2+b*D1124</f>
        <v>5.7531826286918868</v>
      </c>
      <c r="E1125" s="1">
        <f t="shared" si="17"/>
        <v>-1.808181473400404</v>
      </c>
      <c r="F1125" s="7">
        <f>SQRT(IRS_returns_2015_25[[#This Row],[  σ2]])</f>
        <v>2.3985792938095432</v>
      </c>
    </row>
    <row r="1126" spans="1:6" x14ac:dyDescent="0.3">
      <c r="A1126" s="2">
        <v>43672</v>
      </c>
      <c r="B1126" s="1">
        <v>1.3958385429330367</v>
      </c>
      <c r="C1126" s="1">
        <f>IRS_returns_2015_25[[#This Row],[IRSrtn]]-AVERAGE($B$2:$B$2600)</f>
        <v>1.3900620488664208</v>
      </c>
      <c r="D1126" s="1">
        <f>w+a*C1125^2+b*D1125</f>
        <v>5.2155306508137489</v>
      </c>
      <c r="E1126" s="1">
        <f t="shared" si="17"/>
        <v>-1.9300011287917962</v>
      </c>
      <c r="F1126" s="7">
        <f>SQRT(IRS_returns_2015_25[[#This Row],[  σ2]])</f>
        <v>2.2837536318118357</v>
      </c>
    </row>
    <row r="1127" spans="1:6" x14ac:dyDescent="0.3">
      <c r="A1127" s="2">
        <v>43675</v>
      </c>
      <c r="B1127" s="1">
        <v>2.7345408932742288</v>
      </c>
      <c r="C1127" s="1">
        <f>IRS_returns_2015_25[[#This Row],[IRSrtn]]-AVERAGE($B$2:$B$2600)</f>
        <v>2.7287643992076132</v>
      </c>
      <c r="D1127" s="1">
        <f>w+a*C1126^2+b*D1126</f>
        <v>5.2881281256374253</v>
      </c>
      <c r="E1127" s="1">
        <f t="shared" si="17"/>
        <v>-2.455715208738535</v>
      </c>
      <c r="F1127" s="7">
        <f>SQRT(IRS_returns_2015_25[[#This Row],[  σ2]])</f>
        <v>2.2995930347862479</v>
      </c>
    </row>
    <row r="1128" spans="1:6" x14ac:dyDescent="0.3">
      <c r="A1128" s="2">
        <v>43676</v>
      </c>
      <c r="B1128" s="1">
        <v>0.19249175465785306</v>
      </c>
      <c r="C1128" s="1">
        <f>IRS_returns_2015_25[[#This Row],[IRSrtn]]-AVERAGE($B$2:$B$2600)</f>
        <v>0.18671526059123728</v>
      </c>
      <c r="D1128" s="1">
        <f>w+a*C1127^2+b*D1127</f>
        <v>6.6799137097573356</v>
      </c>
      <c r="E1128" s="1">
        <f t="shared" si="17"/>
        <v>-1.8711005769855338</v>
      </c>
      <c r="F1128" s="7">
        <f>SQRT(IRS_returns_2015_25[[#This Row],[  σ2]])</f>
        <v>2.584552903261478</v>
      </c>
    </row>
    <row r="1129" spans="1:6" x14ac:dyDescent="0.3">
      <c r="A1129" s="2">
        <v>43677</v>
      </c>
      <c r="B1129" s="1">
        <v>-0.96619656486338634</v>
      </c>
      <c r="C1129" s="1">
        <f>IRS_returns_2015_25[[#This Row],[IRSrtn]]-AVERAGE($B$2:$B$2600)</f>
        <v>-0.97197305893000219</v>
      </c>
      <c r="D1129" s="1">
        <f>w+a*C1128^2+b*D1128</f>
        <v>5.8006889166031828</v>
      </c>
      <c r="E1129" s="1">
        <f t="shared" si="17"/>
        <v>-1.8793595870056048</v>
      </c>
      <c r="F1129" s="7">
        <f>SQRT(IRS_returns_2015_25[[#This Row],[  σ2]])</f>
        <v>2.408461940036251</v>
      </c>
    </row>
    <row r="1130" spans="1:6" x14ac:dyDescent="0.3">
      <c r="A1130" s="2">
        <v>43678</v>
      </c>
      <c r="B1130" s="1">
        <v>0.38760612966775021</v>
      </c>
      <c r="C1130" s="1">
        <f>IRS_returns_2015_25[[#This Row],[IRSrtn]]-AVERAGE($B$2:$B$2600)</f>
        <v>0.38182963560113442</v>
      </c>
      <c r="D1130" s="1">
        <f>w+a*C1129^2+b*D1129</f>
        <v>5.4370636579170544</v>
      </c>
      <c r="E1130" s="1">
        <f t="shared" si="17"/>
        <v>-1.7789655152249726</v>
      </c>
      <c r="F1130" s="7">
        <f>SQRT(IRS_returns_2015_25[[#This Row],[  σ2]])</f>
        <v>2.3317511998318032</v>
      </c>
    </row>
    <row r="1131" spans="1:6" x14ac:dyDescent="0.3">
      <c r="A1131" s="2">
        <v>43679</v>
      </c>
      <c r="B1131" s="1">
        <v>-0.58196856430625665</v>
      </c>
      <c r="C1131" s="1">
        <f>IRS_returns_2015_25[[#This Row],[IRSrtn]]-AVERAGE($B$2:$B$2600)</f>
        <v>-0.5877450583728725</v>
      </c>
      <c r="D1131" s="1">
        <f>w+a*C1130^2+b*D1130</f>
        <v>5.0003312461660059</v>
      </c>
      <c r="E1131" s="1">
        <f t="shared" si="17"/>
        <v>-1.7582327499152171</v>
      </c>
      <c r="F1131" s="7">
        <f>SQRT(IRS_returns_2015_25[[#This Row],[  σ2]])</f>
        <v>2.2361420451675258</v>
      </c>
    </row>
    <row r="1132" spans="1:6" x14ac:dyDescent="0.3">
      <c r="A1132" s="2">
        <v>43682</v>
      </c>
      <c r="B1132" s="1">
        <v>-1.2726538437419777</v>
      </c>
      <c r="C1132" s="1">
        <f>IRS_returns_2015_25[[#This Row],[IRSrtn]]-AVERAGE($B$2:$B$2600)</f>
        <v>-1.2784303378085935</v>
      </c>
      <c r="D1132" s="1">
        <f>w+a*C1131^2+b*D1131</f>
        <v>4.7582359500669025</v>
      </c>
      <c r="E1132" s="1">
        <f t="shared" si="17"/>
        <v>-1.8706196863356073</v>
      </c>
      <c r="F1132" s="7">
        <f>SQRT(IRS_returns_2015_25[[#This Row],[  σ2]])</f>
        <v>2.181338109983618</v>
      </c>
    </row>
    <row r="1133" spans="1:6" x14ac:dyDescent="0.3">
      <c r="A1133" s="2">
        <v>43683</v>
      </c>
      <c r="B1133" s="1">
        <v>-3.8157252054570101</v>
      </c>
      <c r="C1133" s="1">
        <f>IRS_returns_2015_25[[#This Row],[IRSrtn]]-AVERAGE($B$2:$B$2600)</f>
        <v>-3.8215016995236257</v>
      </c>
      <c r="D1133" s="1">
        <f>w+a*C1132^2+b*D1132</f>
        <v>4.9111189677114995</v>
      </c>
      <c r="E1133" s="1">
        <f t="shared" si="17"/>
        <v>-3.2015069377271184</v>
      </c>
      <c r="F1133" s="7">
        <f>SQRT(IRS_returns_2015_25[[#This Row],[  σ2]])</f>
        <v>2.2161044577617499</v>
      </c>
    </row>
    <row r="1134" spans="1:6" x14ac:dyDescent="0.3">
      <c r="A1134" s="2">
        <v>43684</v>
      </c>
      <c r="B1134" s="1">
        <v>-2.4871844061063797</v>
      </c>
      <c r="C1134" s="1">
        <f>IRS_returns_2015_25[[#This Row],[IRSrtn]]-AVERAGE($B$2:$B$2600)</f>
        <v>-2.4929609001729953</v>
      </c>
      <c r="D1134" s="1">
        <f>w+a*C1133^2+b*D1133</f>
        <v>8.1729092577132469</v>
      </c>
      <c r="E1134" s="1">
        <f t="shared" si="17"/>
        <v>-2.3495616368572021</v>
      </c>
      <c r="F1134" s="7">
        <f>SQRT(IRS_returns_2015_25[[#This Row],[  σ2]])</f>
        <v>2.85883005051249</v>
      </c>
    </row>
    <row r="1135" spans="1:6" x14ac:dyDescent="0.3">
      <c r="A1135" s="2">
        <v>43685</v>
      </c>
      <c r="B1135" s="1">
        <v>-1.3734832345636327</v>
      </c>
      <c r="C1135" s="1">
        <f>IRS_returns_2015_25[[#This Row],[IRSrtn]]-AVERAGE($B$2:$B$2600)</f>
        <v>-1.3792597286302486</v>
      </c>
      <c r="D1135" s="1">
        <f>w+a*C1134^2+b*D1134</f>
        <v>8.3003544962120586</v>
      </c>
      <c r="E1135" s="1">
        <f t="shared" si="17"/>
        <v>-2.0916825942633284</v>
      </c>
      <c r="F1135" s="7">
        <f>SQRT(IRS_returns_2015_25[[#This Row],[  σ2]])</f>
        <v>2.8810335812364385</v>
      </c>
    </row>
    <row r="1136" spans="1:6" x14ac:dyDescent="0.3">
      <c r="A1136" s="2">
        <v>43686</v>
      </c>
      <c r="B1136" s="1">
        <v>7.7748715093175047</v>
      </c>
      <c r="C1136" s="1">
        <f>IRS_returns_2015_25[[#This Row],[IRSrtn]]-AVERAGE($B$2:$B$2600)</f>
        <v>7.7690950152508886</v>
      </c>
      <c r="D1136" s="1">
        <f>w+a*C1135^2+b*D1135</f>
        <v>7.3344581098145714</v>
      </c>
      <c r="E1136" s="1">
        <f t="shared" si="17"/>
        <v>-6.0299744595028528</v>
      </c>
      <c r="F1136" s="7">
        <f>SQRT(IRS_returns_2015_25[[#This Row],[  σ2]])</f>
        <v>2.7082204692038223</v>
      </c>
    </row>
    <row r="1137" spans="1:6" x14ac:dyDescent="0.3">
      <c r="A1137" s="2">
        <v>43689</v>
      </c>
      <c r="B1137" s="1">
        <v>-46.685905671767067</v>
      </c>
      <c r="C1137" s="1">
        <f>IRS_returns_2015_25[[#This Row],[IRSrtn]]-AVERAGE($B$2:$B$2600)</f>
        <v>-46.691682165833683</v>
      </c>
      <c r="D1137" s="1">
        <f>w+a*C1136^2+b*D1136</f>
        <v>20.934352565565586</v>
      </c>
      <c r="E1137" s="1">
        <f t="shared" si="17"/>
        <v>-54.509866120640297</v>
      </c>
      <c r="F1137" s="7">
        <f>SQRT(IRS_returns_2015_25[[#This Row],[  σ2]])</f>
        <v>4.5754073660785206</v>
      </c>
    </row>
    <row r="1138" spans="1:6" x14ac:dyDescent="0.3">
      <c r="A1138" s="2">
        <v>43690</v>
      </c>
      <c r="B1138" s="1">
        <v>5.0508118767797816</v>
      </c>
      <c r="C1138" s="1">
        <f>IRS_returns_2015_25[[#This Row],[IRSrtn]]-AVERAGE($B$2:$B$2600)</f>
        <v>5.0450353827131655</v>
      </c>
      <c r="D1138" s="1">
        <f>w+a*C1137^2+b*D1137</f>
        <v>546.46568584506167</v>
      </c>
      <c r="E1138" s="1">
        <f t="shared" si="17"/>
        <v>-4.0939624711016895</v>
      </c>
      <c r="F1138" s="7">
        <f>SQRT(IRS_returns_2015_25[[#This Row],[  σ2]])</f>
        <v>23.376605524435359</v>
      </c>
    </row>
    <row r="1139" spans="1:6" x14ac:dyDescent="0.3">
      <c r="A1139" s="2">
        <v>43691</v>
      </c>
      <c r="B1139" s="1">
        <v>-1.5037962787274761</v>
      </c>
      <c r="C1139" s="1">
        <f>IRS_returns_2015_25[[#This Row],[IRSrtn]]-AVERAGE($B$2:$B$2600)</f>
        <v>-1.509572772794092</v>
      </c>
      <c r="D1139" s="1">
        <f>w+a*C1138^2+b*D1138</f>
        <v>371.33807177105916</v>
      </c>
      <c r="E1139" s="1">
        <f t="shared" si="17"/>
        <v>-3.8805633557819621</v>
      </c>
      <c r="F1139" s="7">
        <f>SQRT(IRS_returns_2015_25[[#This Row],[  σ2]])</f>
        <v>19.270134191828017</v>
      </c>
    </row>
    <row r="1140" spans="1:6" x14ac:dyDescent="0.3">
      <c r="A1140" s="2">
        <v>43692</v>
      </c>
      <c r="B1140" s="1">
        <v>9.6686751200844903</v>
      </c>
      <c r="C1140" s="1">
        <f>IRS_returns_2015_25[[#This Row],[IRSrtn]]-AVERAGE($B$2:$B$2600)</f>
        <v>9.6628986260178742</v>
      </c>
      <c r="D1140" s="1">
        <f>w+a*C1139^2+b*D1139</f>
        <v>249.10645664489977</v>
      </c>
      <c r="E1140" s="1">
        <f t="shared" si="17"/>
        <v>-3.8652917706307539</v>
      </c>
      <c r="F1140" s="7">
        <f>SQRT(IRS_returns_2015_25[[#This Row],[  σ2]])</f>
        <v>15.783106685469111</v>
      </c>
    </row>
    <row r="1141" spans="1:6" x14ac:dyDescent="0.3">
      <c r="A1141" s="2">
        <v>43693</v>
      </c>
      <c r="B1141" s="1">
        <v>0.82191780134435177</v>
      </c>
      <c r="C1141" s="1">
        <f>IRS_returns_2015_25[[#This Row],[IRSrtn]]-AVERAGE($B$2:$B$2600)</f>
        <v>0.81614130727773593</v>
      </c>
      <c r="D1141" s="1">
        <f>w+a*C1140^2+b*D1140</f>
        <v>189.9295671895328</v>
      </c>
      <c r="E1141" s="1">
        <f t="shared" si="17"/>
        <v>-3.5440186950067076</v>
      </c>
      <c r="F1141" s="7">
        <f>SQRT(IRS_returns_2015_25[[#This Row],[  σ2]])</f>
        <v>13.781493648713582</v>
      </c>
    </row>
    <row r="1142" spans="1:6" x14ac:dyDescent="0.3">
      <c r="A1142" s="2">
        <v>43696</v>
      </c>
      <c r="B1142" s="1">
        <v>-7.5052880641873099</v>
      </c>
      <c r="C1142" s="1">
        <f>IRS_returns_2015_25[[#This Row],[IRSrtn]]-AVERAGE($B$2:$B$2600)</f>
        <v>-7.5110645582539259</v>
      </c>
      <c r="D1142" s="1">
        <f>w+a*C1141^2+b*D1141</f>
        <v>127.94684354133385</v>
      </c>
      <c r="E1142" s="1">
        <f t="shared" si="17"/>
        <v>-3.5652128908656904</v>
      </c>
      <c r="F1142" s="7">
        <f>SQRT(IRS_returns_2015_25[[#This Row],[  σ2]])</f>
        <v>11.311359049262553</v>
      </c>
    </row>
    <row r="1143" spans="1:6" x14ac:dyDescent="0.3">
      <c r="A1143" s="2">
        <v>43697</v>
      </c>
      <c r="B1143" s="1">
        <v>-2.8338881554320849</v>
      </c>
      <c r="C1143" s="1">
        <f>IRS_returns_2015_25[[#This Row],[IRSrtn]]-AVERAGE($B$2:$B$2600)</f>
        <v>-2.8396646494987006</v>
      </c>
      <c r="D1143" s="1">
        <f>w+a*C1142^2+b*D1142</f>
        <v>100.26738409406273</v>
      </c>
      <c r="E1143" s="1">
        <f t="shared" si="17"/>
        <v>-3.2630697213922781</v>
      </c>
      <c r="F1143" s="7">
        <f>SQRT(IRS_returns_2015_25[[#This Row],[  σ2]])</f>
        <v>10.013360279849254</v>
      </c>
    </row>
    <row r="1144" spans="1:6" x14ac:dyDescent="0.3">
      <c r="A1144" s="2">
        <v>43698</v>
      </c>
      <c r="B1144" s="1">
        <v>0.75357031326623858</v>
      </c>
      <c r="C1144" s="1">
        <f>IRS_returns_2015_25[[#This Row],[IRSrtn]]-AVERAGE($B$2:$B$2600)</f>
        <v>0.74779381919962273</v>
      </c>
      <c r="D1144" s="1">
        <f>w+a*C1143^2+b*D1143</f>
        <v>70.059655347823039</v>
      </c>
      <c r="E1144" s="1">
        <f t="shared" si="17"/>
        <v>-3.0476029355657985</v>
      </c>
      <c r="F1144" s="7">
        <f>SQRT(IRS_returns_2015_25[[#This Row],[  σ2]])</f>
        <v>8.370164595025777</v>
      </c>
    </row>
    <row r="1145" spans="1:6" x14ac:dyDescent="0.3">
      <c r="A1145" s="2">
        <v>43699</v>
      </c>
      <c r="B1145" s="1">
        <v>-0.15026214828679496</v>
      </c>
      <c r="C1145" s="1">
        <f>IRS_returns_2015_25[[#This Row],[IRSrtn]]-AVERAGE($B$2:$B$2600)</f>
        <v>-0.15603864235341075</v>
      </c>
      <c r="D1145" s="1">
        <f>w+a*C1144^2+b*D1144</f>
        <v>48.121395827190319</v>
      </c>
      <c r="E1145" s="1">
        <f t="shared" si="17"/>
        <v>-2.856054967937097</v>
      </c>
      <c r="F1145" s="7">
        <f>SQRT(IRS_returns_2015_25[[#This Row],[  σ2]])</f>
        <v>6.9369586871474391</v>
      </c>
    </row>
    <row r="1146" spans="1:6" x14ac:dyDescent="0.3">
      <c r="A1146" s="2">
        <v>43700</v>
      </c>
      <c r="B1146" s="1">
        <v>-6.6847014296231633</v>
      </c>
      <c r="C1146" s="1">
        <f>IRS_returns_2015_25[[#This Row],[IRSrtn]]-AVERAGE($B$2:$B$2600)</f>
        <v>-6.6904779236897793</v>
      </c>
      <c r="D1146" s="1">
        <f>w+a*C1145^2+b*D1145</f>
        <v>33.386414324103448</v>
      </c>
      <c r="E1146" s="1">
        <f t="shared" si="17"/>
        <v>-3.3433829691876475</v>
      </c>
      <c r="F1146" s="7">
        <f>SQRT(IRS_returns_2015_25[[#This Row],[  σ2]])</f>
        <v>5.7780978119190269</v>
      </c>
    </row>
    <row r="1147" spans="1:6" x14ac:dyDescent="0.3">
      <c r="A1147" s="2">
        <v>43703</v>
      </c>
      <c r="B1147" s="1">
        <v>-4.2699184470155638</v>
      </c>
      <c r="C1147" s="1">
        <f>IRS_returns_2015_25[[#This Row],[IRSrtn]]-AVERAGE($B$2:$B$2600)</f>
        <v>-4.2756949410821798</v>
      </c>
      <c r="D1147" s="1">
        <f>w+a*C1146^2+b*D1146</f>
        <v>34.477529986594512</v>
      </c>
      <c r="E1147" s="1">
        <f t="shared" si="17"/>
        <v>-2.9542153622752028</v>
      </c>
      <c r="F1147" s="7">
        <f>SQRT(IRS_returns_2015_25[[#This Row],[  σ2]])</f>
        <v>5.8717569761183501</v>
      </c>
    </row>
    <row r="1148" spans="1:6" x14ac:dyDescent="0.3">
      <c r="A1148" s="2">
        <v>43704</v>
      </c>
      <c r="B1148" s="1">
        <v>-15.779299340080911</v>
      </c>
      <c r="C1148" s="1">
        <f>IRS_returns_2015_25[[#This Row],[IRSrtn]]-AVERAGE($B$2:$B$2600)</f>
        <v>-15.785075834147527</v>
      </c>
      <c r="D1148" s="1">
        <f>w+a*C1147^2+b*D1147</f>
        <v>28.751832028800901</v>
      </c>
      <c r="E1148" s="1">
        <f t="shared" si="17"/>
        <v>-6.9313804492536981</v>
      </c>
      <c r="F1148" s="7">
        <f>SQRT(IRS_returns_2015_25[[#This Row],[  σ2]])</f>
        <v>5.3620734822268989</v>
      </c>
    </row>
    <row r="1149" spans="1:6" x14ac:dyDescent="0.3">
      <c r="A1149" s="2">
        <v>43705</v>
      </c>
      <c r="B1149" s="1">
        <v>4.2314204525994548</v>
      </c>
      <c r="C1149" s="1">
        <f>IRS_returns_2015_25[[#This Row],[IRSrtn]]-AVERAGE($B$2:$B$2600)</f>
        <v>4.2256439585328387</v>
      </c>
      <c r="D1149" s="1">
        <f>w+a*C1148^2+b*D1148</f>
        <v>81.195715996290346</v>
      </c>
      <c r="E1149" s="1">
        <f t="shared" si="17"/>
        <v>-3.227326728583694</v>
      </c>
      <c r="F1149" s="7">
        <f>SQRT(IRS_returns_2015_25[[#This Row],[  σ2]])</f>
        <v>9.0108665507980064</v>
      </c>
    </row>
    <row r="1150" spans="1:6" x14ac:dyDescent="0.3">
      <c r="A1150" s="2">
        <v>43706</v>
      </c>
      <c r="B1150" s="1">
        <v>-0.18850040782565358</v>
      </c>
      <c r="C1150" s="1">
        <f>IRS_returns_2015_25[[#This Row],[IRSrtn]]-AVERAGE($B$2:$B$2600)</f>
        <v>-0.19427690189226937</v>
      </c>
      <c r="D1150" s="1">
        <f>w+a*C1149^2+b*D1149</f>
        <v>59.749236206080376</v>
      </c>
      <c r="E1150" s="1">
        <f t="shared" si="17"/>
        <v>-2.9643325863368006</v>
      </c>
      <c r="F1150" s="7">
        <f>SQRT(IRS_returns_2015_25[[#This Row],[  σ2]])</f>
        <v>7.7297630109907232</v>
      </c>
    </row>
    <row r="1151" spans="1:6" x14ac:dyDescent="0.3">
      <c r="A1151" s="2">
        <v>43707</v>
      </c>
      <c r="B1151" s="1">
        <v>-5.8268908123975782</v>
      </c>
      <c r="C1151" s="1">
        <f>IRS_returns_2015_25[[#This Row],[IRSrtn]]-AVERAGE($B$2:$B$2600)</f>
        <v>-5.8326673064641943</v>
      </c>
      <c r="D1151" s="1">
        <f>w+a*C1150^2+b*D1150</f>
        <v>41.130525804111734</v>
      </c>
      <c r="E1151" s="1">
        <f t="shared" si="17"/>
        <v>-3.1908753650494166</v>
      </c>
      <c r="F1151" s="7">
        <f>SQRT(IRS_returns_2015_25[[#This Row],[  σ2]])</f>
        <v>6.4133084912634395</v>
      </c>
    </row>
    <row r="1152" spans="1:6" x14ac:dyDescent="0.3">
      <c r="A1152" s="2">
        <v>43711</v>
      </c>
      <c r="B1152" s="1">
        <v>4.6883650454957682</v>
      </c>
      <c r="C1152" s="1">
        <f>IRS_returns_2015_25[[#This Row],[IRSrtn]]-AVERAGE($B$2:$B$2600)</f>
        <v>4.6825885514291521</v>
      </c>
      <c r="D1152" s="1">
        <f>w+a*C1151^2+b*D1151</f>
        <v>37.015509970057678</v>
      </c>
      <c r="E1152" s="1">
        <f t="shared" si="17"/>
        <v>-3.0207887695622055</v>
      </c>
      <c r="F1152" s="7">
        <f>SQRT(IRS_returns_2015_25[[#This Row],[  σ2]])</f>
        <v>6.0840373084044836</v>
      </c>
    </row>
    <row r="1153" spans="1:6" x14ac:dyDescent="0.3">
      <c r="A1153" s="2">
        <v>43712</v>
      </c>
      <c r="B1153" s="1">
        <v>7.3562462635800685</v>
      </c>
      <c r="C1153" s="1">
        <f>IRS_returns_2015_25[[#This Row],[IRSrtn]]-AVERAGE($B$2:$B$2600)</f>
        <v>7.3504697695134524</v>
      </c>
      <c r="D1153" s="1">
        <f>w+a*C1152^2+b*D1152</f>
        <v>31.329527773362237</v>
      </c>
      <c r="E1153" s="1">
        <f t="shared" si="17"/>
        <v>-3.5034951458817165</v>
      </c>
      <c r="F1153" s="7">
        <f>SQRT(IRS_returns_2015_25[[#This Row],[  σ2]])</f>
        <v>5.5972786042292224</v>
      </c>
    </row>
    <row r="1154" spans="1:6" x14ac:dyDescent="0.3">
      <c r="A1154" s="2">
        <v>43713</v>
      </c>
      <c r="B1154" s="1">
        <v>10.109621106705502</v>
      </c>
      <c r="C1154" s="1">
        <f>IRS_returns_2015_25[[#This Row],[IRSrtn]]-AVERAGE($B$2:$B$2600)</f>
        <v>10.103844612638886</v>
      </c>
      <c r="D1154" s="1">
        <f>w+a*C1153^2+b*D1153</f>
        <v>35.366106950924589</v>
      </c>
      <c r="E1154" s="1">
        <f t="shared" ref="E1154:E1217" si="18">-0.5*(LN(2*PI())+LN(D1154)+C1154^2/D1154)</f>
        <v>-4.1451136837297398</v>
      </c>
      <c r="F1154" s="7">
        <f>SQRT(IRS_returns_2015_25[[#This Row],[  σ2]])</f>
        <v>5.946940974225706</v>
      </c>
    </row>
    <row r="1155" spans="1:6" x14ac:dyDescent="0.3">
      <c r="A1155" s="2">
        <v>43714</v>
      </c>
      <c r="B1155" s="1">
        <v>-0.96620381048442283</v>
      </c>
      <c r="C1155" s="1">
        <f>IRS_returns_2015_25[[#This Row],[IRSrtn]]-AVERAGE($B$2:$B$2600)</f>
        <v>-0.97198030455103868</v>
      </c>
      <c r="D1155" s="1">
        <f>w+a*C1154^2+b*D1154</f>
        <v>49.762711576321848</v>
      </c>
      <c r="E1155" s="1">
        <f t="shared" si="18"/>
        <v>-2.882064009586208</v>
      </c>
      <c r="F1155" s="7">
        <f>SQRT(IRS_returns_2015_25[[#This Row],[  σ2]])</f>
        <v>7.0542690320345631</v>
      </c>
    </row>
    <row r="1156" spans="1:6" x14ac:dyDescent="0.3">
      <c r="A1156" s="2">
        <v>43717</v>
      </c>
      <c r="B1156" s="1">
        <v>1.1263220158037823</v>
      </c>
      <c r="C1156" s="1">
        <f>IRS_returns_2015_25[[#This Row],[IRSrtn]]-AVERAGE($B$2:$B$2600)</f>
        <v>1.1205455217371665</v>
      </c>
      <c r="D1156" s="1">
        <f>w+a*C1155^2+b*D1155</f>
        <v>34.703320325825402</v>
      </c>
      <c r="E1156" s="1">
        <f t="shared" si="18"/>
        <v>-2.7104470265154594</v>
      </c>
      <c r="F1156" s="7">
        <f>SQRT(IRS_returns_2015_25[[#This Row],[  σ2]])</f>
        <v>5.8909524124563593</v>
      </c>
    </row>
    <row r="1157" spans="1:6" x14ac:dyDescent="0.3">
      <c r="A1157" s="2">
        <v>43718</v>
      </c>
      <c r="B1157" s="1">
        <v>0.63795713977599089</v>
      </c>
      <c r="C1157" s="1">
        <f>IRS_returns_2015_25[[#This Row],[IRSrtn]]-AVERAGE($B$2:$B$2600)</f>
        <v>0.63218064570937504</v>
      </c>
      <c r="D1157" s="1">
        <f>w+a*C1156^2+b*D1156</f>
        <v>24.753776878353456</v>
      </c>
      <c r="E1157" s="1">
        <f t="shared" si="18"/>
        <v>-2.5315001258112204</v>
      </c>
      <c r="F1157" s="7">
        <f>SQRT(IRS_returns_2015_25[[#This Row],[  σ2]])</f>
        <v>4.9753167616096015</v>
      </c>
    </row>
    <row r="1158" spans="1:6" x14ac:dyDescent="0.3">
      <c r="A1158" s="2">
        <v>43719</v>
      </c>
      <c r="B1158" s="1">
        <v>-3.0672218863601719</v>
      </c>
      <c r="C1158" s="1">
        <f>IRS_returns_2015_25[[#This Row],[IRSrtn]]-AVERAGE($B$2:$B$2600)</f>
        <v>-3.0729983804267875</v>
      </c>
      <c r="D1158" s="1">
        <f>w+a*C1157^2+b*D1157</f>
        <v>17.921642647858963</v>
      </c>
      <c r="E1158" s="1">
        <f t="shared" si="18"/>
        <v>-2.6254043817982371</v>
      </c>
      <c r="F1158" s="7">
        <f>SQRT(IRS_returns_2015_25[[#This Row],[  σ2]])</f>
        <v>4.2333961127986788</v>
      </c>
    </row>
    <row r="1159" spans="1:6" x14ac:dyDescent="0.3">
      <c r="A1159" s="2">
        <v>43720</v>
      </c>
      <c r="B1159" s="1">
        <v>-3.6731990092198963</v>
      </c>
      <c r="C1159" s="1">
        <f>IRS_returns_2015_25[[#This Row],[IRSrtn]]-AVERAGE($B$2:$B$2600)</f>
        <v>-3.6789755032865119</v>
      </c>
      <c r="D1159" s="1">
        <f>w+a*C1158^2+b*D1158</f>
        <v>15.576863997536005</v>
      </c>
      <c r="E1159" s="1">
        <f t="shared" si="18"/>
        <v>-2.726285869635618</v>
      </c>
      <c r="F1159" s="7">
        <f>SQRT(IRS_returns_2015_25[[#This Row],[  σ2]])</f>
        <v>3.9467536023339491</v>
      </c>
    </row>
    <row r="1160" spans="1:6" x14ac:dyDescent="0.3">
      <c r="A1160" s="2">
        <v>43721</v>
      </c>
      <c r="B1160" s="1">
        <v>-5.5958835066321821</v>
      </c>
      <c r="C1160" s="1">
        <f>IRS_returns_2015_25[[#This Row],[IRSrtn]]-AVERAGE($B$2:$B$2600)</f>
        <v>-5.6016600006987982</v>
      </c>
      <c r="D1160" s="1">
        <f>w+a*C1159^2+b*D1159</f>
        <v>15.012808851883214</v>
      </c>
      <c r="E1160" s="1">
        <f t="shared" si="18"/>
        <v>-3.3184511701773141</v>
      </c>
      <c r="F1160" s="7">
        <f>SQRT(IRS_returns_2015_25[[#This Row],[  σ2]])</f>
        <v>3.8746366090103486</v>
      </c>
    </row>
    <row r="1161" spans="1:6" x14ac:dyDescent="0.3">
      <c r="A1161" s="2">
        <v>43724</v>
      </c>
      <c r="B1161" s="1">
        <v>1.7825986038163766</v>
      </c>
      <c r="C1161" s="1">
        <f>IRS_returns_2015_25[[#This Row],[IRSrtn]]-AVERAGE($B$2:$B$2600)</f>
        <v>1.7768221097497607</v>
      </c>
      <c r="D1161" s="1">
        <f>w+a*C1160^2+b*D1160</f>
        <v>18.984929579290934</v>
      </c>
      <c r="E1161" s="1">
        <f t="shared" si="18"/>
        <v>-2.4739087212885917</v>
      </c>
      <c r="F1161" s="7">
        <f>SQRT(IRS_returns_2015_25[[#This Row],[  σ2]])</f>
        <v>4.3571699047995516</v>
      </c>
    </row>
    <row r="1162" spans="1:6" x14ac:dyDescent="0.3">
      <c r="A1162" s="2">
        <v>43725</v>
      </c>
      <c r="B1162" s="1">
        <v>7.1580782464891302</v>
      </c>
      <c r="C1162" s="1">
        <f>IRS_returns_2015_25[[#This Row],[IRSrtn]]-AVERAGE($B$2:$B$2600)</f>
        <v>7.1523017524225141</v>
      </c>
      <c r="D1162" s="1">
        <f>w+a*C1161^2+b*D1161</f>
        <v>14.753075284629649</v>
      </c>
      <c r="E1162" s="1">
        <f t="shared" si="18"/>
        <v>-3.9983848865742981</v>
      </c>
      <c r="F1162" s="7">
        <f>SQRT(IRS_returns_2015_25[[#This Row],[  σ2]])</f>
        <v>3.8409732210248029</v>
      </c>
    </row>
    <row r="1163" spans="1:6" x14ac:dyDescent="0.3">
      <c r="A1163" s="2">
        <v>43726</v>
      </c>
      <c r="B1163" s="1">
        <v>-4.1987743172892777</v>
      </c>
      <c r="C1163" s="1">
        <f>IRS_returns_2015_25[[#This Row],[IRSrtn]]-AVERAGE($B$2:$B$2600)</f>
        <v>-4.2045508113558938</v>
      </c>
      <c r="D1163" s="1">
        <f>w+a*C1162^2+b*D1162</f>
        <v>23.630639585233659</v>
      </c>
      <c r="E1163" s="1">
        <f t="shared" si="18"/>
        <v>-2.8742641254321799</v>
      </c>
      <c r="F1163" s="7">
        <f>SQRT(IRS_returns_2015_25[[#This Row],[  σ2]])</f>
        <v>4.8611356271177684</v>
      </c>
    </row>
    <row r="1164" spans="1:6" x14ac:dyDescent="0.3">
      <c r="A1164" s="2">
        <v>43727</v>
      </c>
      <c r="B1164" s="1">
        <v>1.1935284003131263</v>
      </c>
      <c r="C1164" s="1">
        <f>IRS_returns_2015_25[[#This Row],[IRSrtn]]-AVERAGE($B$2:$B$2600)</f>
        <v>1.1877519062465105</v>
      </c>
      <c r="D1164" s="1">
        <f>w+a*C1163^2+b*D1163</f>
        <v>21.383877094687158</v>
      </c>
      <c r="E1164" s="1">
        <f t="shared" si="18"/>
        <v>-2.4832435568900921</v>
      </c>
      <c r="F1164" s="7">
        <f>SQRT(IRS_returns_2015_25[[#This Row],[  σ2]])</f>
        <v>4.6242704391814238</v>
      </c>
    </row>
    <row r="1165" spans="1:6" x14ac:dyDescent="0.3">
      <c r="A1165" s="2">
        <v>43728</v>
      </c>
      <c r="B1165" s="1">
        <v>-5.0401545869166453</v>
      </c>
      <c r="C1165" s="1">
        <f>IRS_returns_2015_25[[#This Row],[IRSrtn]]-AVERAGE($B$2:$B$2600)</f>
        <v>-5.0459310809832614</v>
      </c>
      <c r="D1165" s="1">
        <f>w+a*C1164^2+b*D1164</f>
        <v>15.924598862218007</v>
      </c>
      <c r="E1165" s="1">
        <f t="shared" si="18"/>
        <v>-3.1023078317297759</v>
      </c>
      <c r="F1165" s="7">
        <f>SQRT(IRS_returns_2015_25[[#This Row],[  σ2]])</f>
        <v>3.9905637273721122</v>
      </c>
    </row>
    <row r="1166" spans="1:6" x14ac:dyDescent="0.3">
      <c r="A1166" s="2">
        <v>43731</v>
      </c>
      <c r="B1166" s="1">
        <v>-3.4454914837377171</v>
      </c>
      <c r="C1166" s="1">
        <f>IRS_returns_2015_25[[#This Row],[IRSrtn]]-AVERAGE($B$2:$B$2600)</f>
        <v>-3.4512679778043327</v>
      </c>
      <c r="D1166" s="1">
        <f>w+a*C1165^2+b*D1165</f>
        <v>18.150205280941208</v>
      </c>
      <c r="E1166" s="1">
        <f t="shared" si="18"/>
        <v>-2.6964093842698023</v>
      </c>
      <c r="F1166" s="7">
        <f>SQRT(IRS_returns_2015_25[[#This Row],[  σ2]])</f>
        <v>4.2603057731741751</v>
      </c>
    </row>
    <row r="1167" spans="1:6" x14ac:dyDescent="0.3">
      <c r="A1167" s="2">
        <v>43732</v>
      </c>
      <c r="B1167" s="1">
        <v>-3.7598414354097942</v>
      </c>
      <c r="C1167" s="1">
        <f>IRS_returns_2015_25[[#This Row],[IRSrtn]]-AVERAGE($B$2:$B$2600)</f>
        <v>-3.7656179294764098</v>
      </c>
      <c r="D1167" s="1">
        <f>w+a*C1166^2+b*D1166</f>
        <v>16.330332928127209</v>
      </c>
      <c r="E1167" s="1">
        <f t="shared" si="18"/>
        <v>-2.7496083442871559</v>
      </c>
      <c r="F1167" s="7">
        <f>SQRT(IRS_returns_2015_25[[#This Row],[  σ2]])</f>
        <v>4.0410806634027008</v>
      </c>
    </row>
    <row r="1168" spans="1:6" x14ac:dyDescent="0.3">
      <c r="A1168" s="2">
        <v>43733</v>
      </c>
      <c r="B1168" s="1">
        <v>1.3320876234467427</v>
      </c>
      <c r="C1168" s="1">
        <f>IRS_returns_2015_25[[#This Row],[IRSrtn]]-AVERAGE($B$2:$B$2600)</f>
        <v>1.3263111293801269</v>
      </c>
      <c r="D1168" s="1">
        <f>w+a*C1167^2+b*D1167</f>
        <v>15.671564110045765</v>
      </c>
      <c r="E1168" s="1">
        <f t="shared" si="18"/>
        <v>-2.3509864502123254</v>
      </c>
      <c r="F1168" s="7">
        <f>SQRT(IRS_returns_2015_25[[#This Row],[  σ2]])</f>
        <v>3.9587326393740918</v>
      </c>
    </row>
    <row r="1169" spans="1:6" x14ac:dyDescent="0.3">
      <c r="A1169" s="2">
        <v>43734</v>
      </c>
      <c r="B1169" s="1">
        <v>-0.56874012733241219</v>
      </c>
      <c r="C1169" s="1">
        <f>IRS_returns_2015_25[[#This Row],[IRSrtn]]-AVERAGE($B$2:$B$2600)</f>
        <v>-0.57451662139902804</v>
      </c>
      <c r="D1169" s="1">
        <f>w+a*C1168^2+b*D1168</f>
        <v>12.206691210291876</v>
      </c>
      <c r="E1169" s="1">
        <f t="shared" si="18"/>
        <v>-2.1834506809488992</v>
      </c>
      <c r="F1169" s="7">
        <f>SQRT(IRS_returns_2015_25[[#This Row],[  σ2]])</f>
        <v>3.4938075519827758</v>
      </c>
    </row>
    <row r="1170" spans="1:6" x14ac:dyDescent="0.3">
      <c r="A1170" s="2">
        <v>43735</v>
      </c>
      <c r="B1170" s="1">
        <v>2.8118227182592603</v>
      </c>
      <c r="C1170" s="1">
        <f>IRS_returns_2015_25[[#This Row],[IRSrtn]]-AVERAGE($B$2:$B$2600)</f>
        <v>2.8060462241926447</v>
      </c>
      <c r="D1170" s="1">
        <f>w+a*C1169^2+b*D1169</f>
        <v>9.5518841282682647</v>
      </c>
      <c r="E1170" s="1">
        <f t="shared" si="18"/>
        <v>-2.4594722629694887</v>
      </c>
      <c r="F1170" s="7">
        <f>SQRT(IRS_returns_2015_25[[#This Row],[  σ2]])</f>
        <v>3.0906122578331083</v>
      </c>
    </row>
    <row r="1171" spans="1:6" x14ac:dyDescent="0.3">
      <c r="A1171" s="2">
        <v>43738</v>
      </c>
      <c r="B1171" s="1">
        <v>-2.8118227182592603</v>
      </c>
      <c r="C1171" s="1">
        <f>IRS_returns_2015_25[[#This Row],[IRSrtn]]-AVERAGE($B$2:$B$2600)</f>
        <v>-2.817599212325876</v>
      </c>
      <c r="D1171" s="1">
        <f>w+a*C1170^2+b*D1170</f>
        <v>9.6225861591181197</v>
      </c>
      <c r="E1171" s="1">
        <f t="shared" si="18"/>
        <v>-2.4635071046965233</v>
      </c>
      <c r="F1171" s="7">
        <f>SQRT(IRS_returns_2015_25[[#This Row],[  σ2]])</f>
        <v>3.1020293614210228</v>
      </c>
    </row>
    <row r="1172" spans="1:6" x14ac:dyDescent="0.3">
      <c r="A1172" s="2">
        <v>43739</v>
      </c>
      <c r="B1172" s="1">
        <v>-2.1134085842001493</v>
      </c>
      <c r="C1172" s="1">
        <f>IRS_returns_2015_25[[#This Row],[IRSrtn]]-AVERAGE($B$2:$B$2600)</f>
        <v>-2.1191850782667649</v>
      </c>
      <c r="D1172" s="1">
        <f>w+a*C1171^2+b*D1171</f>
        <v>9.6854835860228192</v>
      </c>
      <c r="E1172" s="1">
        <f t="shared" si="18"/>
        <v>-2.2860916331938772</v>
      </c>
      <c r="F1172" s="7">
        <f>SQRT(IRS_returns_2015_25[[#This Row],[  σ2]])</f>
        <v>3.1121509581032245</v>
      </c>
    </row>
    <row r="1173" spans="1:6" x14ac:dyDescent="0.3">
      <c r="A1173" s="2">
        <v>43741</v>
      </c>
      <c r="B1173" s="1">
        <v>1.9231253496704515</v>
      </c>
      <c r="C1173" s="1">
        <f>IRS_returns_2015_25[[#This Row],[IRSrtn]]-AVERAGE($B$2:$B$2600)</f>
        <v>1.9173488556038356</v>
      </c>
      <c r="D1173" s="1">
        <f>w+a*C1172^2+b*D1172</f>
        <v>8.8872705618546028</v>
      </c>
      <c r="E1173" s="1">
        <f t="shared" si="18"/>
        <v>-2.218073925860895</v>
      </c>
      <c r="F1173" s="7">
        <f>SQRT(IRS_returns_2015_25[[#This Row],[  σ2]])</f>
        <v>2.9811525559512386</v>
      </c>
    </row>
    <row r="1174" spans="1:6" x14ac:dyDescent="0.3">
      <c r="A1174" s="2">
        <v>43742</v>
      </c>
      <c r="B1174" s="1">
        <v>1.1363801727089617</v>
      </c>
      <c r="C1174" s="1">
        <f>IRS_returns_2015_25[[#This Row],[IRSrtn]]-AVERAGE($B$2:$B$2600)</f>
        <v>1.1306036786423459</v>
      </c>
      <c r="D1174" s="1">
        <f>w+a*C1173^2+b*D1173</f>
        <v>8.1573807729485566</v>
      </c>
      <c r="E1174" s="1">
        <f t="shared" si="18"/>
        <v>-2.0467502907644608</v>
      </c>
      <c r="F1174" s="7">
        <f>SQRT(IRS_returns_2015_25[[#This Row],[  σ2]])</f>
        <v>2.8561128781875125</v>
      </c>
    </row>
    <row r="1175" spans="1:6" x14ac:dyDescent="0.3">
      <c r="A1175" s="2">
        <v>43745</v>
      </c>
      <c r="B1175" s="1">
        <v>-1.7094444342935944</v>
      </c>
      <c r="C1175" s="1">
        <f>IRS_returns_2015_25[[#This Row],[IRSrtn]]-AVERAGE($B$2:$B$2600)</f>
        <v>-1.7152209283602102</v>
      </c>
      <c r="D1175" s="1">
        <f>w+a*C1174^2+b*D1174</f>
        <v>7.0872180655549162</v>
      </c>
      <c r="E1175" s="1">
        <f t="shared" si="18"/>
        <v>-2.1056405239677671</v>
      </c>
      <c r="F1175" s="7">
        <f>SQRT(IRS_returns_2015_25[[#This Row],[  σ2]])</f>
        <v>2.6621829511802746</v>
      </c>
    </row>
    <row r="1176" spans="1:6" x14ac:dyDescent="0.3">
      <c r="A1176" s="2">
        <v>43746</v>
      </c>
      <c r="B1176" s="1">
        <v>-3.707754189289858</v>
      </c>
      <c r="C1176" s="1">
        <f>IRS_returns_2015_25[[#This Row],[IRSrtn]]-AVERAGE($B$2:$B$2600)</f>
        <v>-3.7135306833564736</v>
      </c>
      <c r="D1176" s="1">
        <f>w+a*C1175^2+b*D1175</f>
        <v>6.7801574089822125</v>
      </c>
      <c r="E1176" s="1">
        <f t="shared" si="18"/>
        <v>-2.8928996052590321</v>
      </c>
      <c r="F1176" s="7">
        <f>SQRT(IRS_returns_2015_25[[#This Row],[  σ2]])</f>
        <v>2.6038735393605834</v>
      </c>
    </row>
    <row r="1177" spans="1:6" x14ac:dyDescent="0.3">
      <c r="A1177" s="2">
        <v>43747</v>
      </c>
      <c r="B1177" s="1">
        <v>-0.59819259663977942</v>
      </c>
      <c r="C1177" s="1">
        <f>IRS_returns_2015_25[[#This Row],[IRSrtn]]-AVERAGE($B$2:$B$2600)</f>
        <v>-0.60396909070639526</v>
      </c>
      <c r="D1177" s="1">
        <f>w+a*C1176^2+b*D1176</f>
        <v>9.2189344366442256</v>
      </c>
      <c r="E1177" s="1">
        <f t="shared" si="18"/>
        <v>-2.0493524728268695</v>
      </c>
      <c r="F1177" s="7">
        <f>SQRT(IRS_returns_2015_25[[#This Row],[  σ2]])</f>
        <v>3.0362698227667821</v>
      </c>
    </row>
    <row r="1178" spans="1:6" x14ac:dyDescent="0.3">
      <c r="A1178" s="2">
        <v>43748</v>
      </c>
      <c r="B1178" s="1">
        <v>-0.80321262303280072</v>
      </c>
      <c r="C1178" s="1">
        <f>IRS_returns_2015_25[[#This Row],[IRSrtn]]-AVERAGE($B$2:$B$2600)</f>
        <v>-0.80898911709941657</v>
      </c>
      <c r="D1178" s="1">
        <f>w+a*C1177^2+b*D1177</f>
        <v>7.5713414251007904</v>
      </c>
      <c r="E1178" s="1">
        <f t="shared" si="18"/>
        <v>-1.974343438505163</v>
      </c>
      <c r="F1178" s="7">
        <f>SQRT(IRS_returns_2015_25[[#This Row],[  σ2]])</f>
        <v>2.7516070622639401</v>
      </c>
    </row>
    <row r="1179" spans="1:6" x14ac:dyDescent="0.3">
      <c r="A1179" s="2">
        <v>43749</v>
      </c>
      <c r="B1179" s="1">
        <v>5.4915776685285689</v>
      </c>
      <c r="C1179" s="1">
        <f>IRS_returns_2015_25[[#This Row],[IRSrtn]]-AVERAGE($B$2:$B$2600)</f>
        <v>5.4858011744619528</v>
      </c>
      <c r="D1179" s="1">
        <f>w+a*C1178^2+b*D1178</f>
        <v>6.5450928378072657</v>
      </c>
      <c r="E1179" s="1">
        <f t="shared" si="18"/>
        <v>-4.1572717003578266</v>
      </c>
      <c r="F1179" s="7">
        <f>SQRT(IRS_returns_2015_25[[#This Row],[  σ2]])</f>
        <v>2.5583379053219817</v>
      </c>
    </row>
    <row r="1180" spans="1:6" x14ac:dyDescent="0.3">
      <c r="A1180" s="2">
        <v>43752</v>
      </c>
      <c r="B1180" s="1">
        <v>-2.3167255975936829</v>
      </c>
      <c r="C1180" s="1">
        <f>IRS_returns_2015_25[[#This Row],[IRSrtn]]-AVERAGE($B$2:$B$2600)</f>
        <v>-2.3225020916602985</v>
      </c>
      <c r="D1180" s="1">
        <f>w+a*C1179^2+b*D1179</f>
        <v>13.034841827188764</v>
      </c>
      <c r="E1180" s="1">
        <f t="shared" si="18"/>
        <v>-2.4096591006761758</v>
      </c>
      <c r="F1180" s="7">
        <f>SQRT(IRS_returns_2015_25[[#This Row],[  σ2]])</f>
        <v>3.6103797344862167</v>
      </c>
    </row>
    <row r="1181" spans="1:6" x14ac:dyDescent="0.3">
      <c r="A1181" s="2">
        <v>43753</v>
      </c>
      <c r="B1181" s="1">
        <v>-3.9845913918675535</v>
      </c>
      <c r="C1181" s="1">
        <f>IRS_returns_2015_25[[#This Row],[IRSrtn]]-AVERAGE($B$2:$B$2600)</f>
        <v>-3.9903678859341691</v>
      </c>
      <c r="D1181" s="1">
        <f>w+a*C1180^2+b*D1180</f>
        <v>11.337027257407314</v>
      </c>
      <c r="E1181" s="1">
        <f t="shared" si="18"/>
        <v>-2.835233578176374</v>
      </c>
      <c r="F1181" s="7">
        <f>SQRT(IRS_returns_2015_25[[#This Row],[  σ2]])</f>
        <v>3.3670502309005301</v>
      </c>
    </row>
    <row r="1182" spans="1:6" x14ac:dyDescent="0.3">
      <c r="A1182" s="2">
        <v>43754</v>
      </c>
      <c r="B1182" s="1">
        <v>4.1797343118641805</v>
      </c>
      <c r="C1182" s="1">
        <f>IRS_returns_2015_25[[#This Row],[IRSrtn]]-AVERAGE($B$2:$B$2600)</f>
        <v>4.1739578177975645</v>
      </c>
      <c r="D1182" s="1">
        <f>w+a*C1181^2+b*D1181</f>
        <v>12.772156985826257</v>
      </c>
      <c r="E1182" s="1">
        <f t="shared" si="18"/>
        <v>-2.8745997876182039</v>
      </c>
      <c r="F1182" s="7">
        <f>SQRT(IRS_returns_2015_25[[#This Row],[  σ2]])</f>
        <v>3.5738154661126891</v>
      </c>
    </row>
    <row r="1183" spans="1:6" x14ac:dyDescent="0.3">
      <c r="A1183" s="2">
        <v>43756</v>
      </c>
      <c r="B1183" s="1">
        <v>-0.78281160027493524</v>
      </c>
      <c r="C1183" s="1">
        <f>IRS_returns_2015_25[[#This Row],[IRSrtn]]-AVERAGE($B$2:$B$2600)</f>
        <v>-0.78858809434155108</v>
      </c>
      <c r="D1183" s="1">
        <f>w+a*C1182^2+b*D1182</f>
        <v>14.092750546322112</v>
      </c>
      <c r="E1183" s="1">
        <f t="shared" si="18"/>
        <v>-2.2638323064151833</v>
      </c>
      <c r="F1183" s="7">
        <f>SQRT(IRS_returns_2015_25[[#This Row],[  σ2]])</f>
        <v>3.7540312393908115</v>
      </c>
    </row>
    <row r="1184" spans="1:6" x14ac:dyDescent="0.3">
      <c r="A1184" s="2">
        <v>43759</v>
      </c>
      <c r="B1184" s="1">
        <v>2.5219760183058604</v>
      </c>
      <c r="C1184" s="1">
        <f>IRS_returns_2015_25[[#This Row],[IRSrtn]]-AVERAGE($B$2:$B$2600)</f>
        <v>2.5161995242392448</v>
      </c>
      <c r="D1184" s="1">
        <f>w+a*C1183^2+b*D1183</f>
        <v>10.878562800024575</v>
      </c>
      <c r="E1184" s="1">
        <f t="shared" si="18"/>
        <v>-2.4033326830026764</v>
      </c>
      <c r="F1184" s="7">
        <f>SQRT(IRS_returns_2015_25[[#This Row],[  σ2]])</f>
        <v>3.298266635677682</v>
      </c>
    </row>
    <row r="1185" spans="1:6" x14ac:dyDescent="0.3">
      <c r="A1185" s="2">
        <v>43760</v>
      </c>
      <c r="B1185" s="1">
        <v>-1.9343073380275522</v>
      </c>
      <c r="C1185" s="1">
        <f>IRS_returns_2015_25[[#This Row],[IRSrtn]]-AVERAGE($B$2:$B$2600)</f>
        <v>-1.940083832094168</v>
      </c>
      <c r="D1185" s="1">
        <f>w+a*C1184^2+b*D1184</f>
        <v>10.129915573794948</v>
      </c>
      <c r="E1185" s="1">
        <f t="shared" si="18"/>
        <v>-2.2624676828999162</v>
      </c>
      <c r="F1185" s="7">
        <f>SQRT(IRS_returns_2015_25[[#This Row],[  σ2]])</f>
        <v>3.1827528295164469</v>
      </c>
    </row>
    <row r="1186" spans="1:6" x14ac:dyDescent="0.3">
      <c r="A1186" s="2">
        <v>43761</v>
      </c>
      <c r="B1186" s="1">
        <v>1.9343073380275522</v>
      </c>
      <c r="C1186" s="1">
        <f>IRS_returns_2015_25[[#This Row],[IRSrtn]]-AVERAGE($B$2:$B$2600)</f>
        <v>1.9285308439609363</v>
      </c>
      <c r="D1186" s="1">
        <f>w+a*C1185^2+b*D1185</f>
        <v>9.005998079838287</v>
      </c>
      <c r="E1186" s="1">
        <f t="shared" si="18"/>
        <v>-2.2243702804824212</v>
      </c>
      <c r="F1186" s="7">
        <f>SQRT(IRS_returns_2015_25[[#This Row],[  σ2]])</f>
        <v>3.000999513468519</v>
      </c>
    </row>
    <row r="1187" spans="1:6" x14ac:dyDescent="0.3">
      <c r="A1187" s="2">
        <v>43762</v>
      </c>
      <c r="B1187" s="1">
        <v>-0.38388631271790707</v>
      </c>
      <c r="C1187" s="1">
        <f>IRS_returns_2015_25[[#This Row],[IRSrtn]]-AVERAGE($B$2:$B$2600)</f>
        <v>-0.38966280678452286</v>
      </c>
      <c r="D1187" s="1">
        <f>w+a*C1186^2+b*D1186</f>
        <v>8.2468977224668887</v>
      </c>
      <c r="E1187" s="1">
        <f t="shared" si="18"/>
        <v>-1.9830627915214876</v>
      </c>
      <c r="F1187" s="7">
        <f>SQRT(IRS_returns_2015_25[[#This Row],[  σ2]])</f>
        <v>2.8717412352903402</v>
      </c>
    </row>
    <row r="1188" spans="1:6" x14ac:dyDescent="0.3">
      <c r="A1188" s="2">
        <v>43763</v>
      </c>
      <c r="B1188" s="1">
        <v>9.180765767428678</v>
      </c>
      <c r="C1188" s="1">
        <f>IRS_returns_2015_25[[#This Row],[IRSrtn]]-AVERAGE($B$2:$B$2600)</f>
        <v>9.1749892733620619</v>
      </c>
      <c r="D1188" s="1">
        <f>w+a*C1187^2+b*D1187</f>
        <v>6.8723571767704437</v>
      </c>
      <c r="E1188" s="1">
        <f t="shared" si="18"/>
        <v>-8.007259419161457</v>
      </c>
      <c r="F1188" s="7">
        <f>SQRT(IRS_returns_2015_25[[#This Row],[  σ2]])</f>
        <v>2.6215181053676595</v>
      </c>
    </row>
    <row r="1189" spans="1:6" x14ac:dyDescent="0.3">
      <c r="A1189" s="2">
        <v>43766</v>
      </c>
      <c r="B1189" s="1">
        <v>-7.6540055766652015</v>
      </c>
      <c r="C1189" s="1">
        <f>IRS_returns_2015_25[[#This Row],[IRSrtn]]-AVERAGE($B$2:$B$2600)</f>
        <v>-7.6597820707318176</v>
      </c>
      <c r="D1189" s="1">
        <f>w+a*C1188^2+b*D1188</f>
        <v>26.430849343409456</v>
      </c>
      <c r="E1189" s="1">
        <f t="shared" si="18"/>
        <v>-3.6661245551790627</v>
      </c>
      <c r="F1189" s="7">
        <f>SQRT(IRS_returns_2015_25[[#This Row],[  σ2]])</f>
        <v>5.1410941776444297</v>
      </c>
    </row>
    <row r="1190" spans="1:6" x14ac:dyDescent="0.3">
      <c r="A1190" s="2">
        <v>43767</v>
      </c>
      <c r="B1190" s="1">
        <v>1.690171595473644</v>
      </c>
      <c r="C1190" s="1">
        <f>IRS_returns_2015_25[[#This Row],[IRSrtn]]-AVERAGE($B$2:$B$2600)</f>
        <v>1.6843951014070282</v>
      </c>
      <c r="D1190" s="1">
        <f>w+a*C1189^2+b*D1189</f>
        <v>33.23620552522722</v>
      </c>
      <c r="E1190" s="1">
        <f t="shared" si="18"/>
        <v>-2.713440609641208</v>
      </c>
      <c r="F1190" s="7">
        <f>SQRT(IRS_returns_2015_25[[#This Row],[  σ2]])</f>
        <v>5.7650850405893594</v>
      </c>
    </row>
    <row r="1191" spans="1:6" x14ac:dyDescent="0.3">
      <c r="A1191" s="2">
        <v>43768</v>
      </c>
      <c r="B1191" s="1">
        <v>-3.989132109209903</v>
      </c>
      <c r="C1191" s="1">
        <f>IRS_returns_2015_25[[#This Row],[IRSrtn]]-AVERAGE($B$2:$B$2600)</f>
        <v>-3.9949086032765186</v>
      </c>
      <c r="D1191" s="1">
        <f>w+a*C1190^2+b*D1190</f>
        <v>24.162441882180843</v>
      </c>
      <c r="E1191" s="1">
        <f t="shared" si="18"/>
        <v>-2.8415882918395696</v>
      </c>
      <c r="F1191" s="7">
        <f>SQRT(IRS_returns_2015_25[[#This Row],[  σ2]])</f>
        <v>4.9155306816437268</v>
      </c>
    </row>
    <row r="1192" spans="1:6" x14ac:dyDescent="0.3">
      <c r="A1192" s="2">
        <v>43769</v>
      </c>
      <c r="B1192" s="1">
        <v>-0.38834783441270559</v>
      </c>
      <c r="C1192" s="1">
        <f>IRS_returns_2015_25[[#This Row],[IRSrtn]]-AVERAGE($B$2:$B$2600)</f>
        <v>-0.39412432847932138</v>
      </c>
      <c r="D1192" s="1">
        <f>w+a*C1191^2+b*D1191</f>
        <v>21.319084325401761</v>
      </c>
      <c r="E1192" s="1">
        <f t="shared" si="18"/>
        <v>-2.4523829314411278</v>
      </c>
      <c r="F1192" s="7">
        <f>SQRT(IRS_returns_2015_25[[#This Row],[  σ2]])</f>
        <v>4.6172593955074435</v>
      </c>
    </row>
    <row r="1193" spans="1:6" x14ac:dyDescent="0.3">
      <c r="A1193" s="2">
        <v>43770</v>
      </c>
      <c r="B1193" s="1">
        <v>-0.78124958620828799</v>
      </c>
      <c r="C1193" s="1">
        <f>IRS_returns_2015_25[[#This Row],[IRSrtn]]-AVERAGE($B$2:$B$2600)</f>
        <v>-0.78702608027490384</v>
      </c>
      <c r="D1193" s="1">
        <f>w+a*C1192^2+b*D1192</f>
        <v>15.575582292832287</v>
      </c>
      <c r="E1193" s="1">
        <f t="shared" si="18"/>
        <v>-2.3116747678319021</v>
      </c>
      <c r="F1193" s="7">
        <f>SQRT(IRS_returns_2015_25[[#This Row],[  σ2]])</f>
        <v>3.9465912244406929</v>
      </c>
    </row>
    <row r="1194" spans="1:6" x14ac:dyDescent="0.3">
      <c r="A1194" s="2">
        <v>43773</v>
      </c>
      <c r="B1194" s="1">
        <v>0.19588534522601009</v>
      </c>
      <c r="C1194" s="1">
        <f>IRS_returns_2015_25[[#This Row],[IRSrtn]]-AVERAGE($B$2:$B$2600)</f>
        <v>0.1901088511593943</v>
      </c>
      <c r="D1194" s="1">
        <f>w+a*C1193^2+b*D1193</f>
        <v>11.865109022600624</v>
      </c>
      <c r="E1194" s="1">
        <f t="shared" si="18"/>
        <v>-2.1572625830918031</v>
      </c>
      <c r="F1194" s="7">
        <f>SQRT(IRS_returns_2015_25[[#This Row],[  σ2]])</f>
        <v>3.4445767552198086</v>
      </c>
    </row>
    <row r="1195" spans="1:6" x14ac:dyDescent="0.3">
      <c r="A1195" s="2">
        <v>43775</v>
      </c>
      <c r="B1195" s="1">
        <v>-0.19588534522601009</v>
      </c>
      <c r="C1195" s="1">
        <f>IRS_returns_2015_25[[#This Row],[IRSrtn]]-AVERAGE($B$2:$B$2600)</f>
        <v>-0.20166183929262588</v>
      </c>
      <c r="D1195" s="1">
        <f>w+a*C1194^2+b*D1194</f>
        <v>9.2528716743040071</v>
      </c>
      <c r="E1195" s="1">
        <f t="shared" si="18"/>
        <v>-2.0336030713834607</v>
      </c>
      <c r="F1195" s="7">
        <f>SQRT(IRS_returns_2015_25[[#This Row],[  σ2]])</f>
        <v>3.0418533288612073</v>
      </c>
    </row>
    <row r="1196" spans="1:6" x14ac:dyDescent="0.3">
      <c r="A1196" s="2">
        <v>43776</v>
      </c>
      <c r="B1196" s="1">
        <v>0.58651963828075804</v>
      </c>
      <c r="C1196" s="1">
        <f>IRS_returns_2015_25[[#This Row],[IRSrtn]]-AVERAGE($B$2:$B$2600)</f>
        <v>0.58074314421414219</v>
      </c>
      <c r="D1196" s="1">
        <f>w+a*C1195^2+b*D1195</f>
        <v>7.5149644009882497</v>
      </c>
      <c r="E1196" s="1">
        <f t="shared" si="18"/>
        <v>-1.9498260772819693</v>
      </c>
      <c r="F1196" s="7">
        <f>SQRT(IRS_returns_2015_25[[#This Row],[  σ2]])</f>
        <v>2.7413435393960111</v>
      </c>
    </row>
    <row r="1197" spans="1:6" x14ac:dyDescent="0.3">
      <c r="A1197" s="2">
        <v>43777</v>
      </c>
      <c r="B1197" s="1">
        <v>2.5025119141452556</v>
      </c>
      <c r="C1197" s="1">
        <f>IRS_returns_2015_25[[#This Row],[IRSrtn]]-AVERAGE($B$2:$B$2600)</f>
        <v>2.49673542007864</v>
      </c>
      <c r="D1197" s="1">
        <f>w+a*C1196^2+b*D1196</f>
        <v>6.4302758109815148</v>
      </c>
      <c r="E1197" s="1">
        <f t="shared" si="18"/>
        <v>-2.3341611199130003</v>
      </c>
      <c r="F1197" s="7">
        <f>SQRT(IRS_returns_2015_25[[#This Row],[  σ2]])</f>
        <v>2.5357988506546638</v>
      </c>
    </row>
    <row r="1198" spans="1:6" x14ac:dyDescent="0.3">
      <c r="A1198" s="2">
        <v>43780</v>
      </c>
      <c r="B1198" s="1">
        <v>-1.1472338088322376</v>
      </c>
      <c r="C1198" s="1">
        <f>IRS_returns_2015_25[[#This Row],[IRSrtn]]-AVERAGE($B$2:$B$2600)</f>
        <v>-1.1530103028988534</v>
      </c>
      <c r="D1198" s="1">
        <f>w+a*C1197^2+b*D1197</f>
        <v>7.1448431141462185</v>
      </c>
      <c r="E1198" s="1">
        <f t="shared" si="18"/>
        <v>-1.9951683862423661</v>
      </c>
      <c r="F1198" s="7">
        <f>SQRT(IRS_returns_2015_25[[#This Row],[  σ2]])</f>
        <v>2.6729839345095621</v>
      </c>
    </row>
    <row r="1199" spans="1:6" x14ac:dyDescent="0.3">
      <c r="A1199" s="2">
        <v>43781</v>
      </c>
      <c r="B1199" s="1">
        <v>-1.9417977435937761</v>
      </c>
      <c r="C1199" s="1">
        <f>IRS_returns_2015_25[[#This Row],[IRSrtn]]-AVERAGE($B$2:$B$2600)</f>
        <v>-1.9475742376603919</v>
      </c>
      <c r="D1199" s="1">
        <f>w+a*C1198^2+b*D1198</f>
        <v>6.425621914185645</v>
      </c>
      <c r="E1199" s="1">
        <f t="shared" si="18"/>
        <v>-2.1442353061257342</v>
      </c>
      <c r="F1199" s="7">
        <f>SQRT(IRS_returns_2015_25[[#This Row],[  σ2]])</f>
        <v>2.5348810453718817</v>
      </c>
    </row>
    <row r="1200" spans="1:6" x14ac:dyDescent="0.3">
      <c r="A1200" s="2">
        <v>43782</v>
      </c>
      <c r="B1200" s="1">
        <v>0.19588534522601009</v>
      </c>
      <c r="C1200" s="1">
        <f>IRS_returns_2015_25[[#This Row],[IRSrtn]]-AVERAGE($B$2:$B$2600)</f>
        <v>0.1901088511593943</v>
      </c>
      <c r="D1200" s="1">
        <f>w+a*C1199^2+b*D1199</f>
        <v>6.5470829938954322</v>
      </c>
      <c r="E1200" s="1">
        <f t="shared" si="18"/>
        <v>-1.8612084490196479</v>
      </c>
      <c r="F1200" s="7">
        <f>SQRT(IRS_returns_2015_25[[#This Row],[  σ2]])</f>
        <v>2.5587268306514144</v>
      </c>
    </row>
    <row r="1201" spans="1:6" x14ac:dyDescent="0.3">
      <c r="A1201" s="2">
        <v>43783</v>
      </c>
      <c r="B1201" s="1">
        <v>-6.4669087691041183</v>
      </c>
      <c r="C1201" s="1">
        <f>IRS_returns_2015_25[[#This Row],[IRSrtn]]-AVERAGE($B$2:$B$2600)</f>
        <v>-6.4726852631707343</v>
      </c>
      <c r="D1201" s="1">
        <f>w+a*C1200^2+b*D1200</f>
        <v>5.7125728651075205</v>
      </c>
      <c r="E1201" s="1">
        <f t="shared" si="18"/>
        <v>-5.4572422279483916</v>
      </c>
      <c r="F1201" s="7">
        <f>SQRT(IRS_returns_2015_25[[#This Row],[  σ2]])</f>
        <v>2.3900989237074519</v>
      </c>
    </row>
    <row r="1202" spans="1:6" x14ac:dyDescent="0.3">
      <c r="A1202" s="2">
        <v>43784</v>
      </c>
      <c r="B1202" s="1">
        <v>4.2907606942601539</v>
      </c>
      <c r="C1202" s="1">
        <f>IRS_returns_2015_25[[#This Row],[IRSrtn]]-AVERAGE($B$2:$B$2600)</f>
        <v>4.2849842001935379</v>
      </c>
      <c r="D1202" s="1">
        <f>w+a*C1201^2+b*D1201</f>
        <v>15.356086221715952</v>
      </c>
      <c r="E1202" s="1">
        <f t="shared" si="18"/>
        <v>-2.8825385304318734</v>
      </c>
      <c r="F1202" s="7">
        <f>SQRT(IRS_returns_2015_25[[#This Row],[  σ2]])</f>
        <v>3.9186842462382638</v>
      </c>
    </row>
    <row r="1203" spans="1:6" x14ac:dyDescent="0.3">
      <c r="A1203" s="2">
        <v>43787</v>
      </c>
      <c r="B1203" s="1">
        <v>1.3902938529347209</v>
      </c>
      <c r="C1203" s="1">
        <f>IRS_returns_2015_25[[#This Row],[IRSrtn]]-AVERAGE($B$2:$B$2600)</f>
        <v>1.384517358868105</v>
      </c>
      <c r="D1203" s="1">
        <f>w+a*C1202^2+b*D1202</f>
        <v>16.041742937912893</v>
      </c>
      <c r="E1203" s="1">
        <f t="shared" si="18"/>
        <v>-2.3662825467060222</v>
      </c>
      <c r="F1203" s="7">
        <f>SQRT(IRS_returns_2015_25[[#This Row],[  σ2]])</f>
        <v>4.0052144684040192</v>
      </c>
    </row>
    <row r="1204" spans="1:6" x14ac:dyDescent="0.3">
      <c r="A1204" s="2">
        <v>43788</v>
      </c>
      <c r="B1204" s="1">
        <v>7.5937693321807886</v>
      </c>
      <c r="C1204" s="1">
        <f>IRS_returns_2015_25[[#This Row],[IRSrtn]]-AVERAGE($B$2:$B$2600)</f>
        <v>7.5879928381141726</v>
      </c>
      <c r="D1204" s="1">
        <f>w+a*C1203^2+b*D1203</f>
        <v>12.491570234588343</v>
      </c>
      <c r="E1204" s="1">
        <f t="shared" si="18"/>
        <v>-4.4861251826484434</v>
      </c>
      <c r="F1204" s="7">
        <f>SQRT(IRS_returns_2015_25[[#This Row],[  σ2]])</f>
        <v>3.5343415560169538</v>
      </c>
    </row>
    <row r="1205" spans="1:6" x14ac:dyDescent="0.3">
      <c r="A1205" s="2">
        <v>43789</v>
      </c>
      <c r="B1205" s="1">
        <v>1.4519332681192321</v>
      </c>
      <c r="C1205" s="1">
        <f>IRS_returns_2015_25[[#This Row],[IRSrtn]]-AVERAGE($B$2:$B$2600)</f>
        <v>1.4461567740526162</v>
      </c>
      <c r="D1205" s="1">
        <f>w+a*C1204^2+b*D1204</f>
        <v>23.689889064462001</v>
      </c>
      <c r="E1205" s="1">
        <f t="shared" si="18"/>
        <v>-2.5456032498217129</v>
      </c>
      <c r="F1205" s="7">
        <f>SQRT(IRS_returns_2015_25[[#This Row],[  σ2]])</f>
        <v>4.867226013291555</v>
      </c>
    </row>
    <row r="1206" spans="1:6" x14ac:dyDescent="0.3">
      <c r="A1206" s="2">
        <v>43790</v>
      </c>
      <c r="B1206" s="1">
        <v>4.0605727684614124</v>
      </c>
      <c r="C1206" s="1">
        <f>IRS_returns_2015_25[[#This Row],[IRSrtn]]-AVERAGE($B$2:$B$2600)</f>
        <v>4.0547962743947963</v>
      </c>
      <c r="D1206" s="1">
        <f>w+a*C1205^2+b*D1205</f>
        <v>17.625581216180731</v>
      </c>
      <c r="E1206" s="1">
        <f t="shared" si="18"/>
        <v>-2.8200207392526666</v>
      </c>
      <c r="F1206" s="7">
        <f>SQRT(IRS_returns_2015_25[[#This Row],[  σ2]])</f>
        <v>4.1982831272057783</v>
      </c>
    </row>
    <row r="1207" spans="1:6" x14ac:dyDescent="0.3">
      <c r="A1207" s="2">
        <v>43791</v>
      </c>
      <c r="B1207" s="1">
        <v>-6.0624585238360229</v>
      </c>
      <c r="C1207" s="1">
        <f>IRS_returns_2015_25[[#This Row],[IRSrtn]]-AVERAGE($B$2:$B$2600)</f>
        <v>-6.068235017902639</v>
      </c>
      <c r="D1207" s="1">
        <f>w+a*C1206^2+b*D1206</f>
        <v>17.084845139681835</v>
      </c>
      <c r="E1207" s="1">
        <f t="shared" si="18"/>
        <v>-3.4156993548745107</v>
      </c>
      <c r="F1207" s="7">
        <f>SQRT(IRS_returns_2015_25[[#This Row],[  σ2]])</f>
        <v>4.1333818042471995</v>
      </c>
    </row>
    <row r="1208" spans="1:6" x14ac:dyDescent="0.3">
      <c r="A1208" s="2">
        <v>43794</v>
      </c>
      <c r="B1208" s="1">
        <v>0.18365375385944738</v>
      </c>
      <c r="C1208" s="1">
        <f>IRS_returns_2015_25[[#This Row],[IRSrtn]]-AVERAGE($B$2:$B$2600)</f>
        <v>0.17787725979283159</v>
      </c>
      <c r="D1208" s="1">
        <f>w+a*C1207^2+b*D1207</f>
        <v>21.69096287750623</v>
      </c>
      <c r="E1208" s="1">
        <f t="shared" si="18"/>
        <v>-2.4581157348391236</v>
      </c>
      <c r="F1208" s="7">
        <f>SQRT(IRS_returns_2015_25[[#This Row],[  σ2]])</f>
        <v>4.6573557817184454</v>
      </c>
    </row>
    <row r="1209" spans="1:6" x14ac:dyDescent="0.3">
      <c r="A1209" s="2">
        <v>43795</v>
      </c>
      <c r="B1209" s="1">
        <v>-0.36763503253414154</v>
      </c>
      <c r="C1209" s="1">
        <f>IRS_returns_2015_25[[#This Row],[IRSrtn]]-AVERAGE($B$2:$B$2600)</f>
        <v>-0.37341152660075733</v>
      </c>
      <c r="D1209" s="1">
        <f>w+a*C1208^2+b*D1208</f>
        <v>15.793010126995556</v>
      </c>
      <c r="E1209" s="1">
        <f t="shared" si="18"/>
        <v>-2.3031367456906304</v>
      </c>
      <c r="F1209" s="7">
        <f>SQRT(IRS_returns_2015_25[[#This Row],[  σ2]])</f>
        <v>3.9740420389064277</v>
      </c>
    </row>
    <row r="1210" spans="1:6" x14ac:dyDescent="0.3">
      <c r="A1210" s="2">
        <v>43796</v>
      </c>
      <c r="B1210" s="1">
        <v>2.0055355193526969</v>
      </c>
      <c r="C1210" s="1">
        <f>IRS_returns_2015_25[[#This Row],[IRSrtn]]-AVERAGE($B$2:$B$2600)</f>
        <v>1.9997590252860811</v>
      </c>
      <c r="D1210" s="1">
        <f>w+a*C1209^2+b*D1209</f>
        <v>11.892908840185601</v>
      </c>
      <c r="E1210" s="1">
        <f t="shared" si="18"/>
        <v>-2.3250366120624362</v>
      </c>
      <c r="F1210" s="7">
        <f>SQRT(IRS_returns_2015_25[[#This Row],[  σ2]])</f>
        <v>3.4486096967017885</v>
      </c>
    </row>
    <row r="1211" spans="1:6" x14ac:dyDescent="0.3">
      <c r="A1211" s="2">
        <v>43798</v>
      </c>
      <c r="B1211" s="1">
        <v>0.54005224854207778</v>
      </c>
      <c r="C1211" s="1">
        <f>IRS_returns_2015_25[[#This Row],[IRSrtn]]-AVERAGE($B$2:$B$2600)</f>
        <v>0.53427575447546194</v>
      </c>
      <c r="D1211" s="1">
        <f>w+a*C1210^2+b*D1210</f>
        <v>10.236936875185274</v>
      </c>
      <c r="E1211" s="1">
        <f t="shared" si="18"/>
        <v>-2.0958819412570562</v>
      </c>
      <c r="F1211" s="7">
        <f>SQRT(IRS_returns_2015_25[[#This Row],[  σ2]])</f>
        <v>3.1995213509500564</v>
      </c>
    </row>
    <row r="1212" spans="1:6" x14ac:dyDescent="0.3">
      <c r="A1212" s="2">
        <v>43801</v>
      </c>
      <c r="B1212" s="1">
        <v>-4.5921802146463353</v>
      </c>
      <c r="C1212" s="1">
        <f>IRS_returns_2015_25[[#This Row],[IRSrtn]]-AVERAGE($B$2:$B$2600)</f>
        <v>-4.5979567087129514</v>
      </c>
      <c r="D1212" s="1">
        <f>w+a*C1211^2+b*D1211</f>
        <v>8.2297143941212116</v>
      </c>
      <c r="E1212" s="1">
        <f t="shared" si="18"/>
        <v>-3.2572576628807663</v>
      </c>
      <c r="F1212" s="7">
        <f>SQRT(IRS_returns_2015_25[[#This Row],[  σ2]])</f>
        <v>2.8687478791488825</v>
      </c>
    </row>
    <row r="1213" spans="1:6" x14ac:dyDescent="0.3">
      <c r="A1213" s="2">
        <v>43802</v>
      </c>
      <c r="B1213" s="1">
        <v>-0.94429944918912323</v>
      </c>
      <c r="C1213" s="1">
        <f>IRS_returns_2015_25[[#This Row],[IRSrtn]]-AVERAGE($B$2:$B$2600)</f>
        <v>-0.95007594325573907</v>
      </c>
      <c r="D1213" s="1">
        <f>w+a*C1212^2+b*D1212</f>
        <v>11.974972800350891</v>
      </c>
      <c r="E1213" s="1">
        <f t="shared" si="18"/>
        <v>-2.1980367519728543</v>
      </c>
      <c r="F1213" s="7">
        <f>SQRT(IRS_returns_2015_25[[#This Row],[  σ2]])</f>
        <v>3.4604873645703274</v>
      </c>
    </row>
    <row r="1214" spans="1:6" x14ac:dyDescent="0.3">
      <c r="A1214" s="2">
        <v>43803</v>
      </c>
      <c r="B1214" s="1">
        <v>3.3585269284748254</v>
      </c>
      <c r="C1214" s="1">
        <f>IRS_returns_2015_25[[#This Row],[IRSrtn]]-AVERAGE($B$2:$B$2600)</f>
        <v>3.3527504344082097</v>
      </c>
      <c r="D1214" s="1">
        <f>w+a*C1213^2+b*D1213</f>
        <v>9.5371330640703569</v>
      </c>
      <c r="E1214" s="1">
        <f t="shared" si="18"/>
        <v>-2.6358596585727589</v>
      </c>
      <c r="F1214" s="7">
        <f>SQRT(IRS_returns_2015_25[[#This Row],[  σ2]])</f>
        <v>3.0882249050336923</v>
      </c>
    </row>
    <row r="1215" spans="1:6" x14ac:dyDescent="0.3">
      <c r="A1215" s="2">
        <v>43804</v>
      </c>
      <c r="B1215" s="1">
        <v>-1.8518943352726192</v>
      </c>
      <c r="C1215" s="1">
        <f>IRS_returns_2015_25[[#This Row],[IRSrtn]]-AVERAGE($B$2:$B$2600)</f>
        <v>-1.857670829339235</v>
      </c>
      <c r="D1215" s="1">
        <f>w+a*C1214^2+b*D1214</f>
        <v>10.433144661896469</v>
      </c>
      <c r="E1215" s="1">
        <f t="shared" si="18"/>
        <v>-2.2568159413179902</v>
      </c>
      <c r="F1215" s="7">
        <f>SQRT(IRS_returns_2015_25[[#This Row],[  σ2]])</f>
        <v>3.2300378731365469</v>
      </c>
    </row>
    <row r="1216" spans="1:6" x14ac:dyDescent="0.3">
      <c r="A1216" s="2">
        <v>43805</v>
      </c>
      <c r="B1216" s="1">
        <v>3.8501332422174794</v>
      </c>
      <c r="C1216" s="1">
        <f>IRS_returns_2015_25[[#This Row],[IRSrtn]]-AVERAGE($B$2:$B$2600)</f>
        <v>3.8443567481508638</v>
      </c>
      <c r="D1216" s="1">
        <f>w+a*C1215^2+b*D1215</f>
        <v>9.1316041835068393</v>
      </c>
      <c r="E1216" s="1">
        <f t="shared" si="18"/>
        <v>-2.8340360876752944</v>
      </c>
      <c r="F1216" s="7">
        <f>SQRT(IRS_returns_2015_25[[#This Row],[  σ2]])</f>
        <v>3.0218544279145609</v>
      </c>
    </row>
    <row r="1217" spans="1:6" x14ac:dyDescent="0.3">
      <c r="A1217" s="2">
        <v>43808</v>
      </c>
      <c r="B1217" s="1">
        <v>14.537647824323564</v>
      </c>
      <c r="C1217" s="1">
        <f>IRS_returns_2015_25[[#This Row],[IRSrtn]]-AVERAGE($B$2:$B$2600)</f>
        <v>14.531871330256948</v>
      </c>
      <c r="D1217" s="1">
        <f>w+a*C1216^2+b*D1216</f>
        <v>11.025245112929316</v>
      </c>
      <c r="E1217" s="1">
        <f t="shared" si="18"/>
        <v>-11.695929843714957</v>
      </c>
      <c r="F1217" s="7">
        <f>SQRT(IRS_returns_2015_25[[#This Row],[  σ2]])</f>
        <v>3.3204284532164392</v>
      </c>
    </row>
    <row r="1218" spans="1:6" x14ac:dyDescent="0.3">
      <c r="A1218" s="2">
        <v>43809</v>
      </c>
      <c r="B1218" s="1">
        <v>-4.2897701633166196</v>
      </c>
      <c r="C1218" s="1">
        <f>IRS_returns_2015_25[[#This Row],[IRSrtn]]-AVERAGE($B$2:$B$2600)</f>
        <v>-4.2955466573832357</v>
      </c>
      <c r="D1218" s="1">
        <f>w+a*C1217^2+b*D1217</f>
        <v>60.137763595018747</v>
      </c>
      <c r="E1218" s="1">
        <f t="shared" ref="E1218:E1281" si="19">-0.5*(LN(2*PI())+LN(D1218)+C1218^2/D1218)</f>
        <v>-3.1206696273253747</v>
      </c>
      <c r="F1218" s="7">
        <f>SQRT(IRS_returns_2015_25[[#This Row],[  σ2]])</f>
        <v>7.7548541956002461</v>
      </c>
    </row>
    <row r="1219" spans="1:6" x14ac:dyDescent="0.3">
      <c r="A1219" s="2">
        <v>43810</v>
      </c>
      <c r="B1219" s="1">
        <v>-2.4652077273224826</v>
      </c>
      <c r="C1219" s="1">
        <f>IRS_returns_2015_25[[#This Row],[IRSrtn]]-AVERAGE($B$2:$B$2600)</f>
        <v>-2.4709842213890982</v>
      </c>
      <c r="D1219" s="1">
        <f>w+a*C1218^2+b*D1218</f>
        <v>45.875736357507918</v>
      </c>
      <c r="E1219" s="1">
        <f t="shared" si="19"/>
        <v>-2.8984534697113071</v>
      </c>
      <c r="F1219" s="7">
        <f>SQRT(IRS_returns_2015_25[[#This Row],[  σ2]])</f>
        <v>6.7731629507570474</v>
      </c>
    </row>
    <row r="1220" spans="1:6" x14ac:dyDescent="0.3">
      <c r="A1220" s="2">
        <v>43811</v>
      </c>
      <c r="B1220" s="1">
        <v>5.0294544959720078</v>
      </c>
      <c r="C1220" s="1">
        <f>IRS_returns_2015_25[[#This Row],[IRSrtn]]-AVERAGE($B$2:$B$2600)</f>
        <v>5.0236780019053917</v>
      </c>
      <c r="D1220" s="1">
        <f>w+a*C1219^2+b*D1219</f>
        <v>33.373176632469722</v>
      </c>
      <c r="E1220" s="1">
        <f t="shared" si="19"/>
        <v>-3.05092293216059</v>
      </c>
      <c r="F1220" s="7">
        <f>SQRT(IRS_returns_2015_25[[#This Row],[  σ2]])</f>
        <v>5.7769521923302882</v>
      </c>
    </row>
    <row r="1221" spans="1:6" x14ac:dyDescent="0.3">
      <c r="A1221" s="2">
        <v>43812</v>
      </c>
      <c r="B1221" s="1">
        <v>-0.31695569198224582</v>
      </c>
      <c r="C1221" s="1">
        <f>IRS_returns_2015_25[[#This Row],[IRSrtn]]-AVERAGE($B$2:$B$2600)</f>
        <v>-0.32273218604886161</v>
      </c>
      <c r="D1221" s="1">
        <f>w+a*C1220^2+b*D1220</f>
        <v>29.711418133109031</v>
      </c>
      <c r="E1221" s="1">
        <f t="shared" si="19"/>
        <v>-2.6164570388605197</v>
      </c>
      <c r="F1221" s="7">
        <f>SQRT(IRS_returns_2015_25[[#This Row],[  σ2]])</f>
        <v>5.4508181159445259</v>
      </c>
    </row>
    <row r="1222" spans="1:6" x14ac:dyDescent="0.3">
      <c r="A1222" s="2">
        <v>43815</v>
      </c>
      <c r="B1222" s="1">
        <v>5.856828663130198</v>
      </c>
      <c r="C1222" s="1">
        <f>IRS_returns_2015_25[[#This Row],[IRSrtn]]-AVERAGE($B$2:$B$2600)</f>
        <v>5.8510521690635819</v>
      </c>
      <c r="D1222" s="1">
        <f>w+a*C1221^2+b*D1221</f>
        <v>21.150029683454928</v>
      </c>
      <c r="E1222" s="1">
        <f t="shared" si="19"/>
        <v>-3.2540916566593272</v>
      </c>
      <c r="F1222" s="7">
        <f>SQRT(IRS_returns_2015_25[[#This Row],[  σ2]])</f>
        <v>4.5989161422507943</v>
      </c>
    </row>
    <row r="1223" spans="1:6" x14ac:dyDescent="0.3">
      <c r="A1223" s="2">
        <v>43816</v>
      </c>
      <c r="B1223" s="1">
        <v>4.6792229026524357</v>
      </c>
      <c r="C1223" s="1">
        <f>IRS_returns_2015_25[[#This Row],[IRSrtn]]-AVERAGE($B$2:$B$2600)</f>
        <v>4.6734464085858196</v>
      </c>
      <c r="D1223" s="1">
        <f>w+a*C1222^2+b*D1222</f>
        <v>23.766496603961905</v>
      </c>
      <c r="E1223" s="1">
        <f t="shared" si="19"/>
        <v>-2.9625704731142233</v>
      </c>
      <c r="F1223" s="7">
        <f>SQRT(IRS_returns_2015_25[[#This Row],[  σ2]])</f>
        <v>4.8750893944585165</v>
      </c>
    </row>
    <row r="1224" spans="1:6" x14ac:dyDescent="0.3">
      <c r="A1224" s="2">
        <v>43817</v>
      </c>
      <c r="B1224" s="1">
        <v>-1.5839055847017391</v>
      </c>
      <c r="C1224" s="1">
        <f>IRS_returns_2015_25[[#This Row],[IRSrtn]]-AVERAGE($B$2:$B$2600)</f>
        <v>-1.589682078768355</v>
      </c>
      <c r="D1224" s="1">
        <f>w+a*C1223^2+b*D1223</f>
        <v>22.488597750498627</v>
      </c>
      <c r="E1224" s="1">
        <f t="shared" si="19"/>
        <v>-2.5316287492704372</v>
      </c>
      <c r="F1224" s="7">
        <f>SQRT(IRS_returns_2015_25[[#This Row],[  σ2]])</f>
        <v>4.7422144353138043</v>
      </c>
    </row>
    <row r="1225" spans="1:6" x14ac:dyDescent="0.3">
      <c r="A1225" s="2">
        <v>43818</v>
      </c>
      <c r="B1225" s="1">
        <v>-1.9048253193959086</v>
      </c>
      <c r="C1225" s="1">
        <f>IRS_returns_2015_25[[#This Row],[IRSrtn]]-AVERAGE($B$2:$B$2600)</f>
        <v>-1.9106018134625244</v>
      </c>
      <c r="D1225" s="1">
        <f>w+a*C1224^2+b*D1224</f>
        <v>16.932024514178153</v>
      </c>
      <c r="E1225" s="1">
        <f t="shared" si="19"/>
        <v>-2.4413376308297856</v>
      </c>
      <c r="F1225" s="7">
        <f>SQRT(IRS_returns_2015_25[[#This Row],[  σ2]])</f>
        <v>4.1148541303645443</v>
      </c>
    </row>
    <row r="1226" spans="1:6" x14ac:dyDescent="0.3">
      <c r="A1226" s="2">
        <v>43819</v>
      </c>
      <c r="B1226" s="1">
        <v>1.7595828320160045</v>
      </c>
      <c r="C1226" s="1">
        <f>IRS_returns_2015_25[[#This Row],[IRSrtn]]-AVERAGE($B$2:$B$2600)</f>
        <v>1.7538063379493887</v>
      </c>
      <c r="D1226" s="1">
        <f>w+a*C1225^2+b*D1225</f>
        <v>13.506615107072891</v>
      </c>
      <c r="E1226" s="1">
        <f t="shared" si="19"/>
        <v>-2.3343924022865843</v>
      </c>
      <c r="F1226" s="7">
        <f>SQRT(IRS_returns_2015_25[[#This Row],[  σ2]])</f>
        <v>3.6751347059764887</v>
      </c>
    </row>
    <row r="1227" spans="1:6" x14ac:dyDescent="0.3">
      <c r="A1227" s="2">
        <v>43822</v>
      </c>
      <c r="B1227" s="1">
        <v>1.4430264594225806</v>
      </c>
      <c r="C1227" s="1">
        <f>IRS_returns_2015_25[[#This Row],[IRSrtn]]-AVERAGE($B$2:$B$2600)</f>
        <v>1.4372499653559647</v>
      </c>
      <c r="D1227" s="1">
        <f>w+a*C1226^2+b*D1226</f>
        <v>11.086270765639913</v>
      </c>
      <c r="E1227" s="1">
        <f t="shared" si="19"/>
        <v>-2.2149564872580347</v>
      </c>
      <c r="F1227" s="7">
        <f>SQRT(IRS_returns_2015_25[[#This Row],[  σ2]])</f>
        <v>3.329605196662198</v>
      </c>
    </row>
    <row r="1228" spans="1:6" x14ac:dyDescent="0.3">
      <c r="A1228" s="2">
        <v>43823</v>
      </c>
      <c r="B1228" s="1">
        <v>4.7561379640398416</v>
      </c>
      <c r="C1228" s="1">
        <f>IRS_returns_2015_25[[#This Row],[IRSrtn]]-AVERAGE($B$2:$B$2600)</f>
        <v>4.7503614699732255</v>
      </c>
      <c r="D1228" s="1">
        <f>w+a*C1227^2+b*D1227</f>
        <v>9.2288844645895125</v>
      </c>
      <c r="E1228" s="1">
        <f t="shared" si="19"/>
        <v>-3.2526786823371108</v>
      </c>
      <c r="F1228" s="7">
        <f>SQRT(IRS_returns_2015_25[[#This Row],[  σ2]])</f>
        <v>3.0379079091686623</v>
      </c>
    </row>
    <row r="1229" spans="1:6" x14ac:dyDescent="0.3">
      <c r="A1229" s="2">
        <v>43825</v>
      </c>
      <c r="B1229" s="1">
        <v>0.40898855964293102</v>
      </c>
      <c r="C1229" s="1">
        <f>IRS_returns_2015_25[[#This Row],[IRSrtn]]-AVERAGE($B$2:$B$2600)</f>
        <v>0.40321206557631523</v>
      </c>
      <c r="D1229" s="1">
        <f>w+a*C1228^2+b*D1228</f>
        <v>12.987271712227532</v>
      </c>
      <c r="E1229" s="1">
        <f t="shared" si="19"/>
        <v>-2.2071826267338808</v>
      </c>
      <c r="F1229" s="7">
        <f>SQRT(IRS_returns_2015_25[[#This Row],[  σ2]])</f>
        <v>3.603785747270158</v>
      </c>
    </row>
    <row r="1230" spans="1:6" x14ac:dyDescent="0.3">
      <c r="A1230" s="2">
        <v>43826</v>
      </c>
      <c r="B1230" s="1">
        <v>-2.4794598596284523</v>
      </c>
      <c r="C1230" s="1">
        <f>IRS_returns_2015_25[[#This Row],[IRSrtn]]-AVERAGE($B$2:$B$2600)</f>
        <v>-2.4852363536950679</v>
      </c>
      <c r="D1230" s="1">
        <f>w+a*C1229^2+b*D1229</f>
        <v>10.030720866176463</v>
      </c>
      <c r="E1230" s="1">
        <f t="shared" si="19"/>
        <v>-2.3796389389696726</v>
      </c>
      <c r="F1230" s="7">
        <f>SQRT(IRS_returns_2015_25[[#This Row],[  σ2]])</f>
        <v>3.1671313307434006</v>
      </c>
    </row>
    <row r="1231" spans="1:6" x14ac:dyDescent="0.3">
      <c r="A1231" s="2">
        <v>43829</v>
      </c>
      <c r="B1231" s="1">
        <v>-3.9834506360969968</v>
      </c>
      <c r="C1231" s="1">
        <f>IRS_returns_2015_25[[#This Row],[IRSrtn]]-AVERAGE($B$2:$B$2600)</f>
        <v>-3.9892271301636124</v>
      </c>
      <c r="D1231" s="1">
        <f>w+a*C1230^2+b*D1230</f>
        <v>9.5277613489553303</v>
      </c>
      <c r="E1231" s="1">
        <f t="shared" si="19"/>
        <v>-2.8811783806784295</v>
      </c>
      <c r="F1231" s="7">
        <f>SQRT(IRS_returns_2015_25[[#This Row],[  σ2]])</f>
        <v>3.0867072016884483</v>
      </c>
    </row>
    <row r="1232" spans="1:6" x14ac:dyDescent="0.3">
      <c r="A1232" s="2">
        <v>43830</v>
      </c>
      <c r="B1232" s="1">
        <v>0.43446601267727036</v>
      </c>
      <c r="C1232" s="1">
        <f>IRS_returns_2015_25[[#This Row],[IRSrtn]]-AVERAGE($B$2:$B$2600)</f>
        <v>0.42868951861065457</v>
      </c>
      <c r="D1232" s="1">
        <f>w+a*C1231^2+b*D1231</f>
        <v>11.565480544147228</v>
      </c>
      <c r="E1232" s="1">
        <f t="shared" si="19"/>
        <v>-2.1508959225818889</v>
      </c>
      <c r="F1232" s="7">
        <f>SQRT(IRS_returns_2015_25[[#This Row],[  σ2]])</f>
        <v>3.4008058668714432</v>
      </c>
    </row>
    <row r="1233" spans="1:6" x14ac:dyDescent="0.3">
      <c r="A1233" s="2">
        <v>43832</v>
      </c>
      <c r="B1233" s="1">
        <v>-5.4950660650502803</v>
      </c>
      <c r="C1233" s="1">
        <f>IRS_returns_2015_25[[#This Row],[IRSrtn]]-AVERAGE($B$2:$B$2600)</f>
        <v>-5.5008425591168963</v>
      </c>
      <c r="D1233" s="1">
        <f>w+a*C1232^2+b*D1232</f>
        <v>9.089374814656022</v>
      </c>
      <c r="E1233" s="1">
        <f t="shared" si="19"/>
        <v>-3.6870323099761158</v>
      </c>
      <c r="F1233" s="7">
        <f>SQRT(IRS_returns_2015_25[[#This Row],[  σ2]])</f>
        <v>3.0148590041088195</v>
      </c>
    </row>
    <row r="1234" spans="1:6" x14ac:dyDescent="0.3">
      <c r="A1234" s="2">
        <v>43833</v>
      </c>
      <c r="B1234" s="1">
        <v>-5.1695294703262951</v>
      </c>
      <c r="C1234" s="1">
        <f>IRS_returns_2015_25[[#This Row],[IRSrtn]]-AVERAGE($B$2:$B$2600)</f>
        <v>-5.1753059643929111</v>
      </c>
      <c r="D1234" s="1">
        <f>w+a*C1233^2+b*D1233</f>
        <v>14.76887704296095</v>
      </c>
      <c r="E1234" s="1">
        <f t="shared" si="19"/>
        <v>-3.1719642348577546</v>
      </c>
      <c r="F1234" s="7">
        <f>SQRT(IRS_returns_2015_25[[#This Row],[  σ2]])</f>
        <v>3.8430296697997206</v>
      </c>
    </row>
    <row r="1235" spans="1:6" x14ac:dyDescent="0.3">
      <c r="A1235" s="2">
        <v>43836</v>
      </c>
      <c r="B1235" s="1">
        <v>-2.2765083457503055</v>
      </c>
      <c r="C1235" s="1">
        <f>IRS_returns_2015_25[[#This Row],[IRSrtn]]-AVERAGE($B$2:$B$2600)</f>
        <v>-2.2822848398169211</v>
      </c>
      <c r="D1235" s="1">
        <f>w+a*C1234^2+b*D1234</f>
        <v>17.703017423795341</v>
      </c>
      <c r="E1235" s="1">
        <f t="shared" si="19"/>
        <v>-2.502922927258822</v>
      </c>
      <c r="F1235" s="7">
        <f>SQRT(IRS_returns_2015_25[[#This Row],[  σ2]])</f>
        <v>4.2074953860694064</v>
      </c>
    </row>
    <row r="1236" spans="1:6" x14ac:dyDescent="0.3">
      <c r="A1236" s="2">
        <v>43837</v>
      </c>
      <c r="B1236" s="1">
        <v>4.6594693105322715</v>
      </c>
      <c r="C1236" s="1">
        <f>IRS_returns_2015_25[[#This Row],[IRSrtn]]-AVERAGE($B$2:$B$2600)</f>
        <v>4.6536928164656555</v>
      </c>
      <c r="D1236" s="1">
        <f>w+a*C1235^2+b*D1235</f>
        <v>14.399587815104599</v>
      </c>
      <c r="E1236" s="1">
        <f t="shared" si="19"/>
        <v>-3.004534044890935</v>
      </c>
      <c r="F1236" s="7">
        <f>SQRT(IRS_returns_2015_25[[#This Row],[  σ2]])</f>
        <v>3.7946788816847992</v>
      </c>
    </row>
    <row r="1237" spans="1:6" x14ac:dyDescent="0.3">
      <c r="A1237" s="2">
        <v>43838</v>
      </c>
      <c r="B1237" s="1">
        <v>-0.47207636762152116</v>
      </c>
      <c r="C1237" s="1">
        <f>IRS_returns_2015_25[[#This Row],[IRSrtn]]-AVERAGE($B$2:$B$2600)</f>
        <v>-0.47785286168813695</v>
      </c>
      <c r="D1237" s="1">
        <f>w+a*C1236^2+b*D1236</f>
        <v>16.207998886814195</v>
      </c>
      <c r="E1237" s="1">
        <f t="shared" si="19"/>
        <v>-2.3187351289938865</v>
      </c>
      <c r="F1237" s="7">
        <f>SQRT(IRS_returns_2015_25[[#This Row],[  σ2]])</f>
        <v>4.0259159065750731</v>
      </c>
    </row>
    <row r="1238" spans="1:6" x14ac:dyDescent="0.3">
      <c r="A1238" s="2">
        <v>43839</v>
      </c>
      <c r="B1238" s="1">
        <v>0.47207636762152116</v>
      </c>
      <c r="C1238" s="1">
        <f>IRS_returns_2015_25[[#This Row],[IRSrtn]]-AVERAGE($B$2:$B$2600)</f>
        <v>0.46629987355490538</v>
      </c>
      <c r="D1238" s="1">
        <f>w+a*C1237^2+b*D1237</f>
        <v>12.190836009533138</v>
      </c>
      <c r="E1238" s="1">
        <f t="shared" si="19"/>
        <v>-2.1781987872273327</v>
      </c>
      <c r="F1238" s="7">
        <f>SQRT(IRS_returns_2015_25[[#This Row],[  σ2]])</f>
        <v>3.4915377714601825</v>
      </c>
    </row>
    <row r="1239" spans="1:6" x14ac:dyDescent="0.3">
      <c r="A1239" s="2">
        <v>43840</v>
      </c>
      <c r="B1239" s="1">
        <v>-0.15710834648312577</v>
      </c>
      <c r="C1239" s="1">
        <f>IRS_returns_2015_25[[#This Row],[IRSrtn]]-AVERAGE($B$2:$B$2600)</f>
        <v>-0.16288484054974156</v>
      </c>
      <c r="D1239" s="1">
        <f>w+a*C1238^2+b*D1238</f>
        <v>9.5138858626087046</v>
      </c>
      <c r="E1239" s="1">
        <f t="shared" si="19"/>
        <v>-2.0467090889209376</v>
      </c>
      <c r="F1239" s="7">
        <f>SQRT(IRS_returns_2015_25[[#This Row],[  σ2]])</f>
        <v>3.0844587633179188</v>
      </c>
    </row>
    <row r="1240" spans="1:6" x14ac:dyDescent="0.3">
      <c r="A1240" s="2">
        <v>43843</v>
      </c>
      <c r="B1240" s="1">
        <v>1.7147810490249604</v>
      </c>
      <c r="C1240" s="1">
        <f>IRS_returns_2015_25[[#This Row],[IRSrtn]]-AVERAGE($B$2:$B$2600)</f>
        <v>1.7090045549583446</v>
      </c>
      <c r="D1240" s="1">
        <f>w+a*C1239^2+b*D1239</f>
        <v>7.6852816690556347</v>
      </c>
      <c r="E1240" s="1">
        <f t="shared" si="19"/>
        <v>-2.1286108842184674</v>
      </c>
      <c r="F1240" s="7">
        <f>SQRT(IRS_returns_2015_25[[#This Row],[  σ2]])</f>
        <v>2.7722340574085074</v>
      </c>
    </row>
    <row r="1241" spans="1:6" x14ac:dyDescent="0.3">
      <c r="A1241" s="2">
        <v>43844</v>
      </c>
      <c r="B1241" s="1">
        <v>-2.8215144611673626</v>
      </c>
      <c r="C1241" s="1">
        <f>IRS_returns_2015_25[[#This Row],[IRSrtn]]-AVERAGE($B$2:$B$2600)</f>
        <v>-2.8272909552339782</v>
      </c>
      <c r="D1241" s="1">
        <f>w+a*C1240^2+b*D1240</f>
        <v>7.1731119521089779</v>
      </c>
      <c r="E1241" s="1">
        <f t="shared" si="19"/>
        <v>-2.4612984403301654</v>
      </c>
      <c r="F1241" s="7">
        <f>SQRT(IRS_returns_2015_25[[#This Row],[  σ2]])</f>
        <v>2.6782665946669644</v>
      </c>
    </row>
    <row r="1242" spans="1:6" x14ac:dyDescent="0.3">
      <c r="A1242" s="2">
        <v>43845</v>
      </c>
      <c r="B1242" s="1">
        <v>-2.4136192790330302</v>
      </c>
      <c r="C1242" s="1">
        <f>IRS_returns_2015_25[[#This Row],[IRSrtn]]-AVERAGE($B$2:$B$2600)</f>
        <v>-2.4193957730996458</v>
      </c>
      <c r="D1242" s="1">
        <f>w+a*C1241^2+b*D1241</f>
        <v>8.0681574599396857</v>
      </c>
      <c r="E1242" s="1">
        <f t="shared" si="19"/>
        <v>-2.3256528162036392</v>
      </c>
      <c r="F1242" s="7">
        <f>SQRT(IRS_returns_2015_25[[#This Row],[  σ2]])</f>
        <v>2.8404502213451455</v>
      </c>
    </row>
    <row r="1243" spans="1:6" x14ac:dyDescent="0.3">
      <c r="A1243" s="2">
        <v>43846</v>
      </c>
      <c r="B1243" s="1">
        <v>-1.4766478615571232</v>
      </c>
      <c r="C1243" s="1">
        <f>IRS_returns_2015_25[[#This Row],[IRSrtn]]-AVERAGE($B$2:$B$2600)</f>
        <v>-1.4824243556237391</v>
      </c>
      <c r="D1243" s="1">
        <f>w+a*C1242^2+b*D1242</f>
        <v>8.1425697727345678</v>
      </c>
      <c r="E1243" s="1">
        <f t="shared" si="19"/>
        <v>-2.1024354528480522</v>
      </c>
      <c r="F1243" s="7">
        <f>SQRT(IRS_returns_2015_25[[#This Row],[  σ2]])</f>
        <v>2.8535188404379896</v>
      </c>
    </row>
    <row r="1244" spans="1:6" x14ac:dyDescent="0.3">
      <c r="A1244" s="2">
        <v>43847</v>
      </c>
      <c r="B1244" s="1">
        <v>2.2876777167616824</v>
      </c>
      <c r="C1244" s="1">
        <f>IRS_returns_2015_25[[#This Row],[IRSrtn]]-AVERAGE($B$2:$B$2600)</f>
        <v>2.2819012226950668</v>
      </c>
      <c r="D1244" s="1">
        <f>w+a*C1243^2+b*D1243</f>
        <v>7.3013495807728219</v>
      </c>
      <c r="E1244" s="1">
        <f t="shared" si="19"/>
        <v>-2.2695510614772774</v>
      </c>
      <c r="F1244" s="7">
        <f>SQRT(IRS_returns_2015_25[[#This Row],[  σ2]])</f>
        <v>2.7021009568061705</v>
      </c>
    </row>
    <row r="1245" spans="1:6" x14ac:dyDescent="0.3">
      <c r="A1245" s="2">
        <v>43851</v>
      </c>
      <c r="B1245" s="1">
        <v>-4.6289273926170216</v>
      </c>
      <c r="C1245" s="1">
        <f>IRS_returns_2015_25[[#This Row],[IRSrtn]]-AVERAGE($B$2:$B$2600)</f>
        <v>-4.6347038866836376</v>
      </c>
      <c r="D1245" s="1">
        <f>w+a*C1244^2+b*D1244</f>
        <v>7.4745970792079035</v>
      </c>
      <c r="E1245" s="1">
        <f t="shared" si="19"/>
        <v>-3.3615925057826015</v>
      </c>
      <c r="F1245" s="7">
        <f>SQRT(IRS_returns_2015_25[[#This Row],[  σ2]])</f>
        <v>2.7339709360576427</v>
      </c>
    </row>
    <row r="1246" spans="1:6" x14ac:dyDescent="0.3">
      <c r="A1246" s="2">
        <v>43852</v>
      </c>
      <c r="B1246" s="1">
        <v>-0.33898146429303111</v>
      </c>
      <c r="C1246" s="1">
        <f>IRS_returns_2015_25[[#This Row],[IRSrtn]]-AVERAGE($B$2:$B$2600)</f>
        <v>-0.3447579583596469</v>
      </c>
      <c r="D1246" s="1">
        <f>w+a*C1245^2+b*D1245</f>
        <v>11.554942669037118</v>
      </c>
      <c r="E1246" s="1">
        <f t="shared" si="19"/>
        <v>-2.1476383434483242</v>
      </c>
      <c r="F1246" s="7">
        <f>SQRT(IRS_returns_2015_25[[#This Row],[  σ2]])</f>
        <v>3.3992561934983834</v>
      </c>
    </row>
    <row r="1247" spans="1:6" x14ac:dyDescent="0.3">
      <c r="A1247" s="2">
        <v>43853</v>
      </c>
      <c r="B1247" s="1">
        <v>3.1748707288317801</v>
      </c>
      <c r="C1247" s="1">
        <f>IRS_returns_2015_25[[#This Row],[IRSrtn]]-AVERAGE($B$2:$B$2600)</f>
        <v>3.1690942347651645</v>
      </c>
      <c r="D1247" s="1">
        <f>w+a*C1246^2+b*D1246</f>
        <v>9.0665426474554565</v>
      </c>
      <c r="E1247" s="1">
        <f t="shared" si="19"/>
        <v>-2.575092252003973</v>
      </c>
      <c r="F1247" s="7">
        <f>SQRT(IRS_returns_2015_25[[#This Row],[  σ2]])</f>
        <v>3.0110700170297364</v>
      </c>
    </row>
    <row r="1248" spans="1:6" x14ac:dyDescent="0.3">
      <c r="A1248" s="2">
        <v>43854</v>
      </c>
      <c r="B1248" s="1">
        <v>-0.99173802808110167</v>
      </c>
      <c r="C1248" s="1">
        <f>IRS_returns_2015_25[[#This Row],[IRSrtn]]-AVERAGE($B$2:$B$2600)</f>
        <v>-0.99751452214771752</v>
      </c>
      <c r="D1248" s="1">
        <f>w+a*C1247^2+b*D1247</f>
        <v>9.8280266170222852</v>
      </c>
      <c r="E1248" s="1">
        <f t="shared" si="19"/>
        <v>-2.1121799451113894</v>
      </c>
      <c r="F1248" s="7">
        <f>SQRT(IRS_returns_2015_25[[#This Row],[  σ2]])</f>
        <v>3.1349683598119911</v>
      </c>
    </row>
    <row r="1249" spans="1:6" x14ac:dyDescent="0.3">
      <c r="A1249" s="2">
        <v>43857</v>
      </c>
      <c r="B1249" s="1">
        <v>-1.5063244829826017</v>
      </c>
      <c r="C1249" s="1">
        <f>IRS_returns_2015_25[[#This Row],[IRSrtn]]-AVERAGE($B$2:$B$2600)</f>
        <v>-1.5121009770492175</v>
      </c>
      <c r="D1249" s="1">
        <f>w+a*C1248^2+b*D1248</f>
        <v>8.1303861344764314</v>
      </c>
      <c r="E1249" s="1">
        <f t="shared" si="19"/>
        <v>-2.1073541057046752</v>
      </c>
      <c r="F1249" s="7">
        <f>SQRT(IRS_returns_2015_25[[#This Row],[  σ2]])</f>
        <v>2.8513831967093499</v>
      </c>
    </row>
    <row r="1250" spans="1:6" x14ac:dyDescent="0.3">
      <c r="A1250" s="2">
        <v>43858</v>
      </c>
      <c r="B1250" s="1">
        <v>-0.84673083260962123</v>
      </c>
      <c r="C1250" s="1">
        <f>IRS_returns_2015_25[[#This Row],[IRSrtn]]-AVERAGE($B$2:$B$2600)</f>
        <v>-0.85250732667623708</v>
      </c>
      <c r="D1250" s="1">
        <f>w+a*C1249^2+b*D1249</f>
        <v>7.3148912493104792</v>
      </c>
      <c r="E1250" s="1">
        <f t="shared" si="19"/>
        <v>-1.9635719612698102</v>
      </c>
      <c r="F1250" s="7">
        <f>SQRT(IRS_returns_2015_25[[#This Row],[  σ2]])</f>
        <v>2.7046055626117607</v>
      </c>
    </row>
    <row r="1251" spans="1:6" x14ac:dyDescent="0.3">
      <c r="A1251" s="2">
        <v>43859</v>
      </c>
      <c r="B1251" s="1">
        <v>-1.7153176436004669</v>
      </c>
      <c r="C1251" s="1">
        <f>IRS_returns_2015_25[[#This Row],[IRSrtn]]-AVERAGE($B$2:$B$2600)</f>
        <v>-1.7210941376670827</v>
      </c>
      <c r="D1251" s="1">
        <f>w+a*C1250^2+b*D1250</f>
        <v>6.391986851565937</v>
      </c>
      <c r="E1251" s="1">
        <f t="shared" si="19"/>
        <v>-2.0781703645558829</v>
      </c>
      <c r="F1251" s="7">
        <f>SQRT(IRS_returns_2015_25[[#This Row],[  σ2]])</f>
        <v>2.5282378945751796</v>
      </c>
    </row>
    <row r="1252" spans="1:6" x14ac:dyDescent="0.3">
      <c r="A1252" s="2">
        <v>43860</v>
      </c>
      <c r="B1252" s="1">
        <v>-4.9655614919918767</v>
      </c>
      <c r="C1252" s="1">
        <f>IRS_returns_2015_25[[#This Row],[IRSrtn]]-AVERAGE($B$2:$B$2600)</f>
        <v>-4.9713379860584928</v>
      </c>
      <c r="D1252" s="1">
        <f>w+a*C1251^2+b*D1251</f>
        <v>6.3222477579905565</v>
      </c>
      <c r="E1252" s="1">
        <f t="shared" si="19"/>
        <v>-3.7955182364805116</v>
      </c>
      <c r="F1252" s="7">
        <f>SQRT(IRS_returns_2015_25[[#This Row],[  σ2]])</f>
        <v>2.5144080333133196</v>
      </c>
    </row>
    <row r="1253" spans="1:6" x14ac:dyDescent="0.3">
      <c r="A1253" s="2">
        <v>43861</v>
      </c>
      <c r="B1253" s="1">
        <v>-3.327470757270401</v>
      </c>
      <c r="C1253" s="1">
        <f>IRS_returns_2015_25[[#This Row],[IRSrtn]]-AVERAGE($B$2:$B$2600)</f>
        <v>-3.3332472513370166</v>
      </c>
      <c r="D1253" s="1">
        <f>w+a*C1252^2+b*D1252</f>
        <v>11.575699902152909</v>
      </c>
      <c r="E1253" s="1">
        <f t="shared" si="19"/>
        <v>-2.623300360946367</v>
      </c>
      <c r="F1253" s="7">
        <f>SQRT(IRS_returns_2015_25[[#This Row],[  σ2]])</f>
        <v>3.402308025760294</v>
      </c>
    </row>
    <row r="1254" spans="1:6" x14ac:dyDescent="0.3">
      <c r="A1254" s="2">
        <v>43864</v>
      </c>
      <c r="B1254" s="1">
        <v>3.1454983632399403</v>
      </c>
      <c r="C1254" s="1">
        <f>IRS_returns_2015_25[[#This Row],[IRSrtn]]-AVERAGE($B$2:$B$2600)</f>
        <v>3.1397218691733246</v>
      </c>
      <c r="D1254" s="1">
        <f>w+a*C1253^2+b*D1253</f>
        <v>11.758481176973289</v>
      </c>
      <c r="E1254" s="1">
        <f t="shared" si="19"/>
        <v>-2.5704064830462188</v>
      </c>
      <c r="F1254" s="7">
        <f>SQRT(IRS_returns_2015_25[[#This Row],[  σ2]])</f>
        <v>3.4290641838515197</v>
      </c>
    </row>
    <row r="1255" spans="1:6" x14ac:dyDescent="0.3">
      <c r="A1255" s="2">
        <v>43865</v>
      </c>
      <c r="B1255" s="1">
        <v>-2.5831652192268573</v>
      </c>
      <c r="C1255" s="1">
        <f>IRS_returns_2015_25[[#This Row],[IRSrtn]]-AVERAGE($B$2:$B$2600)</f>
        <v>-2.5889417132934729</v>
      </c>
      <c r="D1255" s="1">
        <f>w+a*C1254^2+b*D1254</f>
        <v>11.574945602765133</v>
      </c>
      <c r="E1255" s="1">
        <f t="shared" si="19"/>
        <v>-2.4328913308961204</v>
      </c>
      <c r="F1255" s="7">
        <f>SQRT(IRS_returns_2015_25[[#This Row],[  σ2]])</f>
        <v>3.4021971728230471</v>
      </c>
    </row>
    <row r="1256" spans="1:6" x14ac:dyDescent="0.3">
      <c r="A1256" s="2">
        <v>43866</v>
      </c>
      <c r="B1256" s="1">
        <v>2.5831652192268573</v>
      </c>
      <c r="C1256" s="1">
        <f>IRS_returns_2015_25[[#This Row],[IRSrtn]]-AVERAGE($B$2:$B$2600)</f>
        <v>2.5773887251602416</v>
      </c>
      <c r="D1256" s="1">
        <f>w+a*C1255^2+b*D1255</f>
        <v>10.683990815239532</v>
      </c>
      <c r="E1256" s="1">
        <f t="shared" si="19"/>
        <v>-2.4141943020650634</v>
      </c>
      <c r="F1256" s="7">
        <f>SQRT(IRS_returns_2015_25[[#This Row],[  σ2]])</f>
        <v>3.2686374554605369</v>
      </c>
    </row>
    <row r="1257" spans="1:6" x14ac:dyDescent="0.3">
      <c r="A1257" s="2">
        <v>43867</v>
      </c>
      <c r="B1257" s="1">
        <v>-3.5221445232762383</v>
      </c>
      <c r="C1257" s="1">
        <f>IRS_returns_2015_25[[#This Row],[IRSrtn]]-AVERAGE($B$2:$B$2600)</f>
        <v>-3.5279210173428539</v>
      </c>
      <c r="D1257" s="1">
        <f>w+a*C1256^2+b*D1256</f>
        <v>10.076324707228459</v>
      </c>
      <c r="E1257" s="1">
        <f t="shared" si="19"/>
        <v>-2.6916303651808464</v>
      </c>
      <c r="F1257" s="7">
        <f>SQRT(IRS_returns_2015_25[[#This Row],[  σ2]])</f>
        <v>3.1743227163016141</v>
      </c>
    </row>
    <row r="1258" spans="1:6" x14ac:dyDescent="0.3">
      <c r="A1258" s="2">
        <v>43868</v>
      </c>
      <c r="B1258" s="1">
        <v>1.8692028606587474</v>
      </c>
      <c r="C1258" s="1">
        <f>IRS_returns_2015_25[[#This Row],[IRSrtn]]-AVERAGE($B$2:$B$2600)</f>
        <v>1.8634263665921316</v>
      </c>
      <c r="D1258" s="1">
        <f>w+a*C1257^2+b*D1257</f>
        <v>11.085762479699508</v>
      </c>
      <c r="E1258" s="1">
        <f t="shared" si="19"/>
        <v>-2.2783827422046348</v>
      </c>
      <c r="F1258" s="7">
        <f>SQRT(IRS_returns_2015_25[[#This Row],[  σ2]])</f>
        <v>3.3295288675275829</v>
      </c>
    </row>
    <row r="1259" spans="1:6" x14ac:dyDescent="0.3">
      <c r="A1259" s="2">
        <v>43871</v>
      </c>
      <c r="B1259" s="1">
        <v>1.4706169490144472</v>
      </c>
      <c r="C1259" s="1">
        <f>IRS_returns_2015_25[[#This Row],[IRSrtn]]-AVERAGE($B$2:$B$2600)</f>
        <v>1.4648404549478313</v>
      </c>
      <c r="D1259" s="1">
        <f>w+a*C1258^2+b*D1258</f>
        <v>9.571280998260427</v>
      </c>
      <c r="E1259" s="1">
        <f t="shared" si="19"/>
        <v>-2.1604156002904649</v>
      </c>
      <c r="F1259" s="7">
        <f>SQRT(IRS_returns_2015_25[[#This Row],[  σ2]])</f>
        <v>3.0937486966882792</v>
      </c>
    </row>
    <row r="1260" spans="1:6" x14ac:dyDescent="0.3">
      <c r="A1260" s="2">
        <v>43872</v>
      </c>
      <c r="B1260" s="1">
        <v>-3.717889958095566</v>
      </c>
      <c r="C1260" s="1">
        <f>IRS_returns_2015_25[[#This Row],[IRSrtn]]-AVERAGE($B$2:$B$2600)</f>
        <v>-3.7236664521621816</v>
      </c>
      <c r="D1260" s="1">
        <f>w+a*C1259^2+b*D1259</f>
        <v>8.2398395161926921</v>
      </c>
      <c r="E1260" s="1">
        <f t="shared" si="19"/>
        <v>-2.8148101504141119</v>
      </c>
      <c r="F1260" s="7">
        <f>SQRT(IRS_returns_2015_25[[#This Row],[  σ2]])</f>
        <v>2.8705120651536533</v>
      </c>
    </row>
    <row r="1261" spans="1:6" x14ac:dyDescent="0.3">
      <c r="A1261" s="2">
        <v>43873</v>
      </c>
      <c r="B1261" s="1">
        <v>-0.18958314073045379</v>
      </c>
      <c r="C1261" s="1">
        <f>IRS_returns_2015_25[[#This Row],[IRSrtn]]-AVERAGE($B$2:$B$2600)</f>
        <v>-0.19535963479706958</v>
      </c>
      <c r="D1261" s="1">
        <f>w+a*C1260^2+b*D1260</f>
        <v>10.209035947939924</v>
      </c>
      <c r="E1261" s="1">
        <f t="shared" si="19"/>
        <v>-2.0824443323162898</v>
      </c>
      <c r="F1261" s="7">
        <f>SQRT(IRS_returns_2015_25[[#This Row],[  σ2]])</f>
        <v>3.1951582038985054</v>
      </c>
    </row>
    <row r="1262" spans="1:6" x14ac:dyDescent="0.3">
      <c r="A1262" s="2">
        <v>43874</v>
      </c>
      <c r="B1262" s="1">
        <v>-0.7619149728737451</v>
      </c>
      <c r="C1262" s="1">
        <f>IRS_returns_2015_25[[#This Row],[IRSrtn]]-AVERAGE($B$2:$B$2600)</f>
        <v>-0.76769146694036094</v>
      </c>
      <c r="D1262" s="1">
        <f>w+a*C1261^2+b*D1261</f>
        <v>8.1508892999808467</v>
      </c>
      <c r="E1262" s="1">
        <f t="shared" si="19"/>
        <v>-2.0041545605751452</v>
      </c>
      <c r="F1262" s="7">
        <f>SQRT(IRS_returns_2015_25[[#This Row],[  σ2]])</f>
        <v>2.8549762345737393</v>
      </c>
    </row>
    <row r="1263" spans="1:6" x14ac:dyDescent="0.3">
      <c r="A1263" s="2">
        <v>43875</v>
      </c>
      <c r="B1263" s="1">
        <v>0.95149811360419889</v>
      </c>
      <c r="C1263" s="1">
        <f>IRS_returns_2015_25[[#This Row],[IRSrtn]]-AVERAGE($B$2:$B$2600)</f>
        <v>0.94572161953758305</v>
      </c>
      <c r="D1263" s="1">
        <f>w+a*C1262^2+b*D1262</f>
        <v>6.9150427273902659</v>
      </c>
      <c r="E1263" s="1">
        <f t="shared" si="19"/>
        <v>-1.9504579429193794</v>
      </c>
      <c r="F1263" s="7">
        <f>SQRT(IRS_returns_2015_25[[#This Row],[  σ2]])</f>
        <v>2.6296468826422807</v>
      </c>
    </row>
    <row r="1264" spans="1:6" x14ac:dyDescent="0.3">
      <c r="A1264" s="2">
        <v>43879</v>
      </c>
      <c r="B1264" s="1">
        <v>-2.8820382960764945</v>
      </c>
      <c r="C1264" s="1">
        <f>IRS_returns_2015_25[[#This Row],[IRSrtn]]-AVERAGE($B$2:$B$2600)</f>
        <v>-2.8878147901431102</v>
      </c>
      <c r="D1264" s="1">
        <f>w+a*C1263^2+b*D1263</f>
        <v>6.166641737808412</v>
      </c>
      <c r="E1264" s="1">
        <f t="shared" si="19"/>
        <v>-2.5046920559290848</v>
      </c>
      <c r="F1264" s="7">
        <f>SQRT(IRS_returns_2015_25[[#This Row],[  σ2]])</f>
        <v>2.4832723849405669</v>
      </c>
    </row>
    <row r="1265" spans="1:6" x14ac:dyDescent="0.3">
      <c r="A1265" s="2">
        <v>43880</v>
      </c>
      <c r="B1265" s="1">
        <v>0.38910332994510632</v>
      </c>
      <c r="C1265" s="1">
        <f>IRS_returns_2015_25[[#This Row],[IRSrtn]]-AVERAGE($B$2:$B$2600)</f>
        <v>0.38332683587849053</v>
      </c>
      <c r="D1265" s="1">
        <f>w+a*C1264^2+b*D1264</f>
        <v>7.4824119002436404</v>
      </c>
      <c r="E1265" s="1">
        <f t="shared" si="19"/>
        <v>-1.9350351170137803</v>
      </c>
      <c r="F1265" s="7">
        <f>SQRT(IRS_returns_2015_25[[#This Row],[  σ2]])</f>
        <v>2.7353997697308596</v>
      </c>
    </row>
    <row r="1266" spans="1:6" x14ac:dyDescent="0.3">
      <c r="A1266" s="2">
        <v>43881</v>
      </c>
      <c r="B1266" s="1">
        <v>0.96617477536791174</v>
      </c>
      <c r="C1266" s="1">
        <f>IRS_returns_2015_25[[#This Row],[IRSrtn]]-AVERAGE($B$2:$B$2600)</f>
        <v>0.9603982813012959</v>
      </c>
      <c r="D1266" s="1">
        <f>w+a*C1265^2+b*D1265</f>
        <v>6.3622328789920619</v>
      </c>
      <c r="E1266" s="1">
        <f t="shared" si="19"/>
        <v>-1.9166157434345714</v>
      </c>
      <c r="F1266" s="7">
        <f>SQRT(IRS_returns_2015_25[[#This Row],[  σ2]])</f>
        <v>2.5223467007911626</v>
      </c>
    </row>
    <row r="1267" spans="1:6" x14ac:dyDescent="0.3">
      <c r="A1267" s="2">
        <v>43882</v>
      </c>
      <c r="B1267" s="1">
        <v>-0.57859049810888852</v>
      </c>
      <c r="C1267" s="1">
        <f>IRS_returns_2015_25[[#This Row],[IRSrtn]]-AVERAGE($B$2:$B$2600)</f>
        <v>-0.58436699217550436</v>
      </c>
      <c r="D1267" s="1">
        <f>w+a*C1266^2+b*D1266</f>
        <v>5.805443200957856</v>
      </c>
      <c r="E1267" s="1">
        <f t="shared" si="19"/>
        <v>-1.8277472551505167</v>
      </c>
      <c r="F1267" s="7">
        <f>SQRT(IRS_returns_2015_25[[#This Row],[  σ2]])</f>
        <v>2.4094487338305948</v>
      </c>
    </row>
    <row r="1268" spans="1:6" x14ac:dyDescent="0.3">
      <c r="A1268" s="2">
        <v>43885</v>
      </c>
      <c r="B1268" s="1">
        <v>1.3448950703929263</v>
      </c>
      <c r="C1268" s="1">
        <f>IRS_returns_2015_25[[#This Row],[IRSrtn]]-AVERAGE($B$2:$B$2600)</f>
        <v>1.3391185763263105</v>
      </c>
      <c r="D1268" s="1">
        <f>w+a*C1267^2+b*D1267</f>
        <v>5.2932477100071669</v>
      </c>
      <c r="E1268" s="1">
        <f t="shared" si="19"/>
        <v>-1.9215437828493389</v>
      </c>
      <c r="F1268" s="7">
        <f>SQRT(IRS_returns_2015_25[[#This Row],[  σ2]])</f>
        <v>2.3007059155848597</v>
      </c>
    </row>
    <row r="1269" spans="1:6" x14ac:dyDescent="0.3">
      <c r="A1269" s="2">
        <v>43886</v>
      </c>
      <c r="B1269" s="1">
        <v>4.4783455765750046</v>
      </c>
      <c r="C1269" s="1">
        <f>IRS_returns_2015_25[[#This Row],[IRSrtn]]-AVERAGE($B$2:$B$2600)</f>
        <v>4.4725690825083886</v>
      </c>
      <c r="D1269" s="1">
        <f>w+a*C1268^2+b*D1268</f>
        <v>5.3059900839529419</v>
      </c>
      <c r="E1269" s="1">
        <f t="shared" si="19"/>
        <v>-3.6383842032595757</v>
      </c>
      <c r="F1269" s="7">
        <f>SQRT(IRS_returns_2015_25[[#This Row],[  σ2]])</f>
        <v>2.3034734823637413</v>
      </c>
    </row>
    <row r="1270" spans="1:6" x14ac:dyDescent="0.3">
      <c r="A1270" s="2">
        <v>43887</v>
      </c>
      <c r="B1270" s="1">
        <v>-0.36561875946969913</v>
      </c>
      <c r="C1270" s="1">
        <f>IRS_returns_2015_25[[#This Row],[IRSrtn]]-AVERAGE($B$2:$B$2600)</f>
        <v>-0.37139525353631492</v>
      </c>
      <c r="D1270" s="1">
        <f>w+a*C1269^2+b*D1269</f>
        <v>9.7514900568608418</v>
      </c>
      <c r="E1270" s="1">
        <f t="shared" si="19"/>
        <v>-2.0647210629181378</v>
      </c>
      <c r="F1270" s="7">
        <f>SQRT(IRS_returns_2015_25[[#This Row],[  σ2]])</f>
        <v>3.1227375901379935</v>
      </c>
    </row>
    <row r="1271" spans="1:6" x14ac:dyDescent="0.3">
      <c r="A1271" s="2">
        <v>43888</v>
      </c>
      <c r="B1271" s="1">
        <v>-1.2903540278545567</v>
      </c>
      <c r="C1271" s="1">
        <f>IRS_returns_2015_25[[#This Row],[IRSrtn]]-AVERAGE($B$2:$B$2600)</f>
        <v>-1.2961305219211725</v>
      </c>
      <c r="D1271" s="1">
        <f>w+a*C1270^2+b*D1270</f>
        <v>7.8706020585147467</v>
      </c>
      <c r="E1271" s="1">
        <f t="shared" si="19"/>
        <v>-2.0572291818219379</v>
      </c>
      <c r="F1271" s="7">
        <f>SQRT(IRS_returns_2015_25[[#This Row],[  σ2]])</f>
        <v>2.8054593311104594</v>
      </c>
    </row>
    <row r="1272" spans="1:6" x14ac:dyDescent="0.3">
      <c r="A1272" s="2">
        <v>43889</v>
      </c>
      <c r="B1272" s="1">
        <v>1.8382975009272995</v>
      </c>
      <c r="C1272" s="1">
        <f>IRS_returns_2015_25[[#This Row],[IRSrtn]]-AVERAGE($B$2:$B$2600)</f>
        <v>1.8325210068606836</v>
      </c>
      <c r="D1272" s="1">
        <f>w+a*C1271^2+b*D1271</f>
        <v>6.9941762730764179</v>
      </c>
      <c r="E1272" s="1">
        <f t="shared" si="19"/>
        <v>-2.1315438400116831</v>
      </c>
      <c r="F1272" s="7">
        <f>SQRT(IRS_returns_2015_25[[#This Row],[  σ2]])</f>
        <v>2.6446505011204064</v>
      </c>
    </row>
    <row r="1273" spans="1:6" x14ac:dyDescent="0.3">
      <c r="A1273" s="2">
        <v>43892</v>
      </c>
      <c r="B1273" s="1">
        <v>-4.4700242881595464</v>
      </c>
      <c r="C1273" s="1">
        <f>IRS_returns_2015_25[[#This Row],[IRSrtn]]-AVERAGE($B$2:$B$2600)</f>
        <v>-4.4758007822261625</v>
      </c>
      <c r="D1273" s="1">
        <f>w+a*C1272^2+b*D1272</f>
        <v>6.819612883244945</v>
      </c>
      <c r="E1273" s="1">
        <f t="shared" si="19"/>
        <v>-3.34760306972681</v>
      </c>
      <c r="F1273" s="7">
        <f>SQRT(IRS_returns_2015_25[[#This Row],[  σ2]])</f>
        <v>2.6114388530549486</v>
      </c>
    </row>
    <row r="1274" spans="1:6" x14ac:dyDescent="0.3">
      <c r="A1274" s="2">
        <v>43893</v>
      </c>
      <c r="B1274" s="1">
        <v>3.1867771738251616</v>
      </c>
      <c r="C1274" s="1">
        <f>IRS_returns_2015_25[[#This Row],[IRSrtn]]-AVERAGE($B$2:$B$2600)</f>
        <v>3.1810006797585459</v>
      </c>
      <c r="D1274" s="1">
        <f>w+a*C1273^2+b*D1273</f>
        <v>10.766180024298983</v>
      </c>
      <c r="E1274" s="1">
        <f t="shared" si="19"/>
        <v>-2.5770763468557467</v>
      </c>
      <c r="F1274" s="7">
        <f>SQRT(IRS_returns_2015_25[[#This Row],[  σ2]])</f>
        <v>3.2811857649787193</v>
      </c>
    </row>
    <row r="1275" spans="1:6" x14ac:dyDescent="0.3">
      <c r="A1275" s="2">
        <v>43894</v>
      </c>
      <c r="B1275" s="1">
        <v>3.0883401748306838</v>
      </c>
      <c r="C1275" s="1">
        <f>IRS_returns_2015_25[[#This Row],[IRSrtn]]-AVERAGE($B$2:$B$2600)</f>
        <v>3.0825636807640682</v>
      </c>
      <c r="D1275" s="1">
        <f>w+a*C1274^2+b*D1274</f>
        <v>10.977925267037937</v>
      </c>
      <c r="E1275" s="1">
        <f t="shared" si="19"/>
        <v>-2.549668407456207</v>
      </c>
      <c r="F1275" s="7">
        <f>SQRT(IRS_returns_2015_25[[#This Row],[  σ2]])</f>
        <v>3.3132952278717842</v>
      </c>
    </row>
    <row r="1276" spans="1:6" x14ac:dyDescent="0.3">
      <c r="A1276" s="2">
        <v>43895</v>
      </c>
      <c r="B1276" s="1">
        <v>-0.17903997950545758</v>
      </c>
      <c r="C1276" s="1">
        <f>IRS_returns_2015_25[[#This Row],[IRSrtn]]-AVERAGE($B$2:$B$2600)</f>
        <v>-0.18481647357207337</v>
      </c>
      <c r="D1276" s="1">
        <f>w+a*C1275^2+b*D1275</f>
        <v>10.968661334151136</v>
      </c>
      <c r="E1276" s="1">
        <f t="shared" si="19"/>
        <v>-2.1180166844805406</v>
      </c>
      <c r="F1276" s="7">
        <f>SQRT(IRS_returns_2015_25[[#This Row],[  σ2]])</f>
        <v>3.3118969389386406</v>
      </c>
    </row>
    <row r="1277" spans="1:6" x14ac:dyDescent="0.3">
      <c r="A1277" s="2">
        <v>43896</v>
      </c>
      <c r="B1277" s="1">
        <v>-5.526267752689451</v>
      </c>
      <c r="C1277" s="1">
        <f>IRS_returns_2015_25[[#This Row],[IRSrtn]]-AVERAGE($B$2:$B$2600)</f>
        <v>-5.5320442467560671</v>
      </c>
      <c r="D1277" s="1">
        <f>w+a*C1276^2+b*D1276</f>
        <v>8.6556080043103165</v>
      </c>
      <c r="E1277" s="1">
        <f t="shared" si="19"/>
        <v>-3.7658853377203014</v>
      </c>
      <c r="F1277" s="7">
        <f>SQRT(IRS_returns_2015_25[[#This Row],[  σ2]])</f>
        <v>2.9420414688291388</v>
      </c>
    </row>
    <row r="1278" spans="1:6" x14ac:dyDescent="0.3">
      <c r="A1278" s="2">
        <v>43899</v>
      </c>
      <c r="B1278" s="1">
        <v>-17.102221293730224</v>
      </c>
      <c r="C1278" s="1">
        <f>IRS_returns_2015_25[[#This Row],[IRSrtn]]-AVERAGE($B$2:$B$2600)</f>
        <v>-17.10799778779684</v>
      </c>
      <c r="D1278" s="1">
        <f>w+a*C1277^2+b*D1277</f>
        <v>14.563986366223496</v>
      </c>
      <c r="E1278" s="1">
        <f t="shared" si="19"/>
        <v>-12.306410746452599</v>
      </c>
      <c r="F1278" s="7">
        <f>SQRT(IRS_returns_2015_25[[#This Row],[  σ2]])</f>
        <v>3.8162791258270792</v>
      </c>
    </row>
    <row r="1279" spans="1:6" x14ac:dyDescent="0.3">
      <c r="A1279" s="2">
        <v>43900</v>
      </c>
      <c r="B1279" s="1">
        <v>7.9869998532181574</v>
      </c>
      <c r="C1279" s="1">
        <f>IRS_returns_2015_25[[#This Row],[IRSrtn]]-AVERAGE($B$2:$B$2600)</f>
        <v>7.9812233591515414</v>
      </c>
      <c r="D1279" s="1">
        <f>w+a*C1278^2+b*D1278</f>
        <v>82.353042199707573</v>
      </c>
      <c r="E1279" s="1">
        <f t="shared" si="19"/>
        <v>-3.5111953104923153</v>
      </c>
      <c r="F1279" s="7">
        <f>SQRT(IRS_returns_2015_25[[#This Row],[  σ2]])</f>
        <v>9.0748576958378564</v>
      </c>
    </row>
    <row r="1280" spans="1:6" x14ac:dyDescent="0.3">
      <c r="A1280" s="2">
        <v>43901</v>
      </c>
      <c r="B1280" s="1">
        <v>-7.5385458204998645</v>
      </c>
      <c r="C1280" s="1">
        <f>IRS_returns_2015_25[[#This Row],[IRSrtn]]-AVERAGE($B$2:$B$2600)</f>
        <v>-7.5443223145664806</v>
      </c>
      <c r="D1280" s="1">
        <f>w+a*C1279^2+b*D1279</f>
        <v>71.6895333547387</v>
      </c>
      <c r="E1280" s="1">
        <f t="shared" si="19"/>
        <v>-3.452078199952608</v>
      </c>
      <c r="F1280" s="7">
        <f>SQRT(IRS_returns_2015_25[[#This Row],[  σ2]])</f>
        <v>8.4669671875317132</v>
      </c>
    </row>
    <row r="1281" spans="1:6" x14ac:dyDescent="0.3">
      <c r="A1281" s="2">
        <v>43902</v>
      </c>
      <c r="B1281" s="1">
        <v>-3.8773620435173628</v>
      </c>
      <c r="C1281" s="1">
        <f>IRS_returns_2015_25[[#This Row],[IRSrtn]]-AVERAGE($B$2:$B$2600)</f>
        <v>-3.8831385375839784</v>
      </c>
      <c r="D1281" s="1">
        <f>w+a*C1280^2+b*D1280</f>
        <v>62.937949939143657</v>
      </c>
      <c r="E1281" s="1">
        <f t="shared" si="19"/>
        <v>-3.1098039147104832</v>
      </c>
      <c r="F1281" s="7">
        <f>SQRT(IRS_returns_2015_25[[#This Row],[  σ2]])</f>
        <v>7.9333441838321663</v>
      </c>
    </row>
    <row r="1282" spans="1:6" x14ac:dyDescent="0.3">
      <c r="A1282" s="2">
        <v>43903</v>
      </c>
      <c r="B1282" s="1">
        <v>2.5259786724066702</v>
      </c>
      <c r="C1282" s="1">
        <f>IRS_returns_2015_25[[#This Row],[IRSrtn]]-AVERAGE($B$2:$B$2600)</f>
        <v>2.5202021783400546</v>
      </c>
      <c r="D1282" s="1">
        <f>w+a*C1281^2+b*D1281</f>
        <v>46.918047213048617</v>
      </c>
      <c r="E1282" s="1">
        <f t="shared" ref="E1282:E1345" si="20">-0.5*(LN(2*PI())+LN(D1282)+C1282^2/D1282)</f>
        <v>-2.9108260453744643</v>
      </c>
      <c r="F1282" s="7">
        <f>SQRT(IRS_returns_2015_25[[#This Row],[  σ2]])</f>
        <v>6.84967497134343</v>
      </c>
    </row>
    <row r="1283" spans="1:6" x14ac:dyDescent="0.3">
      <c r="A1283" s="2">
        <v>43906</v>
      </c>
      <c r="B1283" s="1">
        <v>-6.317894747845898</v>
      </c>
      <c r="C1283" s="1">
        <f>IRS_returns_2015_25[[#This Row],[IRSrtn]]-AVERAGE($B$2:$B$2600)</f>
        <v>-6.3236712419125141</v>
      </c>
      <c r="D1283" s="1">
        <f>w+a*C1282^2+b*D1282</f>
        <v>34.1269144164294</v>
      </c>
      <c r="E1283" s="1">
        <f t="shared" si="20"/>
        <v>-3.2698655879730136</v>
      </c>
      <c r="F1283" s="7">
        <f>SQRT(IRS_returns_2015_25[[#This Row],[  σ2]])</f>
        <v>5.8418245793954995</v>
      </c>
    </row>
    <row r="1284" spans="1:6" x14ac:dyDescent="0.3">
      <c r="A1284" s="2">
        <v>43907</v>
      </c>
      <c r="B1284" s="1">
        <v>-3.9413817646664517</v>
      </c>
      <c r="C1284" s="1">
        <f>IRS_returns_2015_25[[#This Row],[IRSrtn]]-AVERAGE($B$2:$B$2600)</f>
        <v>-3.9471582587330674</v>
      </c>
      <c r="D1284" s="1">
        <f>w+a*C1283^2+b*D1283</f>
        <v>33.807388008418592</v>
      </c>
      <c r="E1284" s="1">
        <f t="shared" si="20"/>
        <v>-2.9097020819877804</v>
      </c>
      <c r="F1284" s="7">
        <f>SQRT(IRS_returns_2015_25[[#This Row],[  σ2]])</f>
        <v>5.8144120948225364</v>
      </c>
    </row>
    <row r="1285" spans="1:6" x14ac:dyDescent="0.3">
      <c r="A1285" s="2">
        <v>43908</v>
      </c>
      <c r="B1285" s="1">
        <v>-12.851904021501115</v>
      </c>
      <c r="C1285" s="1">
        <f>IRS_returns_2015_25[[#This Row],[IRSrtn]]-AVERAGE($B$2:$B$2600)</f>
        <v>-12.857680515567731</v>
      </c>
      <c r="D1285" s="1">
        <f>w+a*C1284^2+b*D1284</f>
        <v>27.647485292499901</v>
      </c>
      <c r="E1285" s="1">
        <f t="shared" si="20"/>
        <v>-5.5684886535481724</v>
      </c>
      <c r="F1285" s="7">
        <f>SQRT(IRS_returns_2015_25[[#This Row],[  σ2]])</f>
        <v>5.2580876079141072</v>
      </c>
    </row>
    <row r="1286" spans="1:6" x14ac:dyDescent="0.3">
      <c r="A1286" s="2">
        <v>43909</v>
      </c>
      <c r="B1286" s="1">
        <v>6.0960754783037752</v>
      </c>
      <c r="C1286" s="1">
        <f>IRS_returns_2015_25[[#This Row],[IRSrtn]]-AVERAGE($B$2:$B$2600)</f>
        <v>6.0902989842371591</v>
      </c>
      <c r="D1286" s="1">
        <f>w+a*C1285^2+b*D1285</f>
        <v>60.030824654101465</v>
      </c>
      <c r="E1286" s="1">
        <f t="shared" si="20"/>
        <v>-3.2753067524195312</v>
      </c>
      <c r="F1286" s="7">
        <f>SQRT(IRS_returns_2015_25[[#This Row],[  σ2]])</f>
        <v>7.7479561597947537</v>
      </c>
    </row>
    <row r="1287" spans="1:6" x14ac:dyDescent="0.3">
      <c r="A1287" s="2">
        <v>43910</v>
      </c>
      <c r="B1287" s="1">
        <v>-17.26905216185467</v>
      </c>
      <c r="C1287" s="1">
        <f>IRS_returns_2015_25[[#This Row],[IRSrtn]]-AVERAGE($B$2:$B$2600)</f>
        <v>-17.274828655921286</v>
      </c>
      <c r="D1287" s="1">
        <f>w+a*C1286^2+b*D1286</f>
        <v>50.346182033648049</v>
      </c>
      <c r="E1287" s="1">
        <f t="shared" si="20"/>
        <v>-5.842077539143725</v>
      </c>
      <c r="F1287" s="7">
        <f>SQRT(IRS_returns_2015_25[[#This Row],[  σ2]])</f>
        <v>7.0955043537191944</v>
      </c>
    </row>
    <row r="1288" spans="1:6" x14ac:dyDescent="0.3">
      <c r="A1288" s="2">
        <v>43913</v>
      </c>
      <c r="B1288" s="1">
        <v>-7.9776421402817155</v>
      </c>
      <c r="C1288" s="1">
        <f>IRS_returns_2015_25[[#This Row],[IRSrtn]]-AVERAGE($B$2:$B$2600)</f>
        <v>-7.9834186343483315</v>
      </c>
      <c r="D1288" s="1">
        <f>w+a*C1287^2+b*D1287</f>
        <v>107.57145142290425</v>
      </c>
      <c r="E1288" s="1">
        <f t="shared" si="20"/>
        <v>-3.5542610107073029</v>
      </c>
      <c r="F1288" s="7">
        <f>SQRT(IRS_returns_2015_25[[#This Row],[  σ2]])</f>
        <v>10.37166579787954</v>
      </c>
    </row>
    <row r="1289" spans="1:6" x14ac:dyDescent="0.3">
      <c r="A1289" s="2">
        <v>43914</v>
      </c>
      <c r="B1289" s="1">
        <v>8.6145833663376141</v>
      </c>
      <c r="C1289" s="1">
        <f>IRS_returns_2015_25[[#This Row],[IRSrtn]]-AVERAGE($B$2:$B$2600)</f>
        <v>8.6088068722709981</v>
      </c>
      <c r="D1289" s="1">
        <f>w+a*C1288^2+b*D1288</f>
        <v>88.486388998517427</v>
      </c>
      <c r="E1289" s="1">
        <f t="shared" si="20"/>
        <v>-3.5791366655752301</v>
      </c>
      <c r="F1289" s="7">
        <f>SQRT(IRS_returns_2015_25[[#This Row],[  σ2]])</f>
        <v>9.4067204167295966</v>
      </c>
    </row>
    <row r="1290" spans="1:6" x14ac:dyDescent="0.3">
      <c r="A1290" s="2">
        <v>43915</v>
      </c>
      <c r="B1290" s="1">
        <v>9.6752027388362194</v>
      </c>
      <c r="C1290" s="1">
        <f>IRS_returns_2015_25[[#This Row],[IRSrtn]]-AVERAGE($B$2:$B$2600)</f>
        <v>9.6694262447696033</v>
      </c>
      <c r="D1290" s="1">
        <f>w+a*C1289^2+b*D1289</f>
        <v>78.309395936441192</v>
      </c>
      <c r="E1290" s="1">
        <f t="shared" si="20"/>
        <v>-3.6962492501653044</v>
      </c>
      <c r="F1290" s="7">
        <f>SQRT(IRS_returns_2015_25[[#This Row],[  σ2]])</f>
        <v>8.849259626456961</v>
      </c>
    </row>
    <row r="1291" spans="1:6" x14ac:dyDescent="0.3">
      <c r="A1291" s="2">
        <v>43916</v>
      </c>
      <c r="B1291" s="1">
        <v>8.0264462181483651</v>
      </c>
      <c r="C1291" s="1">
        <f>IRS_returns_2015_25[[#This Row],[IRSrtn]]-AVERAGE($B$2:$B$2600)</f>
        <v>8.0206697240817491</v>
      </c>
      <c r="D1291" s="1">
        <f>w+a*C1290^2+b*D1290</f>
        <v>76.257856439655114</v>
      </c>
      <c r="E1291" s="1">
        <f t="shared" si="20"/>
        <v>-3.5077988551365475</v>
      </c>
      <c r="F1291" s="7">
        <f>SQRT(IRS_returns_2015_25[[#This Row],[  σ2]])</f>
        <v>8.732574445125282</v>
      </c>
    </row>
    <row r="1292" spans="1:6" x14ac:dyDescent="0.3">
      <c r="A1292" s="2">
        <v>43917</v>
      </c>
      <c r="B1292" s="1">
        <v>-1.3387080984540445</v>
      </c>
      <c r="C1292" s="1">
        <f>IRS_returns_2015_25[[#This Row],[IRSrtn]]-AVERAGE($B$2:$B$2600)</f>
        <v>-1.3444845925206603</v>
      </c>
      <c r="D1292" s="1">
        <f>w+a*C1291^2+b*D1291</f>
        <v>67.785662081163508</v>
      </c>
      <c r="E1292" s="1">
        <f t="shared" si="20"/>
        <v>-3.0404473720746581</v>
      </c>
      <c r="F1292" s="7">
        <f>SQRT(IRS_returns_2015_25[[#This Row],[  σ2]])</f>
        <v>8.2332048487307485</v>
      </c>
    </row>
    <row r="1293" spans="1:6" x14ac:dyDescent="0.3">
      <c r="A1293" s="2">
        <v>43920</v>
      </c>
      <c r="B1293" s="1">
        <v>-7.2657548670883143</v>
      </c>
      <c r="C1293" s="1">
        <f>IRS_returns_2015_25[[#This Row],[IRSrtn]]-AVERAGE($B$2:$B$2600)</f>
        <v>-7.2715313611549304</v>
      </c>
      <c r="D1293" s="1">
        <f>w+a*C1292^2+b*D1292</f>
        <v>46.911743406293446</v>
      </c>
      <c r="E1293" s="1">
        <f t="shared" si="20"/>
        <v>-3.4066325952744827</v>
      </c>
      <c r="F1293" s="7">
        <f>SQRT(IRS_returns_2015_25[[#This Row],[  σ2]])</f>
        <v>6.8492148021721038</v>
      </c>
    </row>
    <row r="1294" spans="1:6" x14ac:dyDescent="0.3">
      <c r="A1294" s="2">
        <v>43921</v>
      </c>
      <c r="B1294" s="1">
        <v>0.86580134361440297</v>
      </c>
      <c r="C1294" s="1">
        <f>IRS_returns_2015_25[[#This Row],[IRSrtn]]-AVERAGE($B$2:$B$2600)</f>
        <v>0.86002484954778713</v>
      </c>
      <c r="D1294" s="1">
        <f>w+a*C1293^2+b*D1293</f>
        <v>45.458218629321607</v>
      </c>
      <c r="E1294" s="1">
        <f t="shared" si="20"/>
        <v>-2.8354707620454445</v>
      </c>
      <c r="F1294" s="7">
        <f>SQRT(IRS_returns_2015_25[[#This Row],[  σ2]])</f>
        <v>6.7422710290614694</v>
      </c>
    </row>
    <row r="1295" spans="1:6" x14ac:dyDescent="0.3">
      <c r="A1295" s="2">
        <v>43922</v>
      </c>
      <c r="B1295" s="1">
        <v>-6.8377503320329769</v>
      </c>
      <c r="C1295" s="1">
        <f>IRS_returns_2015_25[[#This Row],[IRSrtn]]-AVERAGE($B$2:$B$2600)</f>
        <v>-6.843526826099593</v>
      </c>
      <c r="D1295" s="1">
        <f>w+a*C1294^2+b*D1294</f>
        <v>31.787774137270073</v>
      </c>
      <c r="E1295" s="1">
        <f t="shared" si="20"/>
        <v>-3.3851440669021433</v>
      </c>
      <c r="F1295" s="7">
        <f>SQRT(IRS_returns_2015_25[[#This Row],[  σ2]])</f>
        <v>5.6380647510710684</v>
      </c>
    </row>
    <row r="1296" spans="1:6" x14ac:dyDescent="0.3">
      <c r="A1296" s="2">
        <v>43923</v>
      </c>
      <c r="B1296" s="1">
        <v>-5.3725463845644361</v>
      </c>
      <c r="C1296" s="1">
        <f>IRS_returns_2015_25[[#This Row],[IRSrtn]]-AVERAGE($B$2:$B$2600)</f>
        <v>-5.3783228786310522</v>
      </c>
      <c r="D1296" s="1">
        <f>w+a*C1295^2+b*D1295</f>
        <v>33.9179759946364</v>
      </c>
      <c r="E1296" s="1">
        <f t="shared" si="20"/>
        <v>-3.1073274224355423</v>
      </c>
      <c r="F1296" s="7">
        <f>SQRT(IRS_returns_2015_25[[#This Row],[  σ2]])</f>
        <v>5.823914147258388</v>
      </c>
    </row>
    <row r="1297" spans="1:6" x14ac:dyDescent="0.3">
      <c r="A1297" s="2">
        <v>43924</v>
      </c>
      <c r="B1297" s="1">
        <v>10.471132393307814</v>
      </c>
      <c r="C1297" s="1">
        <f>IRS_returns_2015_25[[#This Row],[IRSrtn]]-AVERAGE($B$2:$B$2600)</f>
        <v>10.465355899241198</v>
      </c>
      <c r="D1297" s="1">
        <f>w+a*C1296^2+b*D1296</f>
        <v>30.97292814719248</v>
      </c>
      <c r="E1297" s="1">
        <f t="shared" si="20"/>
        <v>-4.4035501912666142</v>
      </c>
      <c r="F1297" s="7">
        <f>SQRT(IRS_returns_2015_25[[#This Row],[  σ2]])</f>
        <v>5.565332707681768</v>
      </c>
    </row>
    <row r="1298" spans="1:6" x14ac:dyDescent="0.3">
      <c r="A1298" s="2">
        <v>43927</v>
      </c>
      <c r="B1298" s="1">
        <v>0.58307228731135918</v>
      </c>
      <c r="C1298" s="1">
        <f>IRS_returns_2015_25[[#This Row],[IRSrtn]]-AVERAGE($B$2:$B$2600)</f>
        <v>0.57729579324474334</v>
      </c>
      <c r="D1298" s="1">
        <f>w+a*C1297^2+b*D1297</f>
        <v>48.649878249652886</v>
      </c>
      <c r="E1298" s="1">
        <f t="shared" si="20"/>
        <v>-2.8646883791078892</v>
      </c>
      <c r="F1298" s="7">
        <f>SQRT(IRS_returns_2015_25[[#This Row],[  σ2]])</f>
        <v>6.9749464693037524</v>
      </c>
    </row>
    <row r="1299" spans="1:6" x14ac:dyDescent="0.3">
      <c r="A1299" s="2">
        <v>43928</v>
      </c>
      <c r="B1299" s="1">
        <v>3.7094237340533853</v>
      </c>
      <c r="C1299" s="1">
        <f>IRS_returns_2015_25[[#This Row],[IRSrtn]]-AVERAGE($B$2:$B$2600)</f>
        <v>3.7036472399867697</v>
      </c>
      <c r="D1299" s="1">
        <f>w+a*C1298^2+b*D1298</f>
        <v>33.813502770662737</v>
      </c>
      <c r="E1299" s="1">
        <f t="shared" si="20"/>
        <v>-2.8822018535584855</v>
      </c>
      <c r="F1299" s="7">
        <f>SQRT(IRS_returns_2015_25[[#This Row],[  σ2]])</f>
        <v>5.8149378991234926</v>
      </c>
    </row>
    <row r="1300" spans="1:6" x14ac:dyDescent="0.3">
      <c r="A1300" s="2">
        <v>43929</v>
      </c>
      <c r="B1300" s="1">
        <v>5.9800316422569111</v>
      </c>
      <c r="C1300" s="1">
        <f>IRS_returns_2015_25[[#This Row],[IRSrtn]]-AVERAGE($B$2:$B$2600)</f>
        <v>5.974255148190295</v>
      </c>
      <c r="D1300" s="1">
        <f>w+a*C1299^2+b*D1299</f>
        <v>27.197622964499548</v>
      </c>
      <c r="E1300" s="1">
        <f t="shared" si="20"/>
        <v>-3.2266585427382015</v>
      </c>
      <c r="F1300" s="7">
        <f>SQRT(IRS_returns_2015_25[[#This Row],[  σ2]])</f>
        <v>5.2151340313073016</v>
      </c>
    </row>
    <row r="1301" spans="1:6" x14ac:dyDescent="0.3">
      <c r="A1301" s="2">
        <v>43930</v>
      </c>
      <c r="B1301" s="1">
        <v>-1.3280333090388563</v>
      </c>
      <c r="C1301" s="1">
        <f>IRS_returns_2015_25[[#This Row],[IRSrtn]]-AVERAGE($B$2:$B$2600)</f>
        <v>-1.3338098031054721</v>
      </c>
      <c r="D1301" s="1">
        <f>w+a*C1300^2+b*D1300</f>
        <v>28.147457064142785</v>
      </c>
      <c r="E1301" s="1">
        <f t="shared" si="20"/>
        <v>-2.6192693377686731</v>
      </c>
      <c r="F1301" s="7">
        <f>SQRT(IRS_returns_2015_25[[#This Row],[  σ2]])</f>
        <v>5.3054177087334775</v>
      </c>
    </row>
    <row r="1302" spans="1:6" x14ac:dyDescent="0.3">
      <c r="A1302" s="2">
        <v>43934</v>
      </c>
      <c r="B1302" s="1">
        <v>-2.710208425103211</v>
      </c>
      <c r="C1302" s="1">
        <f>IRS_returns_2015_25[[#This Row],[IRSrtn]]-AVERAGE($B$2:$B$2600)</f>
        <v>-2.7159849191698267</v>
      </c>
      <c r="D1302" s="1">
        <f>w+a*C1301^2+b*D1301</f>
        <v>20.516961837731134</v>
      </c>
      <c r="E1302" s="1">
        <f t="shared" si="20"/>
        <v>-2.6093322085811144</v>
      </c>
      <c r="F1302" s="7">
        <f>SQRT(IRS_returns_2015_25[[#This Row],[  σ2]])</f>
        <v>4.5295653033962466</v>
      </c>
    </row>
    <row r="1303" spans="1:6" x14ac:dyDescent="0.3">
      <c r="A1303" s="2">
        <v>43935</v>
      </c>
      <c r="B1303" s="1">
        <v>-3.9220734837516202</v>
      </c>
      <c r="C1303" s="1">
        <f>IRS_returns_2015_25[[#This Row],[IRSrtn]]-AVERAGE($B$2:$B$2600)</f>
        <v>-3.9278499778182359</v>
      </c>
      <c r="D1303" s="1">
        <f>w+a*C1302^2+b*D1302</f>
        <v>16.801049425865358</v>
      </c>
      <c r="E1303" s="1">
        <f t="shared" si="20"/>
        <v>-2.7887973567199773</v>
      </c>
      <c r="F1303" s="7">
        <f>SQRT(IRS_returns_2015_25[[#This Row],[  σ2]])</f>
        <v>4.0989083212320523</v>
      </c>
    </row>
    <row r="1304" spans="1:6" x14ac:dyDescent="0.3">
      <c r="A1304" s="2">
        <v>43936</v>
      </c>
      <c r="B1304" s="1">
        <v>-1.1494234637368095</v>
      </c>
      <c r="C1304" s="1">
        <f>IRS_returns_2015_25[[#This Row],[IRSrtn]]-AVERAGE($B$2:$B$2600)</f>
        <v>-1.1551999578034253</v>
      </c>
      <c r="D1304" s="1">
        <f>w+a*C1303^2+b*D1303</f>
        <v>16.28903381874715</v>
      </c>
      <c r="E1304" s="1">
        <f t="shared" si="20"/>
        <v>-2.355147328841511</v>
      </c>
      <c r="F1304" s="7">
        <f>SQRT(IRS_returns_2015_25[[#This Row],[  σ2]])</f>
        <v>4.0359675195357001</v>
      </c>
    </row>
    <row r="1305" spans="1:6" x14ac:dyDescent="0.3">
      <c r="A1305" s="2">
        <v>43937</v>
      </c>
      <c r="B1305" s="1">
        <v>-7.1887335781862349</v>
      </c>
      <c r="C1305" s="1">
        <f>IRS_returns_2015_25[[#This Row],[IRSrtn]]-AVERAGE($B$2:$B$2600)</f>
        <v>-7.194510072252851</v>
      </c>
      <c r="D1305" s="1">
        <f>w+a*C1304^2+b*D1304</f>
        <v>12.514293946795387</v>
      </c>
      <c r="E1305" s="1">
        <f t="shared" si="20"/>
        <v>-4.2504484184336837</v>
      </c>
      <c r="F1305" s="7">
        <f>SQRT(IRS_returns_2015_25[[#This Row],[  σ2]])</f>
        <v>3.537554797709201</v>
      </c>
    </row>
    <row r="1306" spans="1:6" x14ac:dyDescent="0.3">
      <c r="A1306" s="2">
        <v>43938</v>
      </c>
      <c r="B1306" s="1">
        <v>-0.93603908911841227</v>
      </c>
      <c r="C1306" s="1">
        <f>IRS_returns_2015_25[[#This Row],[IRSrtn]]-AVERAGE($B$2:$B$2600)</f>
        <v>-0.94181558318502812</v>
      </c>
      <c r="D1306" s="1">
        <f>w+a*C1305^2+b*D1305</f>
        <v>22.287788723517949</v>
      </c>
      <c r="E1306" s="1">
        <f t="shared" si="20"/>
        <v>-2.4908571630195255</v>
      </c>
      <c r="F1306" s="7">
        <f>SQRT(IRS_returns_2015_25[[#This Row],[  σ2]])</f>
        <v>4.7209944634068304</v>
      </c>
    </row>
    <row r="1307" spans="1:6" x14ac:dyDescent="0.3">
      <c r="A1307" s="2">
        <v>43942</v>
      </c>
      <c r="B1307" s="1">
        <v>-5.8080692419033468</v>
      </c>
      <c r="C1307" s="1">
        <f>IRS_returns_2015_25[[#This Row],[IRSrtn]]-AVERAGE($B$2:$B$2600)</f>
        <v>-5.8138457359699629</v>
      </c>
      <c r="D1307" s="1">
        <f>w+a*C1306^2+b*D1306</f>
        <v>16.398739298783866</v>
      </c>
      <c r="E1307" s="1">
        <f t="shared" si="20"/>
        <v>-3.348132250249733</v>
      </c>
      <c r="F1307" s="7">
        <f>SQRT(IRS_returns_2015_25[[#This Row],[  σ2]])</f>
        <v>4.0495356892838794</v>
      </c>
    </row>
    <row r="1308" spans="1:6" x14ac:dyDescent="0.3">
      <c r="A1308" s="2">
        <v>43943</v>
      </c>
      <c r="B1308" s="1">
        <v>-3.3787188745014629</v>
      </c>
      <c r="C1308" s="1">
        <f>IRS_returns_2015_25[[#This Row],[IRSrtn]]-AVERAGE($B$2:$B$2600)</f>
        <v>-3.3844953685680785</v>
      </c>
      <c r="D1308" s="1">
        <f>w+a*C1307^2+b*D1307</f>
        <v>20.497736933233103</v>
      </c>
      <c r="E1308" s="1">
        <f t="shared" si="20"/>
        <v>-2.7085122051606705</v>
      </c>
      <c r="F1308" s="7">
        <f>SQRT(IRS_returns_2015_25[[#This Row],[  σ2]])</f>
        <v>4.5274426482544321</v>
      </c>
    </row>
    <row r="1309" spans="1:6" x14ac:dyDescent="0.3">
      <c r="A1309" s="2">
        <v>43945</v>
      </c>
      <c r="B1309" s="1">
        <v>-2.0833970657469836</v>
      </c>
      <c r="C1309" s="1">
        <f>IRS_returns_2015_25[[#This Row],[IRSrtn]]-AVERAGE($B$2:$B$2600)</f>
        <v>-2.0891735598135992</v>
      </c>
      <c r="D1309" s="1">
        <f>w+a*C1308^2+b*D1308</f>
        <v>17.781912056117701</v>
      </c>
      <c r="E1309" s="1">
        <f t="shared" si="20"/>
        <v>-2.4807565479665712</v>
      </c>
      <c r="F1309" s="7">
        <f>SQRT(IRS_returns_2015_25[[#This Row],[  σ2]])</f>
        <v>4.2168604501593006</v>
      </c>
    </row>
    <row r="1310" spans="1:6" x14ac:dyDescent="0.3">
      <c r="A1310" s="2">
        <v>43948</v>
      </c>
      <c r="B1310" s="1">
        <v>0.69929962024665171</v>
      </c>
      <c r="C1310" s="1">
        <f>IRS_returns_2015_25[[#This Row],[IRSrtn]]-AVERAGE($B$2:$B$2600)</f>
        <v>0.69352312618003586</v>
      </c>
      <c r="D1310" s="1">
        <f>w+a*C1309^2+b*D1309</f>
        <v>14.246425533726566</v>
      </c>
      <c r="E1310" s="1">
        <f t="shared" si="20"/>
        <v>-2.2640720774263561</v>
      </c>
      <c r="F1310" s="7">
        <f>SQRT(IRS_returns_2015_25[[#This Row],[  σ2]])</f>
        <v>3.7744437383178155</v>
      </c>
    </row>
    <row r="1311" spans="1:6" x14ac:dyDescent="0.3">
      <c r="A1311" s="2">
        <v>43949</v>
      </c>
      <c r="B1311" s="1">
        <v>5.0944710223937655</v>
      </c>
      <c r="C1311" s="1">
        <f>IRS_returns_2015_25[[#This Row],[IRSrtn]]-AVERAGE($B$2:$B$2600)</f>
        <v>5.0886945283271494</v>
      </c>
      <c r="D1311" s="1">
        <f>w+a*C1310^2+b*D1310</f>
        <v>10.94653732117956</v>
      </c>
      <c r="E1311" s="1">
        <f t="shared" si="20"/>
        <v>-3.2982356580956358</v>
      </c>
      <c r="F1311" s="7">
        <f>SQRT(IRS_returns_2015_25[[#This Row],[  σ2]])</f>
        <v>3.3085551712461378</v>
      </c>
    </row>
    <row r="1312" spans="1:6" x14ac:dyDescent="0.3">
      <c r="A1312" s="2">
        <v>43950</v>
      </c>
      <c r="B1312" s="1">
        <v>6.7225471437200257</v>
      </c>
      <c r="C1312" s="1">
        <f>IRS_returns_2015_25[[#This Row],[IRSrtn]]-AVERAGE($B$2:$B$2600)</f>
        <v>6.7167706496534096</v>
      </c>
      <c r="D1312" s="1">
        <f>w+a*C1311^2+b*D1311</f>
        <v>14.94182225884132</v>
      </c>
      <c r="E1312" s="1">
        <f t="shared" si="20"/>
        <v>-3.7807095567813915</v>
      </c>
      <c r="F1312" s="7">
        <f>SQRT(IRS_returns_2015_25[[#This Row],[  σ2]])</f>
        <v>3.8654653353563164</v>
      </c>
    </row>
    <row r="1313" spans="1:6" x14ac:dyDescent="0.3">
      <c r="A1313" s="2">
        <v>43951</v>
      </c>
      <c r="B1313" s="1">
        <v>1.8405409769591596</v>
      </c>
      <c r="C1313" s="1">
        <f>IRS_returns_2015_25[[#This Row],[IRSrtn]]-AVERAGE($B$2:$B$2600)</f>
        <v>1.8347644828925438</v>
      </c>
      <c r="D1313" s="1">
        <f>w+a*C1312^2+b*D1312</f>
        <v>22.284546516704861</v>
      </c>
      <c r="E1313" s="1">
        <f t="shared" si="20"/>
        <v>-2.5464165430703773</v>
      </c>
      <c r="F1313" s="7">
        <f>SQRT(IRS_returns_2015_25[[#This Row],[  σ2]])</f>
        <v>4.7206510691540062</v>
      </c>
    </row>
    <row r="1314" spans="1:6" x14ac:dyDescent="0.3">
      <c r="A1314" s="2">
        <v>43952</v>
      </c>
      <c r="B1314" s="1">
        <v>-11.930381117055699</v>
      </c>
      <c r="C1314" s="1">
        <f>IRS_returns_2015_25[[#This Row],[IRSrtn]]-AVERAGE($B$2:$B$2600)</f>
        <v>-11.936157611122315</v>
      </c>
      <c r="D1314" s="1">
        <f>w+a*C1313^2+b*D1313</f>
        <v>17.000672527782982</v>
      </c>
      <c r="E1314" s="1">
        <f t="shared" si="20"/>
        <v>-6.5257479994400702</v>
      </c>
      <c r="F1314" s="7">
        <f>SQRT(IRS_returns_2015_25[[#This Row],[  σ2]])</f>
        <v>4.1231871807841785</v>
      </c>
    </row>
    <row r="1315" spans="1:6" x14ac:dyDescent="0.3">
      <c r="A1315" s="2">
        <v>43955</v>
      </c>
      <c r="B1315" s="1">
        <v>2.7028329994886469</v>
      </c>
      <c r="C1315" s="1">
        <f>IRS_returns_2015_25[[#This Row],[IRSrtn]]-AVERAGE($B$2:$B$2600)</f>
        <v>2.6970565054220312</v>
      </c>
      <c r="D1315" s="1">
        <f>w+a*C1314^2+b*D1314</f>
        <v>47.376131675631243</v>
      </c>
      <c r="E1315" s="1">
        <f t="shared" si="20"/>
        <v>-2.9247676242568383</v>
      </c>
      <c r="F1315" s="7">
        <f>SQRT(IRS_returns_2015_25[[#This Row],[  σ2]])</f>
        <v>6.8830321570969897</v>
      </c>
    </row>
    <row r="1316" spans="1:6" x14ac:dyDescent="0.3">
      <c r="A1316" s="2">
        <v>43956</v>
      </c>
      <c r="B1316" s="1">
        <v>-3.0459135800055659</v>
      </c>
      <c r="C1316" s="1">
        <f>IRS_returns_2015_25[[#This Row],[IRSrtn]]-AVERAGE($B$2:$B$2600)</f>
        <v>-3.0516900740721815</v>
      </c>
      <c r="D1316" s="1">
        <f>w+a*C1315^2+b*D1315</f>
        <v>34.656683267531207</v>
      </c>
      <c r="E1316" s="1">
        <f t="shared" si="20"/>
        <v>-2.8260419274656816</v>
      </c>
      <c r="F1316" s="7">
        <f>SQRT(IRS_returns_2015_25[[#This Row],[  σ2]])</f>
        <v>5.88699271848804</v>
      </c>
    </row>
    <row r="1317" spans="1:6" x14ac:dyDescent="0.3">
      <c r="A1317" s="2">
        <v>43957</v>
      </c>
      <c r="B1317" s="1">
        <v>2.040876008260506</v>
      </c>
      <c r="C1317" s="1">
        <f>IRS_returns_2015_25[[#This Row],[IRSrtn]]-AVERAGE($B$2:$B$2600)</f>
        <v>2.0350995141938903</v>
      </c>
      <c r="D1317" s="1">
        <f>w+a*C1316^2+b*D1316</f>
        <v>26.685862299679886</v>
      </c>
      <c r="E1317" s="1">
        <f t="shared" si="20"/>
        <v>-2.6386051988812191</v>
      </c>
      <c r="F1317" s="7">
        <f>SQRT(IRS_returns_2015_25[[#This Row],[  σ2]])</f>
        <v>5.1658360697644952</v>
      </c>
    </row>
    <row r="1318" spans="1:6" x14ac:dyDescent="0.3">
      <c r="A1318" s="2">
        <v>43958</v>
      </c>
      <c r="B1318" s="1">
        <v>-0.33725709664327308</v>
      </c>
      <c r="C1318" s="1">
        <f>IRS_returns_2015_25[[#This Row],[IRSrtn]]-AVERAGE($B$2:$B$2600)</f>
        <v>-0.34303359070988887</v>
      </c>
      <c r="D1318" s="1">
        <f>w+a*C1317^2+b*D1317</f>
        <v>20.119596196875474</v>
      </c>
      <c r="E1318" s="1">
        <f t="shared" si="20"/>
        <v>-2.4227099851164935</v>
      </c>
      <c r="F1318" s="7">
        <f>SQRT(IRS_returns_2015_25[[#This Row],[  σ2]])</f>
        <v>4.4854872864467552</v>
      </c>
    </row>
    <row r="1319" spans="1:6" x14ac:dyDescent="0.3">
      <c r="A1319" s="2">
        <v>43959</v>
      </c>
      <c r="B1319" s="1">
        <v>4.9433282084154984</v>
      </c>
      <c r="C1319" s="1">
        <f>IRS_returns_2015_25[[#This Row],[IRSrtn]]-AVERAGE($B$2:$B$2600)</f>
        <v>4.9375517143488823</v>
      </c>
      <c r="D1319" s="1">
        <f>w+a*C1318^2+b*D1318</f>
        <v>14.767886674794292</v>
      </c>
      <c r="E1319" s="1">
        <f t="shared" si="20"/>
        <v>-3.0905859977621679</v>
      </c>
      <c r="F1319" s="7">
        <f>SQRT(IRS_returns_2015_25[[#This Row],[  σ2]])</f>
        <v>3.8429008151127571</v>
      </c>
    </row>
    <row r="1320" spans="1:6" x14ac:dyDescent="0.3">
      <c r="A1320" s="2">
        <v>43962</v>
      </c>
      <c r="B1320" s="1">
        <v>12.383844135430921</v>
      </c>
      <c r="C1320" s="1">
        <f>IRS_returns_2015_25[[#This Row],[IRSrtn]]-AVERAGE($B$2:$B$2600)</f>
        <v>12.378067641364305</v>
      </c>
      <c r="D1320" s="1">
        <f>w+a*C1319^2+b*D1319</f>
        <v>17.11653273243283</v>
      </c>
      <c r="E1320" s="1">
        <f t="shared" si="20"/>
        <v>-6.8146500614031122</v>
      </c>
      <c r="F1320" s="7">
        <f>SQRT(IRS_returns_2015_25[[#This Row],[  σ2]])</f>
        <v>4.1372131601396642</v>
      </c>
    </row>
    <row r="1321" spans="1:6" x14ac:dyDescent="0.3">
      <c r="A1321" s="2">
        <v>43963</v>
      </c>
      <c r="B1321" s="1">
        <v>-0.28447757653180528</v>
      </c>
      <c r="C1321" s="1">
        <f>IRS_returns_2015_25[[#This Row],[IRSrtn]]-AVERAGE($B$2:$B$2600)</f>
        <v>-0.29025407059842107</v>
      </c>
      <c r="D1321" s="1">
        <f>w+a*C1320^2+b*D1320</f>
        <v>50.071205424628104</v>
      </c>
      <c r="E1321" s="1">
        <f t="shared" si="20"/>
        <v>-2.87650285981106</v>
      </c>
      <c r="F1321" s="7">
        <f>SQRT(IRS_returns_2015_25[[#This Row],[  σ2]])</f>
        <v>7.0761010044111234</v>
      </c>
    </row>
    <row r="1322" spans="1:6" x14ac:dyDescent="0.3">
      <c r="A1322" s="2">
        <v>43964</v>
      </c>
      <c r="B1322" s="1">
        <v>-6.1693718677647169</v>
      </c>
      <c r="C1322" s="1">
        <f>IRS_returns_2015_25[[#This Row],[IRSrtn]]-AVERAGE($B$2:$B$2600)</f>
        <v>-6.175148361831333</v>
      </c>
      <c r="D1322" s="1">
        <f>w+a*C1321^2+b*D1321</f>
        <v>34.699029627977616</v>
      </c>
      <c r="E1322" s="1">
        <f t="shared" si="20"/>
        <v>-3.2417687987879384</v>
      </c>
      <c r="F1322" s="7">
        <f>SQRT(IRS_returns_2015_25[[#This Row],[  σ2]])</f>
        <v>5.8905882242758763</v>
      </c>
    </row>
    <row r="1323" spans="1:6" x14ac:dyDescent="0.3">
      <c r="A1323" s="2">
        <v>43965</v>
      </c>
      <c r="B1323" s="1">
        <v>-2.7651463471328075</v>
      </c>
      <c r="C1323" s="1">
        <f>IRS_returns_2015_25[[#This Row],[IRSrtn]]-AVERAGE($B$2:$B$2600)</f>
        <v>-2.7709228411994231</v>
      </c>
      <c r="D1323" s="1">
        <f>w+a*C1322^2+b*D1322</f>
        <v>33.735952815034196</v>
      </c>
      <c r="E1323" s="1">
        <f t="shared" si="20"/>
        <v>-2.7920163018870703</v>
      </c>
      <c r="F1323" s="7">
        <f>SQRT(IRS_returns_2015_25[[#This Row],[  σ2]])</f>
        <v>5.8082659042983042</v>
      </c>
    </row>
    <row r="1324" spans="1:6" x14ac:dyDescent="0.3">
      <c r="A1324" s="2">
        <v>43966</v>
      </c>
      <c r="B1324" s="1">
        <v>2.1572623138714109</v>
      </c>
      <c r="C1324" s="1">
        <f>IRS_returns_2015_25[[#This Row],[IRSrtn]]-AVERAGE($B$2:$B$2600)</f>
        <v>2.1514858198047953</v>
      </c>
      <c r="D1324" s="1">
        <f>w+a*C1323^2+b*D1323</f>
        <v>25.674598271073744</v>
      </c>
      <c r="E1324" s="1">
        <f t="shared" si="20"/>
        <v>-2.6318349365012792</v>
      </c>
      <c r="F1324" s="7">
        <f>SQRT(IRS_returns_2015_25[[#This Row],[  σ2]])</f>
        <v>5.06701078260879</v>
      </c>
    </row>
    <row r="1325" spans="1:6" x14ac:dyDescent="0.3">
      <c r="A1325" s="2">
        <v>43969</v>
      </c>
      <c r="B1325" s="1">
        <v>6.7772559010261135</v>
      </c>
      <c r="C1325" s="1">
        <f>IRS_returns_2015_25[[#This Row],[IRSrtn]]-AVERAGE($B$2:$B$2600)</f>
        <v>6.7714794069594975</v>
      </c>
      <c r="D1325" s="1">
        <f>w+a*C1324^2+b*D1324</f>
        <v>19.565101910187494</v>
      </c>
      <c r="E1325" s="1">
        <f t="shared" si="20"/>
        <v>-3.5776163676866934</v>
      </c>
      <c r="F1325" s="7">
        <f>SQRT(IRS_returns_2015_25[[#This Row],[  σ2]])</f>
        <v>4.4232456307769628</v>
      </c>
    </row>
    <row r="1326" spans="1:6" x14ac:dyDescent="0.3">
      <c r="A1326" s="2">
        <v>43970</v>
      </c>
      <c r="B1326" s="1">
        <v>5.0010295209637068</v>
      </c>
      <c r="C1326" s="1">
        <f>IRS_returns_2015_25[[#This Row],[IRSrtn]]-AVERAGE($B$2:$B$2600)</f>
        <v>4.9952530268970907</v>
      </c>
      <c r="D1326" s="1">
        <f>w+a*C1325^2+b*D1325</f>
        <v>25.542136403753425</v>
      </c>
      <c r="E1326" s="1">
        <f t="shared" si="20"/>
        <v>-3.0275618897425809</v>
      </c>
      <c r="F1326" s="7">
        <f>SQRT(IRS_returns_2015_25[[#This Row],[  σ2]])</f>
        <v>5.0539228727547298</v>
      </c>
    </row>
    <row r="1327" spans="1:6" x14ac:dyDescent="0.3">
      <c r="A1327" s="2">
        <v>43971</v>
      </c>
      <c r="B1327" s="1">
        <v>2.4097493373865131</v>
      </c>
      <c r="C1327" s="1">
        <f>IRS_returns_2015_25[[#This Row],[IRSrtn]]-AVERAGE($B$2:$B$2600)</f>
        <v>2.4039728433198975</v>
      </c>
      <c r="D1327" s="1">
        <f>w+a*C1326^2+b*D1326</f>
        <v>24.428775272914859</v>
      </c>
      <c r="E1327" s="1">
        <f t="shared" si="20"/>
        <v>-2.6351037964661872</v>
      </c>
      <c r="F1327" s="7">
        <f>SQRT(IRS_returns_2015_25[[#This Row],[  σ2]])</f>
        <v>4.9425474477150804</v>
      </c>
    </row>
    <row r="1328" spans="1:6" x14ac:dyDescent="0.3">
      <c r="A1328" s="2">
        <v>43972</v>
      </c>
      <c r="B1328" s="1">
        <v>-7.9822137942072047</v>
      </c>
      <c r="C1328" s="1">
        <f>IRS_returns_2015_25[[#This Row],[IRSrtn]]-AVERAGE($B$2:$B$2600)</f>
        <v>-7.9879902882738207</v>
      </c>
      <c r="D1328" s="1">
        <f>w+a*C1327^2+b*D1327</f>
        <v>19.015981268978038</v>
      </c>
      <c r="E1328" s="1">
        <f t="shared" si="20"/>
        <v>-4.0693248218331046</v>
      </c>
      <c r="F1328" s="7">
        <f>SQRT(IRS_returns_2015_25[[#This Row],[  σ2]])</f>
        <v>4.3607317354978443</v>
      </c>
    </row>
    <row r="1329" spans="1:6" x14ac:dyDescent="0.3">
      <c r="A1329" s="2">
        <v>43973</v>
      </c>
      <c r="B1329" s="1">
        <v>4.4825569688630384</v>
      </c>
      <c r="C1329" s="1">
        <f>IRS_returns_2015_25[[#This Row],[IRSrtn]]-AVERAGE($B$2:$B$2600)</f>
        <v>4.4767804747964224</v>
      </c>
      <c r="D1329" s="1">
        <f>w+a*C1328^2+b*D1328</f>
        <v>29.551322732510549</v>
      </c>
      <c r="E1329" s="1">
        <f t="shared" si="20"/>
        <v>-2.9511003552435358</v>
      </c>
      <c r="F1329" s="7">
        <f>SQRT(IRS_returns_2015_25[[#This Row],[  σ2]])</f>
        <v>5.4361128329451134</v>
      </c>
    </row>
    <row r="1330" spans="1:6" x14ac:dyDescent="0.3">
      <c r="A1330" s="2">
        <v>43977</v>
      </c>
      <c r="B1330" s="1">
        <v>-1.3793476595343579</v>
      </c>
      <c r="C1330" s="1">
        <f>IRS_returns_2015_25[[#This Row],[IRSrtn]]-AVERAGE($B$2:$B$2600)</f>
        <v>-1.3851241536009737</v>
      </c>
      <c r="D1330" s="1">
        <f>w+a*C1329^2+b*D1329</f>
        <v>25.901196191238327</v>
      </c>
      <c r="E1330" s="1">
        <f t="shared" si="20"/>
        <v>-2.583119409053769</v>
      </c>
      <c r="F1330" s="7">
        <f>SQRT(IRS_returns_2015_25[[#This Row],[  σ2]])</f>
        <v>5.089321781066543</v>
      </c>
    </row>
    <row r="1331" spans="1:6" x14ac:dyDescent="0.3">
      <c r="A1331" s="2">
        <v>43978</v>
      </c>
      <c r="B1331" s="1">
        <v>0.82987562204772658</v>
      </c>
      <c r="C1331" s="1">
        <f>IRS_returns_2015_25[[#This Row],[IRSrtn]]-AVERAGE($B$2:$B$2600)</f>
        <v>0.82409912798111074</v>
      </c>
      <c r="D1331" s="1">
        <f>w+a*C1330^2+b*D1330</f>
        <v>19.055582528302349</v>
      </c>
      <c r="E1331" s="1">
        <f t="shared" si="20"/>
        <v>-2.410438543896249</v>
      </c>
      <c r="F1331" s="7">
        <f>SQRT(IRS_returns_2015_25[[#This Row],[  σ2]])</f>
        <v>4.3652700407079452</v>
      </c>
    </row>
    <row r="1332" spans="1:6" x14ac:dyDescent="0.3">
      <c r="A1332" s="2">
        <v>43979</v>
      </c>
      <c r="B1332" s="1">
        <v>-6.2520409587711656</v>
      </c>
      <c r="C1332" s="1">
        <f>IRS_returns_2015_25[[#This Row],[IRSrtn]]-AVERAGE($B$2:$B$2600)</f>
        <v>-6.2578174528377817</v>
      </c>
      <c r="D1332" s="1">
        <f>w+a*C1331^2+b*D1331</f>
        <v>14.196356377142884</v>
      </c>
      <c r="E1332" s="1">
        <f t="shared" si="20"/>
        <v>-3.6246681782329371</v>
      </c>
      <c r="F1332" s="7">
        <f>SQRT(IRS_returns_2015_25[[#This Row],[  σ2]])</f>
        <v>3.7678052467109926</v>
      </c>
    </row>
    <row r="1333" spans="1:6" x14ac:dyDescent="0.3">
      <c r="A1333" s="2">
        <v>43980</v>
      </c>
      <c r="B1333" s="1">
        <v>-7.6140182337465774</v>
      </c>
      <c r="C1333" s="1">
        <f>IRS_returns_2015_25[[#This Row],[IRSrtn]]-AVERAGE($B$2:$B$2600)</f>
        <v>-7.6197947278131934</v>
      </c>
      <c r="D1333" s="1">
        <f>w+a*C1332^2+b*D1332</f>
        <v>20.337409152482508</v>
      </c>
      <c r="E1333" s="1">
        <f t="shared" si="20"/>
        <v>-3.8526195926334235</v>
      </c>
      <c r="F1333" s="7">
        <f>SQRT(IRS_returns_2015_25[[#This Row],[  σ2]])</f>
        <v>4.5097016700090604</v>
      </c>
    </row>
    <row r="1334" spans="1:6" x14ac:dyDescent="0.3">
      <c r="A1334" s="2">
        <v>43983</v>
      </c>
      <c r="B1334" s="1">
        <v>13.866059192517744</v>
      </c>
      <c r="C1334" s="1">
        <f>IRS_returns_2015_25[[#This Row],[IRSrtn]]-AVERAGE($B$2:$B$2600)</f>
        <v>13.860282698451128</v>
      </c>
      <c r="D1334" s="1">
        <f>w+a*C1333^2+b*D1333</f>
        <v>29.03083305495884</v>
      </c>
      <c r="E1334" s="1">
        <f t="shared" si="20"/>
        <v>-5.9117971339089159</v>
      </c>
      <c r="F1334" s="7">
        <f>SQRT(IRS_returns_2015_25[[#This Row],[  σ2]])</f>
        <v>5.3880268238900628</v>
      </c>
    </row>
    <row r="1335" spans="1:6" x14ac:dyDescent="0.3">
      <c r="A1335" s="2">
        <v>43984</v>
      </c>
      <c r="B1335" s="1">
        <v>1.3680181139059444</v>
      </c>
      <c r="C1335" s="1">
        <f>IRS_returns_2015_25[[#This Row],[IRSrtn]]-AVERAGE($B$2:$B$2600)</f>
        <v>1.3622416198393286</v>
      </c>
      <c r="D1335" s="1">
        <f>w+a*C1334^2+b*D1334</f>
        <v>67.478507695144344</v>
      </c>
      <c r="E1335" s="1">
        <f t="shared" si="20"/>
        <v>-3.0385934251497067</v>
      </c>
      <c r="F1335" s="7">
        <f>SQRT(IRS_returns_2015_25[[#This Row],[  σ2]])</f>
        <v>8.2145302784239789</v>
      </c>
    </row>
    <row r="1336" spans="1:6" x14ac:dyDescent="0.3">
      <c r="A1336" s="2">
        <v>43985</v>
      </c>
      <c r="B1336" s="1">
        <v>-2.197893735953671</v>
      </c>
      <c r="C1336" s="1">
        <f>IRS_returns_2015_25[[#This Row],[IRSrtn]]-AVERAGE($B$2:$B$2600)</f>
        <v>-2.2036702300202866</v>
      </c>
      <c r="D1336" s="1">
        <f>w+a*C1335^2+b*D1335</f>
        <v>46.718976236997889</v>
      </c>
      <c r="E1336" s="1">
        <f t="shared" si="20"/>
        <v>-2.8929858018074937</v>
      </c>
      <c r="F1336" s="7">
        <f>SQRT(IRS_returns_2015_25[[#This Row],[  σ2]])</f>
        <v>6.8351281068461249</v>
      </c>
    </row>
    <row r="1337" spans="1:6" x14ac:dyDescent="0.3">
      <c r="A1337" s="2">
        <v>43986</v>
      </c>
      <c r="B1337" s="1">
        <v>-1.680710239010974</v>
      </c>
      <c r="C1337" s="1">
        <f>IRS_returns_2015_25[[#This Row],[IRSrtn]]-AVERAGE($B$2:$B$2600)</f>
        <v>-1.6864867330775899</v>
      </c>
      <c r="D1337" s="1">
        <f>w+a*C1336^2+b*D1336</f>
        <v>33.630070631063546</v>
      </c>
      <c r="E1337" s="1">
        <f t="shared" si="20"/>
        <v>-2.718935963762414</v>
      </c>
      <c r="F1337" s="7">
        <f>SQRT(IRS_returns_2015_25[[#This Row],[  σ2]])</f>
        <v>5.7991439567459908</v>
      </c>
    </row>
    <row r="1338" spans="1:6" x14ac:dyDescent="0.3">
      <c r="A1338" s="2">
        <v>43987</v>
      </c>
      <c r="B1338" s="1">
        <v>1.1235931354049322</v>
      </c>
      <c r="C1338" s="1">
        <f>IRS_returns_2015_25[[#This Row],[IRSrtn]]-AVERAGE($B$2:$B$2600)</f>
        <v>1.1178166413383164</v>
      </c>
      <c r="D1338" s="1">
        <f>w+a*C1337^2+b*D1337</f>
        <v>24.426362353516762</v>
      </c>
      <c r="E1338" s="1">
        <f t="shared" si="20"/>
        <v>-2.5423471816860745</v>
      </c>
      <c r="F1338" s="7">
        <f>SQRT(IRS_returns_2015_25[[#This Row],[  σ2]])</f>
        <v>4.942303344951295</v>
      </c>
    </row>
    <row r="1339" spans="1:6" x14ac:dyDescent="0.3">
      <c r="A1339" s="2">
        <v>43990</v>
      </c>
      <c r="B1339" s="1">
        <v>10.591917320149879</v>
      </c>
      <c r="C1339" s="1">
        <f>IRS_returns_2015_25[[#This Row],[IRSrtn]]-AVERAGE($B$2:$B$2600)</f>
        <v>10.586140826083263</v>
      </c>
      <c r="D1339" s="1">
        <f>w+a*C1338^2+b*D1338</f>
        <v>17.910745927036345</v>
      </c>
      <c r="E1339" s="1">
        <f t="shared" si="20"/>
        <v>-5.490106591380588</v>
      </c>
      <c r="F1339" s="7">
        <f>SQRT(IRS_returns_2015_25[[#This Row],[  σ2]])</f>
        <v>4.2321089219249011</v>
      </c>
    </row>
    <row r="1340" spans="1:6" x14ac:dyDescent="0.3">
      <c r="A1340" s="2">
        <v>43991</v>
      </c>
      <c r="B1340" s="1">
        <v>0.75093796313734362</v>
      </c>
      <c r="C1340" s="1">
        <f>IRS_returns_2015_25[[#This Row],[IRSrtn]]-AVERAGE($B$2:$B$2600)</f>
        <v>0.74516146907072778</v>
      </c>
      <c r="D1340" s="1">
        <f>w+a*C1339^2+b*D1339</f>
        <v>40.573694351022652</v>
      </c>
      <c r="E1340" s="1">
        <f t="shared" si="20"/>
        <v>-2.7773411803335786</v>
      </c>
      <c r="F1340" s="7">
        <f>SQRT(IRS_returns_2015_25[[#This Row],[  σ2]])</f>
        <v>6.3697483742313281</v>
      </c>
    </row>
    <row r="1341" spans="1:6" x14ac:dyDescent="0.3">
      <c r="A1341" s="2">
        <v>43992</v>
      </c>
      <c r="B1341" s="1">
        <v>-5.1161904941530167</v>
      </c>
      <c r="C1341" s="1">
        <f>IRS_returns_2015_25[[#This Row],[IRSrtn]]-AVERAGE($B$2:$B$2600)</f>
        <v>-5.1219669882196328</v>
      </c>
      <c r="D1341" s="1">
        <f>w+a*C1340^2+b*D1340</f>
        <v>28.491141244253377</v>
      </c>
      <c r="E1341" s="1">
        <f t="shared" si="20"/>
        <v>-3.0541334331174608</v>
      </c>
      <c r="F1341" s="7">
        <f>SQRT(IRS_returns_2015_25[[#This Row],[  σ2]])</f>
        <v>5.3377093630370487</v>
      </c>
    </row>
    <row r="1342" spans="1:6" x14ac:dyDescent="0.3">
      <c r="A1342" s="2">
        <v>43993</v>
      </c>
      <c r="B1342" s="1">
        <v>-7.3502579245391386</v>
      </c>
      <c r="C1342" s="1">
        <f>IRS_returns_2015_25[[#This Row],[IRSrtn]]-AVERAGE($B$2:$B$2600)</f>
        <v>-7.3560344186057547</v>
      </c>
      <c r="D1342" s="1">
        <f>w+a*C1341^2+b*D1341</f>
        <v>26.704334387155559</v>
      </c>
      <c r="E1342" s="1">
        <f t="shared" si="20"/>
        <v>-3.5745061509992637</v>
      </c>
      <c r="F1342" s="7">
        <f>SQRT(IRS_returns_2015_25[[#This Row],[  σ2]])</f>
        <v>5.1676236692657449</v>
      </c>
    </row>
    <row r="1343" spans="1:6" x14ac:dyDescent="0.3">
      <c r="A1343" s="2">
        <v>43994</v>
      </c>
      <c r="B1343" s="1">
        <v>-1.1363935659463031</v>
      </c>
      <c r="C1343" s="1">
        <f>IRS_returns_2015_25[[#This Row],[IRSrtn]]-AVERAGE($B$2:$B$2600)</f>
        <v>-1.142170060012919</v>
      </c>
      <c r="D1343" s="1">
        <f>w+a*C1342^2+b*D1342</f>
        <v>32.306977864247521</v>
      </c>
      <c r="E1343" s="1">
        <f t="shared" si="20"/>
        <v>-2.6767701017428247</v>
      </c>
      <c r="F1343" s="7">
        <f>SQRT(IRS_returns_2015_25[[#This Row],[  σ2]])</f>
        <v>5.683922753191454</v>
      </c>
    </row>
    <row r="1344" spans="1:6" x14ac:dyDescent="0.3">
      <c r="A1344" s="2">
        <v>43997</v>
      </c>
      <c r="B1344" s="1">
        <v>-3.7850096507570319</v>
      </c>
      <c r="C1344" s="1">
        <f>IRS_returns_2015_25[[#This Row],[IRSrtn]]-AVERAGE($B$2:$B$2600)</f>
        <v>-3.7907861448236475</v>
      </c>
      <c r="D1344" s="1">
        <f>w+a*C1343^2+b*D1343</f>
        <v>23.170413477805159</v>
      </c>
      <c r="E1344" s="1">
        <f t="shared" si="20"/>
        <v>-2.8004716436242139</v>
      </c>
      <c r="F1344" s="7">
        <f>SQRT(IRS_returns_2015_25[[#This Row],[  σ2]])</f>
        <v>4.8135655680384328</v>
      </c>
    </row>
    <row r="1345" spans="1:6" x14ac:dyDescent="0.3">
      <c r="A1345" s="2">
        <v>43998</v>
      </c>
      <c r="B1345" s="1">
        <v>-3.6257888037143138</v>
      </c>
      <c r="C1345" s="1">
        <f>IRS_returns_2015_25[[#This Row],[IRSrtn]]-AVERAGE($B$2:$B$2600)</f>
        <v>-3.6315652977809294</v>
      </c>
      <c r="D1345" s="1">
        <f>w+a*C1344^2+b*D1344</f>
        <v>20.271457659060115</v>
      </c>
      <c r="E1345" s="1">
        <f t="shared" si="20"/>
        <v>-2.7488369873004075</v>
      </c>
      <c r="F1345" s="7">
        <f>SQRT(IRS_returns_2015_25[[#This Row],[  σ2]])</f>
        <v>4.5023835530816472</v>
      </c>
    </row>
    <row r="1346" spans="1:6" x14ac:dyDescent="0.3">
      <c r="A1346" s="2">
        <v>43999</v>
      </c>
      <c r="B1346" s="1">
        <v>1.5267560181922102</v>
      </c>
      <c r="C1346" s="1">
        <f>IRS_returns_2015_25[[#This Row],[IRSrtn]]-AVERAGE($B$2:$B$2600)</f>
        <v>1.5209795241255943</v>
      </c>
      <c r="D1346" s="1">
        <f>w+a*C1345^2+b*D1345</f>
        <v>18.053630707771358</v>
      </c>
      <c r="E1346" s="1">
        <f t="shared" ref="E1346:E1409" si="21">-0.5*(LN(2*PI())+LN(D1346)+C1346^2/D1346)</f>
        <v>-2.4296815644944654</v>
      </c>
      <c r="F1346" s="7">
        <f>SQRT(IRS_returns_2015_25[[#This Row],[  σ2]])</f>
        <v>4.2489564257322474</v>
      </c>
    </row>
    <row r="1347" spans="1:6" x14ac:dyDescent="0.3">
      <c r="A1347" s="2">
        <v>44000</v>
      </c>
      <c r="B1347" s="1">
        <v>-4.9699475398966575</v>
      </c>
      <c r="C1347" s="1">
        <f>IRS_returns_2015_25[[#This Row],[IRSrtn]]-AVERAGE($B$2:$B$2600)</f>
        <v>-4.9757240339632736</v>
      </c>
      <c r="D1347" s="1">
        <f>w+a*C1346^2+b*D1346</f>
        <v>13.927522341562725</v>
      </c>
      <c r="E1347" s="1">
        <f t="shared" si="21"/>
        <v>-3.1246815342900982</v>
      </c>
      <c r="F1347" s="7">
        <f>SQRT(IRS_returns_2015_25[[#This Row],[  σ2]])</f>
        <v>3.7319595846636289</v>
      </c>
    </row>
    <row r="1348" spans="1:6" x14ac:dyDescent="0.3">
      <c r="A1348" s="2">
        <v>44001</v>
      </c>
      <c r="B1348" s="1">
        <v>2.20480119276385</v>
      </c>
      <c r="C1348" s="1">
        <f>IRS_returns_2015_25[[#This Row],[IRSrtn]]-AVERAGE($B$2:$B$2600)</f>
        <v>2.1990246986972344</v>
      </c>
      <c r="D1348" s="1">
        <f>w+a*C1347^2+b*D1347</f>
        <v>16.649288324747559</v>
      </c>
      <c r="E1348" s="1">
        <f t="shared" si="21"/>
        <v>-2.4703449818935499</v>
      </c>
      <c r="F1348" s="7">
        <f>SQRT(IRS_returns_2015_25[[#This Row],[  σ2]])</f>
        <v>4.080353946013453</v>
      </c>
    </row>
    <row r="1349" spans="1:6" x14ac:dyDescent="0.3">
      <c r="A1349" s="2">
        <v>44004</v>
      </c>
      <c r="B1349" s="1">
        <v>-3.1648483440015918</v>
      </c>
      <c r="C1349" s="1">
        <f>IRS_returns_2015_25[[#This Row],[IRSrtn]]-AVERAGE($B$2:$B$2600)</f>
        <v>-3.1706248380682074</v>
      </c>
      <c r="D1349" s="1">
        <f>w+a*C1348^2+b*D1348</f>
        <v>13.60719348954156</v>
      </c>
      <c r="E1349" s="1">
        <f t="shared" si="21"/>
        <v>-2.5936329505911817</v>
      </c>
      <c r="F1349" s="7">
        <f>SQRT(IRS_returns_2015_25[[#This Row],[  σ2]])</f>
        <v>3.6887929583457999</v>
      </c>
    </row>
    <row r="1350" spans="1:6" x14ac:dyDescent="0.3">
      <c r="A1350" s="2">
        <v>44005</v>
      </c>
      <c r="B1350" s="1">
        <v>0.64106044386263994</v>
      </c>
      <c r="C1350" s="1">
        <f>IRS_returns_2015_25[[#This Row],[IRSrtn]]-AVERAGE($B$2:$B$2600)</f>
        <v>0.63528394979602409</v>
      </c>
      <c r="D1350" s="1">
        <f>w+a*C1349^2+b*D1349</f>
        <v>12.853178050630168</v>
      </c>
      <c r="E1350" s="1">
        <f t="shared" si="21"/>
        <v>-2.2114339238865526</v>
      </c>
      <c r="F1350" s="7">
        <f>SQRT(IRS_returns_2015_25[[#This Row],[  σ2]])</f>
        <v>3.5851329195205817</v>
      </c>
    </row>
    <row r="1351" spans="1:6" x14ac:dyDescent="0.3">
      <c r="A1351" s="2">
        <v>44006</v>
      </c>
      <c r="B1351" s="1">
        <v>-0.9630929085882145</v>
      </c>
      <c r="C1351" s="1">
        <f>IRS_returns_2015_25[[#This Row],[IRSrtn]]-AVERAGE($B$2:$B$2600)</f>
        <v>-0.96886940265483035</v>
      </c>
      <c r="D1351" s="1">
        <f>w+a*C1350^2+b*D1350</f>
        <v>10.000173464161879</v>
      </c>
      <c r="E1351" s="1">
        <f t="shared" si="21"/>
        <v>-2.117174334657812</v>
      </c>
      <c r="F1351" s="7">
        <f>SQRT(IRS_returns_2015_25[[#This Row],[  σ2]])</f>
        <v>3.1623050871416374</v>
      </c>
    </row>
    <row r="1352" spans="1:6" x14ac:dyDescent="0.3">
      <c r="A1352" s="2">
        <v>44007</v>
      </c>
      <c r="B1352" s="1">
        <v>8.0538677909880896</v>
      </c>
      <c r="C1352" s="1">
        <f>IRS_returns_2015_25[[#This Row],[IRSrtn]]-AVERAGE($B$2:$B$2600)</f>
        <v>8.0480912969214735</v>
      </c>
      <c r="D1352" s="1">
        <f>w+a*C1351^2+b*D1351</f>
        <v>8.2312630335358996</v>
      </c>
      <c r="E1352" s="1">
        <f t="shared" si="21"/>
        <v>-5.9074061246762941</v>
      </c>
      <c r="F1352" s="7">
        <f>SQRT(IRS_returns_2015_25[[#This Row],[  σ2]])</f>
        <v>2.8690177820180724</v>
      </c>
    </row>
    <row r="1353" spans="1:6" x14ac:dyDescent="0.3">
      <c r="A1353" s="2">
        <v>44008</v>
      </c>
      <c r="B1353" s="1">
        <v>-6.7717881750247733</v>
      </c>
      <c r="C1353" s="1">
        <f>IRS_returns_2015_25[[#This Row],[IRSrtn]]-AVERAGE($B$2:$B$2600)</f>
        <v>-6.7775646690913893</v>
      </c>
      <c r="D1353" s="1">
        <f>w+a*C1352^2+b*D1352</f>
        <v>22.606581468622824</v>
      </c>
      <c r="E1353" s="1">
        <f t="shared" si="21"/>
        <v>-3.4940327375964459</v>
      </c>
      <c r="F1353" s="7">
        <f>SQRT(IRS_returns_2015_25[[#This Row],[  σ2]])</f>
        <v>4.7546378903784907</v>
      </c>
    </row>
    <row r="1354" spans="1:6" x14ac:dyDescent="0.3">
      <c r="A1354" s="2">
        <v>44011</v>
      </c>
      <c r="B1354" s="1">
        <v>-1.9293548628599888</v>
      </c>
      <c r="C1354" s="1">
        <f>IRS_returns_2015_25[[#This Row],[IRSrtn]]-AVERAGE($B$2:$B$2600)</f>
        <v>-1.9351313569266047</v>
      </c>
      <c r="D1354" s="1">
        <f>w+a*C1353^2+b*D1353</f>
        <v>27.586988976949222</v>
      </c>
      <c r="E1354" s="1">
        <f t="shared" si="21"/>
        <v>-2.6454820251754194</v>
      </c>
      <c r="F1354" s="7">
        <f>SQRT(IRS_returns_2015_25[[#This Row],[  σ2]])</f>
        <v>5.2523317656969484</v>
      </c>
    </row>
    <row r="1355" spans="1:6" x14ac:dyDescent="0.3">
      <c r="A1355" s="2">
        <v>44012</v>
      </c>
      <c r="B1355" s="1">
        <v>-1.6366702286993884</v>
      </c>
      <c r="C1355" s="1">
        <f>IRS_returns_2015_25[[#This Row],[IRSrtn]]-AVERAGE($B$2:$B$2600)</f>
        <v>-1.6424467227660042</v>
      </c>
      <c r="D1355" s="1">
        <f>w+a*C1354^2+b*D1354</f>
        <v>20.622787506326173</v>
      </c>
      <c r="E1355" s="1">
        <f t="shared" si="21"/>
        <v>-2.4975409971878024</v>
      </c>
      <c r="F1355" s="7">
        <f>SQRT(IRS_returns_2015_25[[#This Row],[  σ2]])</f>
        <v>4.5412319370767857</v>
      </c>
    </row>
    <row r="1356" spans="1:6" x14ac:dyDescent="0.3">
      <c r="A1356" s="2">
        <v>44014</v>
      </c>
      <c r="B1356" s="1">
        <v>-0.66225030520963291</v>
      </c>
      <c r="C1356" s="1">
        <f>IRS_returns_2015_25[[#This Row],[IRSrtn]]-AVERAGE($B$2:$B$2600)</f>
        <v>-0.66802679927624875</v>
      </c>
      <c r="D1356" s="1">
        <f>w+a*C1355^2+b*D1355</f>
        <v>15.731476000199866</v>
      </c>
      <c r="E1356" s="1">
        <f t="shared" si="21"/>
        <v>-2.3109539659717191</v>
      </c>
      <c r="F1356" s="7">
        <f>SQRT(IRS_returns_2015_25[[#This Row],[  σ2]])</f>
        <v>3.9662924753729225</v>
      </c>
    </row>
    <row r="1357" spans="1:6" x14ac:dyDescent="0.3">
      <c r="A1357" s="2">
        <v>44018</v>
      </c>
      <c r="B1357" s="1">
        <v>22.778373662780606</v>
      </c>
      <c r="C1357" s="1">
        <f>IRS_returns_2015_25[[#This Row],[IRSrtn]]-AVERAGE($B$2:$B$2600)</f>
        <v>22.77259716871399</v>
      </c>
      <c r="D1357" s="1">
        <f>w+a*C1356^2+b*D1356</f>
        <v>11.926702051582705</v>
      </c>
      <c r="E1357" s="1">
        <f t="shared" si="21"/>
        <v>-23.899090424416233</v>
      </c>
      <c r="F1357" s="7">
        <f>SQRT(IRS_returns_2015_25[[#This Row],[  σ2]])</f>
        <v>3.453505762494498</v>
      </c>
    </row>
    <row r="1358" spans="1:6" x14ac:dyDescent="0.3">
      <c r="A1358" s="2">
        <v>44019</v>
      </c>
      <c r="B1358" s="1">
        <v>-3.7740348060841811</v>
      </c>
      <c r="C1358" s="1">
        <f>IRS_returns_2015_25[[#This Row],[IRSrtn]]-AVERAGE($B$2:$B$2600)</f>
        <v>-3.7798113001507967</v>
      </c>
      <c r="D1358" s="1">
        <f>w+a*C1357^2+b*D1357</f>
        <v>135.63969086934216</v>
      </c>
      <c r="E1358" s="1">
        <f t="shared" si="21"/>
        <v>-3.4266047175432557</v>
      </c>
      <c r="F1358" s="7">
        <f>SQRT(IRS_returns_2015_25[[#This Row],[  σ2]])</f>
        <v>11.646445417780575</v>
      </c>
    </row>
    <row r="1359" spans="1:6" x14ac:dyDescent="0.3">
      <c r="A1359" s="2">
        <v>44020</v>
      </c>
      <c r="B1359" s="1">
        <v>-1.6620867824003849</v>
      </c>
      <c r="C1359" s="1">
        <f>IRS_returns_2015_25[[#This Row],[IRSrtn]]-AVERAGE($B$2:$B$2600)</f>
        <v>-1.6678632764670007</v>
      </c>
      <c r="D1359" s="1">
        <f>w+a*C1358^2+b*D1358</f>
        <v>95.123891437367604</v>
      </c>
      <c r="E1359" s="1">
        <f t="shared" si="21"/>
        <v>-3.2111504295126334</v>
      </c>
      <c r="F1359" s="7">
        <f>SQRT(IRS_returns_2015_25[[#This Row],[  σ2]])</f>
        <v>9.7531477707131859</v>
      </c>
    </row>
    <row r="1360" spans="1:6" x14ac:dyDescent="0.3">
      <c r="A1360" s="2">
        <v>44021</v>
      </c>
      <c r="B1360" s="1">
        <v>-5.1587242803888378</v>
      </c>
      <c r="C1360" s="1">
        <f>IRS_returns_2015_25[[#This Row],[IRSrtn]]-AVERAGE($B$2:$B$2600)</f>
        <v>-5.1645007744554539</v>
      </c>
      <c r="D1360" s="1">
        <f>w+a*C1359^2+b*D1359</f>
        <v>65.348605928760577</v>
      </c>
      <c r="E1360" s="1">
        <f t="shared" si="21"/>
        <v>-3.2128818527360345</v>
      </c>
      <c r="F1360" s="7">
        <f>SQRT(IRS_returns_2015_25[[#This Row],[  σ2]])</f>
        <v>8.0838484602793343</v>
      </c>
    </row>
    <row r="1361" spans="1:6" x14ac:dyDescent="0.3">
      <c r="A1361" s="2">
        <v>44022</v>
      </c>
      <c r="B1361" s="1">
        <v>5.7158413839948796</v>
      </c>
      <c r="C1361" s="1">
        <f>IRS_returns_2015_25[[#This Row],[IRSrtn]]-AVERAGE($B$2:$B$2600)</f>
        <v>5.7100648899282636</v>
      </c>
      <c r="D1361" s="1">
        <f>w+a*C1360^2+b*D1360</f>
        <v>51.347566875034325</v>
      </c>
      <c r="E1361" s="1">
        <f t="shared" si="21"/>
        <v>-3.2057388967960017</v>
      </c>
      <c r="F1361" s="7">
        <f>SQRT(IRS_returns_2015_25[[#This Row],[  σ2]])</f>
        <v>7.1657216576583771</v>
      </c>
    </row>
    <row r="1362" spans="1:6" x14ac:dyDescent="0.3">
      <c r="A1362" s="2">
        <v>44025</v>
      </c>
      <c r="B1362" s="1">
        <v>8.0042779954305754</v>
      </c>
      <c r="C1362" s="1">
        <f>IRS_returns_2015_25[[#This Row],[IRSrtn]]-AVERAGE($B$2:$B$2600)</f>
        <v>7.9985015013639593</v>
      </c>
      <c r="D1362" s="1">
        <f>w+a*C1361^2+b*D1361</f>
        <v>43.472359893324906</v>
      </c>
      <c r="E1362" s="1">
        <f t="shared" si="21"/>
        <v>-3.5408253688347457</v>
      </c>
      <c r="F1362" s="7">
        <f>SQRT(IRS_returns_2015_25[[#This Row],[  σ2]])</f>
        <v>6.593357255095837</v>
      </c>
    </row>
    <row r="1363" spans="1:6" x14ac:dyDescent="0.3">
      <c r="A1363" s="2">
        <v>44026</v>
      </c>
      <c r="B1363" s="1">
        <v>-4.1890998915330213</v>
      </c>
      <c r="C1363" s="1">
        <f>IRS_returns_2015_25[[#This Row],[IRSrtn]]-AVERAGE($B$2:$B$2600)</f>
        <v>-4.1948763855996374</v>
      </c>
      <c r="D1363" s="1">
        <f>w+a*C1362^2+b*D1362</f>
        <v>45.873285009051315</v>
      </c>
      <c r="E1363" s="1">
        <f t="shared" si="21"/>
        <v>-3.0236799478397218</v>
      </c>
      <c r="F1363" s="7">
        <f>SQRT(IRS_returns_2015_25[[#This Row],[  σ2]])</f>
        <v>6.772981987946765</v>
      </c>
    </row>
    <row r="1364" spans="1:6" x14ac:dyDescent="0.3">
      <c r="A1364" s="2">
        <v>44027</v>
      </c>
      <c r="B1364" s="1">
        <v>1.8543695816306105</v>
      </c>
      <c r="C1364" s="1">
        <f>IRS_returns_2015_25[[#This Row],[IRSrtn]]-AVERAGE($B$2:$B$2600)</f>
        <v>1.8485930875639947</v>
      </c>
      <c r="D1364" s="1">
        <f>w+a*C1363^2+b*D1363</f>
        <v>36.1713790106121</v>
      </c>
      <c r="E1364" s="1">
        <f t="shared" si="21"/>
        <v>-2.7603101929779652</v>
      </c>
      <c r="F1364" s="7">
        <f>SQRT(IRS_returns_2015_25[[#This Row],[  σ2]])</f>
        <v>6.0142646275843319</v>
      </c>
    </row>
    <row r="1365" spans="1:6" x14ac:dyDescent="0.3">
      <c r="A1365" s="2">
        <v>44028</v>
      </c>
      <c r="B1365" s="1">
        <v>-1.3210379909958547</v>
      </c>
      <c r="C1365" s="1">
        <f>IRS_returns_2015_25[[#This Row],[IRSrtn]]-AVERAGE($B$2:$B$2600)</f>
        <v>-1.3268144850624706</v>
      </c>
      <c r="D1365" s="1">
        <f>w+a*C1364^2+b*D1364</f>
        <v>26.257779484575579</v>
      </c>
      <c r="E1365" s="1">
        <f t="shared" si="21"/>
        <v>-2.5864418789434227</v>
      </c>
      <c r="F1365" s="7">
        <f>SQRT(IRS_returns_2015_25[[#This Row],[  σ2]])</f>
        <v>5.1242345266952389</v>
      </c>
    </row>
    <row r="1366" spans="1:6" x14ac:dyDescent="0.3">
      <c r="A1366" s="2">
        <v>44029</v>
      </c>
      <c r="B1366" s="1">
        <v>1.8445816624067746</v>
      </c>
      <c r="C1366" s="1">
        <f>IRS_returns_2015_25[[#This Row],[IRSrtn]]-AVERAGE($B$2:$B$2600)</f>
        <v>1.8388051683401587</v>
      </c>
      <c r="D1366" s="1">
        <f>w+a*C1365^2+b*D1365</f>
        <v>19.254437101901175</v>
      </c>
      <c r="E1366" s="1">
        <f t="shared" si="21"/>
        <v>-2.4856125532794664</v>
      </c>
      <c r="F1366" s="7">
        <f>SQRT(IRS_returns_2015_25[[#This Row],[  σ2]])</f>
        <v>4.3879878192516868</v>
      </c>
    </row>
    <row r="1367" spans="1:6" x14ac:dyDescent="0.3">
      <c r="A1367" s="2">
        <v>44032</v>
      </c>
      <c r="B1367" s="1">
        <v>0.52083160487514935</v>
      </c>
      <c r="C1367" s="1">
        <f>IRS_returns_2015_25[[#This Row],[IRSrtn]]-AVERAGE($B$2:$B$2600)</f>
        <v>0.5150551108085335</v>
      </c>
      <c r="D1367" s="1">
        <f>w+a*C1366^2+b*D1366</f>
        <v>14.987094720830042</v>
      </c>
      <c r="E1367" s="1">
        <f t="shared" si="21"/>
        <v>-2.2813836126054157</v>
      </c>
      <c r="F1367" s="7">
        <f>SQRT(IRS_returns_2015_25[[#This Row],[  σ2]])</f>
        <v>3.8713169233259683</v>
      </c>
    </row>
    <row r="1368" spans="1:6" x14ac:dyDescent="0.3">
      <c r="A1368" s="2">
        <v>44033</v>
      </c>
      <c r="B1368" s="1">
        <v>2.8171007134667914</v>
      </c>
      <c r="C1368" s="1">
        <f>IRS_returns_2015_25[[#This Row],[IRSrtn]]-AVERAGE($B$2:$B$2600)</f>
        <v>2.8113242194001757</v>
      </c>
      <c r="D1368" s="1">
        <f>w+a*C1367^2+b*D1367</f>
        <v>11.387059735864399</v>
      </c>
      <c r="E1368" s="1">
        <f t="shared" si="21"/>
        <v>-2.4822179234654609</v>
      </c>
      <c r="F1368" s="7">
        <f>SQRT(IRS_returns_2015_25[[#This Row],[  σ2]])</f>
        <v>3.3744717713835448</v>
      </c>
    </row>
    <row r="1369" spans="1:6" x14ac:dyDescent="0.3">
      <c r="A1369" s="2">
        <v>44034</v>
      </c>
      <c r="B1369" s="1">
        <v>4.2033283804795429</v>
      </c>
      <c r="C1369" s="1">
        <f>IRS_returns_2015_25[[#This Row],[IRSrtn]]-AVERAGE($B$2:$B$2600)</f>
        <v>4.1975518864129269</v>
      </c>
      <c r="D1369" s="1">
        <f>w+a*C1368^2+b*D1368</f>
        <v>10.851517072006999</v>
      </c>
      <c r="E1369" s="1">
        <f t="shared" si="21"/>
        <v>-2.9229333109184168</v>
      </c>
      <c r="F1369" s="7">
        <f>SQRT(IRS_returns_2015_25[[#This Row],[  σ2]])</f>
        <v>3.2941640930601799</v>
      </c>
    </row>
    <row r="1370" spans="1:6" x14ac:dyDescent="0.3">
      <c r="A1370" s="2">
        <v>44035</v>
      </c>
      <c r="B1370" s="1">
        <v>-3.4486191638202657</v>
      </c>
      <c r="C1370" s="1">
        <f>IRS_returns_2015_25[[#This Row],[IRSrtn]]-AVERAGE($B$2:$B$2600)</f>
        <v>-3.4543956578868813</v>
      </c>
      <c r="D1370" s="1">
        <f>w+a*C1369^2+b*D1369</f>
        <v>12.862273664197843</v>
      </c>
      <c r="E1370" s="1">
        <f t="shared" si="21"/>
        <v>-2.6599579250587895</v>
      </c>
      <c r="F1370" s="7">
        <f>SQRT(IRS_returns_2015_25[[#This Row],[  σ2]])</f>
        <v>3.5864012135004977</v>
      </c>
    </row>
    <row r="1371" spans="1:6" x14ac:dyDescent="0.3">
      <c r="A1371" s="2">
        <v>44036</v>
      </c>
      <c r="B1371" s="1">
        <v>3.2062098453752297</v>
      </c>
      <c r="C1371" s="1">
        <f>IRS_returns_2015_25[[#This Row],[IRSrtn]]-AVERAGE($B$2:$B$2600)</f>
        <v>3.2004333513086141</v>
      </c>
      <c r="D1371" s="1">
        <f>w+a*C1370^2+b*D1370</f>
        <v>12.815330991822222</v>
      </c>
      <c r="E1371" s="1">
        <f t="shared" si="21"/>
        <v>-2.5938893223750474</v>
      </c>
      <c r="F1371" s="7">
        <f>SQRT(IRS_returns_2015_25[[#This Row],[  σ2]])</f>
        <v>3.5798506940684303</v>
      </c>
    </row>
    <row r="1372" spans="1:6" x14ac:dyDescent="0.3">
      <c r="A1372" s="2">
        <v>44039</v>
      </c>
      <c r="B1372" s="1">
        <v>1.6847407276388671</v>
      </c>
      <c r="C1372" s="1">
        <f>IRS_returns_2015_25[[#This Row],[IRSrtn]]-AVERAGE($B$2:$B$2600)</f>
        <v>1.6789642335722512</v>
      </c>
      <c r="D1372" s="1">
        <f>w+a*C1371^2+b*D1371</f>
        <v>12.37229391067136</v>
      </c>
      <c r="E1372" s="1">
        <f t="shared" si="21"/>
        <v>-2.2905890438594243</v>
      </c>
      <c r="F1372" s="7">
        <f>SQRT(IRS_returns_2015_25[[#This Row],[  σ2]])</f>
        <v>3.5174271720493886</v>
      </c>
    </row>
    <row r="1373" spans="1:6" x14ac:dyDescent="0.3">
      <c r="A1373" s="2">
        <v>44040</v>
      </c>
      <c r="B1373" s="1">
        <v>-0.95922779424950644</v>
      </c>
      <c r="C1373" s="1">
        <f>IRS_returns_2015_25[[#This Row],[IRSrtn]]-AVERAGE($B$2:$B$2600)</f>
        <v>-0.96500428831612228</v>
      </c>
      <c r="D1373" s="1">
        <f>w+a*C1372^2+b*D1372</f>
        <v>10.268536718137288</v>
      </c>
      <c r="E1373" s="1">
        <f t="shared" si="21"/>
        <v>-2.1288248101450877</v>
      </c>
      <c r="F1373" s="7">
        <f>SQRT(IRS_returns_2015_25[[#This Row],[  σ2]])</f>
        <v>3.2044557600530683</v>
      </c>
    </row>
    <row r="1374" spans="1:6" x14ac:dyDescent="0.3">
      <c r="A1374" s="2">
        <v>44041</v>
      </c>
      <c r="B1374" s="1">
        <v>-2.4391590654374351</v>
      </c>
      <c r="C1374" s="1">
        <f>IRS_returns_2015_25[[#This Row],[IRSrtn]]-AVERAGE($B$2:$B$2600)</f>
        <v>-2.4449355595040507</v>
      </c>
      <c r="D1374" s="1">
        <f>w+a*C1373^2+b*D1373</f>
        <v>8.4080957419271787</v>
      </c>
      <c r="E1374" s="1">
        <f t="shared" si="21"/>
        <v>-2.3390095105581166</v>
      </c>
      <c r="F1374" s="7">
        <f>SQRT(IRS_returns_2015_25[[#This Row],[  σ2]])</f>
        <v>2.8996716610552959</v>
      </c>
    </row>
    <row r="1375" spans="1:6" x14ac:dyDescent="0.3">
      <c r="A1375" s="2">
        <v>44042</v>
      </c>
      <c r="B1375" s="1">
        <v>-7.6961046704425273</v>
      </c>
      <c r="C1375" s="1">
        <f>IRS_returns_2015_25[[#This Row],[IRSrtn]]-AVERAGE($B$2:$B$2600)</f>
        <v>-7.7018811645091434</v>
      </c>
      <c r="D1375" s="1">
        <f>w+a*C1374^2+b*D1374</f>
        <v>8.3991419498382065</v>
      </c>
      <c r="E1375" s="1">
        <f t="shared" si="21"/>
        <v>-5.5142553004695793</v>
      </c>
      <c r="F1375" s="7">
        <f>SQRT(IRS_returns_2015_25[[#This Row],[  σ2]])</f>
        <v>2.8981273177412699</v>
      </c>
    </row>
    <row r="1376" spans="1:6" x14ac:dyDescent="0.3">
      <c r="A1376" s="2">
        <v>44043</v>
      </c>
      <c r="B1376" s="1">
        <v>1.3245376104921158</v>
      </c>
      <c r="C1376" s="1">
        <f>IRS_returns_2015_25[[#This Row],[IRSrtn]]-AVERAGE($B$2:$B$2600)</f>
        <v>1.3187611164255</v>
      </c>
      <c r="D1376" s="1">
        <f>w+a*C1375^2+b*D1375</f>
        <v>21.389767797459964</v>
      </c>
      <c r="E1376" s="1">
        <f t="shared" si="21"/>
        <v>-2.491048204008766</v>
      </c>
      <c r="F1376" s="7">
        <f>SQRT(IRS_returns_2015_25[[#This Row],[  σ2]])</f>
        <v>4.6249073285266986</v>
      </c>
    </row>
    <row r="1377" spans="1:6" x14ac:dyDescent="0.3">
      <c r="A1377" s="2">
        <v>44046</v>
      </c>
      <c r="B1377" s="1">
        <v>6.6181679947403538</v>
      </c>
      <c r="C1377" s="1">
        <f>IRS_returns_2015_25[[#This Row],[IRSrtn]]-AVERAGE($B$2:$B$2600)</f>
        <v>6.6123915006737377</v>
      </c>
      <c r="D1377" s="1">
        <f>w+a*C1376^2+b*D1376</f>
        <v>16.008529208970881</v>
      </c>
      <c r="E1377" s="1">
        <f t="shared" si="21"/>
        <v>-3.671137665126337</v>
      </c>
      <c r="F1377" s="7">
        <f>SQRT(IRS_returns_2015_25[[#This Row],[  σ2]])</f>
        <v>4.0010660090744414</v>
      </c>
    </row>
    <row r="1378" spans="1:6" x14ac:dyDescent="0.3">
      <c r="A1378" s="2">
        <v>44047</v>
      </c>
      <c r="B1378" s="1">
        <v>-9.2850001212459574</v>
      </c>
      <c r="C1378" s="1">
        <f>IRS_returns_2015_25[[#This Row],[IRSrtn]]-AVERAGE($B$2:$B$2600)</f>
        <v>-9.2907766153125735</v>
      </c>
      <c r="D1378" s="1">
        <f>w+a*C1377^2+b*D1377</f>
        <v>22.655684502813724</v>
      </c>
      <c r="E1378" s="1">
        <f t="shared" si="21"/>
        <v>-4.384152142527908</v>
      </c>
      <c r="F1378" s="7">
        <f>SQRT(IRS_returns_2015_25[[#This Row],[  σ2]])</f>
        <v>4.7597987880596095</v>
      </c>
    </row>
    <row r="1379" spans="1:6" x14ac:dyDescent="0.3">
      <c r="A1379" s="2">
        <v>44048</v>
      </c>
      <c r="B1379" s="1">
        <v>-0.81411114973231058</v>
      </c>
      <c r="C1379" s="1">
        <f>IRS_returns_2015_25[[#This Row],[IRSrtn]]-AVERAGE($B$2:$B$2600)</f>
        <v>-0.81988764379892642</v>
      </c>
      <c r="D1379" s="1">
        <f>w+a*C1378^2+b*D1378</f>
        <v>37.459022181726489</v>
      </c>
      <c r="E1379" s="1">
        <f t="shared" si="21"/>
        <v>-2.7395350115140618</v>
      </c>
      <c r="F1379" s="7">
        <f>SQRT(IRS_returns_2015_25[[#This Row],[  σ2]])</f>
        <v>6.1203776175760991</v>
      </c>
    </row>
    <row r="1380" spans="1:6" x14ac:dyDescent="0.3">
      <c r="A1380" s="2">
        <v>44049</v>
      </c>
      <c r="B1380" s="1">
        <v>1.6216555732895932</v>
      </c>
      <c r="C1380" s="1">
        <f>IRS_returns_2015_25[[#This Row],[IRSrtn]]-AVERAGE($B$2:$B$2600)</f>
        <v>1.6158790792229774</v>
      </c>
      <c r="D1380" s="1">
        <f>w+a*C1379^2+b*D1379</f>
        <v>26.446146797605021</v>
      </c>
      <c r="E1380" s="1">
        <f t="shared" si="21"/>
        <v>-2.605859469590571</v>
      </c>
      <c r="F1380" s="7">
        <f>SQRT(IRS_returns_2015_25[[#This Row],[  σ2]])</f>
        <v>5.1425817249320422</v>
      </c>
    </row>
    <row r="1381" spans="1:6" x14ac:dyDescent="0.3">
      <c r="A1381" s="2">
        <v>44050</v>
      </c>
      <c r="B1381" s="1">
        <v>-3.547441842368726</v>
      </c>
      <c r="C1381" s="1">
        <f>IRS_returns_2015_25[[#This Row],[IRSrtn]]-AVERAGE($B$2:$B$2600)</f>
        <v>-3.5532183364353416</v>
      </c>
      <c r="D1381" s="1">
        <f>w+a*C1380^2+b*D1380</f>
        <v>19.587091812838661</v>
      </c>
      <c r="E1381" s="1">
        <f t="shared" si="21"/>
        <v>-2.7286616940956785</v>
      </c>
      <c r="F1381" s="7">
        <f>SQRT(IRS_returns_2015_25[[#This Row],[  σ2]])</f>
        <v>4.4257306529926401</v>
      </c>
    </row>
    <row r="1382" spans="1:6" x14ac:dyDescent="0.3">
      <c r="A1382" s="2">
        <v>44054</v>
      </c>
      <c r="B1382" s="1">
        <v>-1.680710239010974</v>
      </c>
      <c r="C1382" s="1">
        <f>IRS_returns_2015_25[[#This Row],[IRSrtn]]-AVERAGE($B$2:$B$2600)</f>
        <v>-1.6864867330775899</v>
      </c>
      <c r="D1382" s="1">
        <f>w+a*C1381^2+b*D1381</f>
        <v>17.460885017551043</v>
      </c>
      <c r="E1382" s="1">
        <f t="shared" si="21"/>
        <v>-2.4303661238095793</v>
      </c>
      <c r="F1382" s="7">
        <f>SQRT(IRS_returns_2015_25[[#This Row],[  σ2]])</f>
        <v>4.1786223827418336</v>
      </c>
    </row>
    <row r="1383" spans="1:6" x14ac:dyDescent="0.3">
      <c r="A1383" s="2">
        <v>44055</v>
      </c>
      <c r="B1383" s="1">
        <v>0.84389000969047334</v>
      </c>
      <c r="C1383" s="1">
        <f>IRS_returns_2015_25[[#This Row],[IRSrtn]]-AVERAGE($B$2:$B$2600)</f>
        <v>0.8381135156238575</v>
      </c>
      <c r="D1383" s="1">
        <f>w+a*C1382^2+b*D1382</f>
        <v>13.662265249777551</v>
      </c>
      <c r="E1383" s="1">
        <f t="shared" si="21"/>
        <v>-2.2519644625113195</v>
      </c>
      <c r="F1383" s="7">
        <f>SQRT(IRS_returns_2015_25[[#This Row],[  σ2]])</f>
        <v>3.6962501606056848</v>
      </c>
    </row>
    <row r="1384" spans="1:6" x14ac:dyDescent="0.3">
      <c r="A1384" s="2">
        <v>44056</v>
      </c>
      <c r="B1384" s="1">
        <v>-3.129707039373586</v>
      </c>
      <c r="C1384" s="1">
        <f>IRS_returns_2015_25[[#This Row],[IRSrtn]]-AVERAGE($B$2:$B$2600)</f>
        <v>-3.1354835334402016</v>
      </c>
      <c r="D1384" s="1">
        <f>w+a*C1383^2+b*D1383</f>
        <v>10.611610719704306</v>
      </c>
      <c r="E1384" s="1">
        <f t="shared" si="21"/>
        <v>-2.5631440460345796</v>
      </c>
      <c r="F1384" s="7">
        <f>SQRT(IRS_returns_2015_25[[#This Row],[  σ2]])</f>
        <v>3.2575467333108676</v>
      </c>
    </row>
    <row r="1385" spans="1:6" x14ac:dyDescent="0.3">
      <c r="A1385" s="2">
        <v>44057</v>
      </c>
      <c r="B1385" s="1">
        <v>0.86331795936540612</v>
      </c>
      <c r="C1385" s="1">
        <f>IRS_returns_2015_25[[#This Row],[IRSrtn]]-AVERAGE($B$2:$B$2600)</f>
        <v>0.85754146529879027</v>
      </c>
      <c r="D1385" s="1">
        <f>w+a*C1384^2+b*D1384</f>
        <v>10.804974557985673</v>
      </c>
      <c r="E1385" s="1">
        <f t="shared" si="21"/>
        <v>-2.1429714249552374</v>
      </c>
      <c r="F1385" s="7">
        <f>SQRT(IRS_returns_2015_25[[#This Row],[  σ2]])</f>
        <v>3.287092112792958</v>
      </c>
    </row>
    <row r="1386" spans="1:6" x14ac:dyDescent="0.3">
      <c r="A1386" s="2">
        <v>44060</v>
      </c>
      <c r="B1386" s="1">
        <v>3.6572320191831098</v>
      </c>
      <c r="C1386" s="1">
        <f>IRS_returns_2015_25[[#This Row],[IRSrtn]]-AVERAGE($B$2:$B$2600)</f>
        <v>3.6514555251164942</v>
      </c>
      <c r="D1386" s="1">
        <f>w+a*C1385^2+b*D1385</f>
        <v>8.7174911299639497</v>
      </c>
      <c r="E1386" s="1">
        <f t="shared" si="21"/>
        <v>-2.7663384880818995</v>
      </c>
      <c r="F1386" s="7">
        <f>SQRT(IRS_returns_2015_25[[#This Row],[  σ2]])</f>
        <v>2.9525397761865886</v>
      </c>
    </row>
    <row r="1387" spans="1:6" x14ac:dyDescent="0.3">
      <c r="A1387" s="2">
        <v>44061</v>
      </c>
      <c r="B1387" s="1">
        <v>-3.3711265148117064</v>
      </c>
      <c r="C1387" s="1">
        <f>IRS_returns_2015_25[[#This Row],[IRSrtn]]-AVERAGE($B$2:$B$2600)</f>
        <v>-3.3769030088783221</v>
      </c>
      <c r="D1387" s="1">
        <f>w+a*C1386^2+b*D1386</f>
        <v>10.397257418673217</v>
      </c>
      <c r="E1387" s="1">
        <f t="shared" si="21"/>
        <v>-2.6380981184310617</v>
      </c>
      <c r="F1387" s="7">
        <f>SQRT(IRS_returns_2015_25[[#This Row],[  σ2]])</f>
        <v>3.2244778520984165</v>
      </c>
    </row>
    <row r="1388" spans="1:6" x14ac:dyDescent="0.3">
      <c r="A1388" s="2">
        <v>44062</v>
      </c>
      <c r="B1388" s="1">
        <v>-0.28610550437140336</v>
      </c>
      <c r="C1388" s="1">
        <f>IRS_returns_2015_25[[#This Row],[IRSrtn]]-AVERAGE($B$2:$B$2600)</f>
        <v>-0.29188199843801915</v>
      </c>
      <c r="D1388" s="1">
        <f>w+a*C1387^2+b*D1387</f>
        <v>11.045346277496503</v>
      </c>
      <c r="E1388" s="1">
        <f t="shared" si="21"/>
        <v>-2.1237997333142649</v>
      </c>
      <c r="F1388" s="7">
        <f>SQRT(IRS_returns_2015_25[[#This Row],[  σ2]])</f>
        <v>3.3234539680122701</v>
      </c>
    </row>
    <row r="1389" spans="1:6" x14ac:dyDescent="0.3">
      <c r="A1389" s="2">
        <v>44063</v>
      </c>
      <c r="B1389" s="1">
        <v>0.28610550437140336</v>
      </c>
      <c r="C1389" s="1">
        <f>IRS_returns_2015_25[[#This Row],[IRSrtn]]-AVERAGE($B$2:$B$2600)</f>
        <v>0.28032901030478757</v>
      </c>
      <c r="D1389" s="1">
        <f>w+a*C1388^2+b*D1388</f>
        <v>8.7190938428573332</v>
      </c>
      <c r="E1389" s="1">
        <f t="shared" si="21"/>
        <v>-2.0062026428128852</v>
      </c>
      <c r="F1389" s="7">
        <f>SQRT(IRS_returns_2015_25[[#This Row],[  σ2]])</f>
        <v>2.9528111762957909</v>
      </c>
    </row>
    <row r="1390" spans="1:6" x14ac:dyDescent="0.3">
      <c r="A1390" s="2">
        <v>44064</v>
      </c>
      <c r="B1390" s="1">
        <v>-2.0202513360589869</v>
      </c>
      <c r="C1390" s="1">
        <f>IRS_returns_2015_25[[#This Row],[IRSrtn]]-AVERAGE($B$2:$B$2600)</f>
        <v>-2.0260278301256025</v>
      </c>
      <c r="D1390" s="1">
        <f>w+a*C1389^2+b*D1389</f>
        <v>7.1688580107331239</v>
      </c>
      <c r="E1390" s="1">
        <f t="shared" si="21"/>
        <v>-2.1901047897610693</v>
      </c>
      <c r="F1390" s="7">
        <f>SQRT(IRS_returns_2015_25[[#This Row],[  σ2]])</f>
        <v>2.677472317454118</v>
      </c>
    </row>
    <row r="1391" spans="1:6" x14ac:dyDescent="0.3">
      <c r="A1391" s="2">
        <v>44067</v>
      </c>
      <c r="B1391" s="1">
        <v>4.2802380374102222</v>
      </c>
      <c r="C1391" s="1">
        <f>IRS_returns_2015_25[[#This Row],[IRSrtn]]-AVERAGE($B$2:$B$2600)</f>
        <v>4.2744615433436062</v>
      </c>
      <c r="D1391" s="1">
        <f>w+a*C1390^2+b*D1390</f>
        <v>7.1178238822145374</v>
      </c>
      <c r="E1391" s="1">
        <f t="shared" si="21"/>
        <v>-3.183709179433059</v>
      </c>
      <c r="F1391" s="7">
        <f>SQRT(IRS_returns_2015_25[[#This Row],[  σ2]])</f>
        <v>2.6679250143537652</v>
      </c>
    </row>
    <row r="1392" spans="1:6" x14ac:dyDescent="0.3">
      <c r="A1392" s="2">
        <v>44068</v>
      </c>
      <c r="B1392" s="1">
        <v>2.7550108395597128</v>
      </c>
      <c r="C1392" s="1">
        <f>IRS_returns_2015_25[[#This Row],[IRSrtn]]-AVERAGE($B$2:$B$2600)</f>
        <v>2.7492343454930972</v>
      </c>
      <c r="D1392" s="1">
        <f>w+a*C1391^2+b*D1391</f>
        <v>10.535448935499167</v>
      </c>
      <c r="E1392" s="1">
        <f t="shared" si="21"/>
        <v>-2.455018881668781</v>
      </c>
      <c r="F1392" s="7">
        <f>SQRT(IRS_returns_2015_25[[#This Row],[  σ2]])</f>
        <v>3.2458356297722726</v>
      </c>
    </row>
    <row r="1393" spans="1:6" x14ac:dyDescent="0.3">
      <c r="A1393" s="2">
        <v>44069</v>
      </c>
      <c r="B1393" s="1">
        <v>-3.878603974964645</v>
      </c>
      <c r="C1393" s="1">
        <f>IRS_returns_2015_25[[#This Row],[IRSrtn]]-AVERAGE($B$2:$B$2600)</f>
        <v>-3.8843804690312607</v>
      </c>
      <c r="D1393" s="1">
        <f>w+a*C1392^2+b*D1392</f>
        <v>10.200464379074251</v>
      </c>
      <c r="E1393" s="1">
        <f t="shared" si="21"/>
        <v>-2.819749505723153</v>
      </c>
      <c r="F1393" s="7">
        <f>SQRT(IRS_returns_2015_25[[#This Row],[  σ2]])</f>
        <v>3.1938165850709477</v>
      </c>
    </row>
    <row r="1394" spans="1:6" x14ac:dyDescent="0.3">
      <c r="A1394" s="2">
        <v>44070</v>
      </c>
      <c r="B1394" s="1">
        <v>-1.9972262846050803</v>
      </c>
      <c r="C1394" s="1">
        <f>IRS_returns_2015_25[[#This Row],[IRSrtn]]-AVERAGE($B$2:$B$2600)</f>
        <v>-2.003002778671696</v>
      </c>
      <c r="D1394" s="1">
        <f>w+a*C1393^2+b*D1393</f>
        <v>11.812172079661845</v>
      </c>
      <c r="E1394" s="1">
        <f t="shared" si="21"/>
        <v>-2.3233294715748367</v>
      </c>
      <c r="F1394" s="7">
        <f>SQRT(IRS_returns_2015_25[[#This Row],[  σ2]])</f>
        <v>3.4368840654962227</v>
      </c>
    </row>
    <row r="1395" spans="1:6" x14ac:dyDescent="0.3">
      <c r="A1395" s="2">
        <v>44071</v>
      </c>
      <c r="B1395" s="1">
        <v>4.507812145663781</v>
      </c>
      <c r="C1395" s="1">
        <f>IRS_returns_2015_25[[#This Row],[IRSrtn]]-AVERAGE($B$2:$B$2600)</f>
        <v>4.5020356515971649</v>
      </c>
      <c r="D1395" s="1">
        <f>w+a*C1394^2+b*D1394</f>
        <v>10.186352606137685</v>
      </c>
      <c r="E1395" s="1">
        <f t="shared" si="21"/>
        <v>-3.0743394236575994</v>
      </c>
      <c r="F1395" s="7">
        <f>SQRT(IRS_returns_2015_25[[#This Row],[  σ2]])</f>
        <v>3.1916065869930907</v>
      </c>
    </row>
    <row r="1396" spans="1:6" x14ac:dyDescent="0.3">
      <c r="A1396" s="2">
        <v>44074</v>
      </c>
      <c r="B1396" s="1">
        <v>-8.9267852717399343</v>
      </c>
      <c r="C1396" s="1">
        <f>IRS_returns_2015_25[[#This Row],[IRSrtn]]-AVERAGE($B$2:$B$2600)</f>
        <v>-8.9325617658065504</v>
      </c>
      <c r="D1396" s="1">
        <f>w+a*C1395^2+b*D1395</f>
        <v>13.064862333765262</v>
      </c>
      <c r="E1396" s="1">
        <f t="shared" si="21"/>
        <v>-5.2575373997611177</v>
      </c>
      <c r="F1396" s="7">
        <f>SQRT(IRS_returns_2015_25[[#This Row],[  σ2]])</f>
        <v>3.6145348710124878</v>
      </c>
    </row>
    <row r="1397" spans="1:6" x14ac:dyDescent="0.3">
      <c r="A1397" s="2">
        <v>44075</v>
      </c>
      <c r="B1397" s="1">
        <v>5.565135276220512</v>
      </c>
      <c r="C1397" s="1">
        <f>IRS_returns_2015_25[[#This Row],[IRSrtn]]-AVERAGE($B$2:$B$2600)</f>
        <v>5.5593587821538959</v>
      </c>
      <c r="D1397" s="1">
        <f>w+a*C1396^2+b*D1396</f>
        <v>29.483737452061593</v>
      </c>
      <c r="E1397" s="1">
        <f t="shared" si="21"/>
        <v>-3.1349853654018345</v>
      </c>
      <c r="F1397" s="7">
        <f>SQRT(IRS_returns_2015_25[[#This Row],[  σ2]])</f>
        <v>5.4298929503316726</v>
      </c>
    </row>
    <row r="1398" spans="1:6" x14ac:dyDescent="0.3">
      <c r="A1398" s="2">
        <v>44076</v>
      </c>
      <c r="B1398" s="1">
        <v>-0.28532943148558143</v>
      </c>
      <c r="C1398" s="1">
        <f>IRS_returns_2015_25[[#This Row],[IRSrtn]]-AVERAGE($B$2:$B$2600)</f>
        <v>-0.29110592555219722</v>
      </c>
      <c r="D1398" s="1">
        <f>w+a*C1397^2+b*D1397</f>
        <v>28.503435533045909</v>
      </c>
      <c r="E1398" s="1">
        <f t="shared" si="21"/>
        <v>-2.5954373798562145</v>
      </c>
      <c r="F1398" s="7">
        <f>SQRT(IRS_returns_2015_25[[#This Row],[  σ2]])</f>
        <v>5.3388608834699847</v>
      </c>
    </row>
    <row r="1399" spans="1:6" x14ac:dyDescent="0.3">
      <c r="A1399" s="2">
        <v>44077</v>
      </c>
      <c r="B1399" s="1">
        <v>-4.3802461575516594</v>
      </c>
      <c r="C1399" s="1">
        <f>IRS_returns_2015_25[[#This Row],[IRSrtn]]-AVERAGE($B$2:$B$2600)</f>
        <v>-4.3860226516182754</v>
      </c>
      <c r="D1399" s="1">
        <f>w+a*C1398^2+b*D1398</f>
        <v>20.341125405789164</v>
      </c>
      <c r="E1399" s="1">
        <f t="shared" si="21"/>
        <v>-2.8981254543293882</v>
      </c>
      <c r="F1399" s="7">
        <f>SQRT(IRS_returns_2015_25[[#This Row],[  σ2]])</f>
        <v>4.5101136799186294</v>
      </c>
    </row>
    <row r="1400" spans="1:6" x14ac:dyDescent="0.3">
      <c r="A1400" s="2">
        <v>44078</v>
      </c>
      <c r="B1400" s="1">
        <v>0.29804435640063964</v>
      </c>
      <c r="C1400" s="1">
        <f>IRS_returns_2015_25[[#This Row],[IRSrtn]]-AVERAGE($B$2:$B$2600)</f>
        <v>0.29226786233402385</v>
      </c>
      <c r="D1400" s="1">
        <f>w+a*C1399^2+b*D1399</f>
        <v>19.573829645458581</v>
      </c>
      <c r="E1400" s="1">
        <f t="shared" si="21"/>
        <v>-2.4082172670746407</v>
      </c>
      <c r="F1400" s="7">
        <f>SQRT(IRS_returns_2015_25[[#This Row],[  σ2]])</f>
        <v>4.4242320966986552</v>
      </c>
    </row>
    <row r="1401" spans="1:6" x14ac:dyDescent="0.3">
      <c r="A1401" s="2">
        <v>44082</v>
      </c>
      <c r="B1401" s="1">
        <v>-1.8018406351281158</v>
      </c>
      <c r="C1401" s="1">
        <f>IRS_returns_2015_25[[#This Row],[IRSrtn]]-AVERAGE($B$2:$B$2600)</f>
        <v>-1.8076171291947316</v>
      </c>
      <c r="D1401" s="1">
        <f>w+a*C1400^2+b*D1400</f>
        <v>14.396702679436334</v>
      </c>
      <c r="E1401" s="1">
        <f t="shared" si="21"/>
        <v>-2.3659182735938233</v>
      </c>
      <c r="F1401" s="7">
        <f>SQRT(IRS_returns_2015_25[[#This Row],[  σ2]])</f>
        <v>3.7942987071969352</v>
      </c>
    </row>
    <row r="1402" spans="1:6" x14ac:dyDescent="0.3">
      <c r="A1402" s="2">
        <v>44083</v>
      </c>
      <c r="B1402" s="1">
        <v>-3.3901536947623212</v>
      </c>
      <c r="C1402" s="1">
        <f>IRS_returns_2015_25[[#This Row],[IRSrtn]]-AVERAGE($B$2:$B$2600)</f>
        <v>-3.3959301888289368</v>
      </c>
      <c r="D1402" s="1">
        <f>w+a*C1401^2+b*D1401</f>
        <v>11.725510715104388</v>
      </c>
      <c r="E1402" s="1">
        <f t="shared" si="21"/>
        <v>-2.6415848492160481</v>
      </c>
      <c r="F1402" s="7">
        <f>SQRT(IRS_returns_2015_25[[#This Row],[  σ2]])</f>
        <v>3.4242533076722563</v>
      </c>
    </row>
    <row r="1403" spans="1:6" x14ac:dyDescent="0.3">
      <c r="A1403" s="2">
        <v>44084</v>
      </c>
      <c r="B1403" s="1">
        <v>-1.2618393264535399</v>
      </c>
      <c r="C1403" s="1">
        <f>IRS_returns_2015_25[[#This Row],[IRSrtn]]-AVERAGE($B$2:$B$2600)</f>
        <v>-1.2676158205201558</v>
      </c>
      <c r="D1403" s="1">
        <f>w+a*C1402^2+b*D1402</f>
        <v>11.960985334396987</v>
      </c>
      <c r="E1403" s="1">
        <f t="shared" si="21"/>
        <v>-2.2269340626292196</v>
      </c>
      <c r="F1403" s="7">
        <f>SQRT(IRS_returns_2015_25[[#This Row],[  σ2]])</f>
        <v>3.458465748622789</v>
      </c>
    </row>
    <row r="1404" spans="1:6" x14ac:dyDescent="0.3">
      <c r="A1404" s="2">
        <v>44085</v>
      </c>
      <c r="B1404" s="1">
        <v>-2.8987463175212835</v>
      </c>
      <c r="C1404" s="1">
        <f>IRS_returns_2015_25[[#This Row],[IRSrtn]]-AVERAGE($B$2:$B$2600)</f>
        <v>-2.9045228115878992</v>
      </c>
      <c r="D1404" s="1">
        <f>w+a*C1403^2+b*D1403</f>
        <v>9.6994008986083493</v>
      </c>
      <c r="E1404" s="1">
        <f t="shared" si="21"/>
        <v>-2.4898558431684901</v>
      </c>
      <c r="F1404" s="7">
        <f>SQRT(IRS_returns_2015_25[[#This Row],[  σ2]])</f>
        <v>3.1143861190623667</v>
      </c>
    </row>
    <row r="1405" spans="1:6" x14ac:dyDescent="0.3">
      <c r="A1405" s="2">
        <v>44088</v>
      </c>
      <c r="B1405" s="1">
        <v>-0.32735838922132166</v>
      </c>
      <c r="C1405" s="1">
        <f>IRS_returns_2015_25[[#This Row],[IRSrtn]]-AVERAGE($B$2:$B$2600)</f>
        <v>-0.33313488328793744</v>
      </c>
      <c r="D1405" s="1">
        <f>w+a*C1404^2+b*D1404</f>
        <v>9.8578087770894278</v>
      </c>
      <c r="E1405" s="1">
        <f t="shared" si="21"/>
        <v>-2.0686994700850851</v>
      </c>
      <c r="F1405" s="7">
        <f>SQRT(IRS_returns_2015_25[[#This Row],[  σ2]])</f>
        <v>3.1397147604662159</v>
      </c>
    </row>
    <row r="1406" spans="1:6" x14ac:dyDescent="0.3">
      <c r="A1406" s="2">
        <v>44089</v>
      </c>
      <c r="B1406" s="1">
        <v>-0.32838718062609962</v>
      </c>
      <c r="C1406" s="1">
        <f>IRS_returns_2015_25[[#This Row],[IRSrtn]]-AVERAGE($B$2:$B$2600)</f>
        <v>-0.33416367469271541</v>
      </c>
      <c r="D1406" s="1">
        <f>w+a*C1405^2+b*D1405</f>
        <v>7.9348124857296618</v>
      </c>
      <c r="E1406" s="1">
        <f t="shared" si="21"/>
        <v>-1.96160481535182</v>
      </c>
      <c r="F1406" s="7">
        <f>SQRT(IRS_returns_2015_25[[#This Row],[  σ2]])</f>
        <v>2.8168799203604085</v>
      </c>
    </row>
    <row r="1407" spans="1:6" x14ac:dyDescent="0.3">
      <c r="A1407" s="2">
        <v>44090</v>
      </c>
      <c r="B1407" s="1">
        <v>-1.3245433225769987</v>
      </c>
      <c r="C1407" s="1">
        <f>IRS_returns_2015_25[[#This Row],[IRSrtn]]-AVERAGE($B$2:$B$2600)</f>
        <v>-1.3303198166436145</v>
      </c>
      <c r="D1407" s="1">
        <f>w+a*C1406^2+b*D1406</f>
        <v>6.6548089831645472</v>
      </c>
      <c r="E1407" s="1">
        <f t="shared" si="21"/>
        <v>-1.9995762221755562</v>
      </c>
      <c r="F1407" s="7">
        <f>SQRT(IRS_returns_2015_25[[#This Row],[  σ2]])</f>
        <v>2.5796916449770788</v>
      </c>
    </row>
    <row r="1408" spans="1:6" x14ac:dyDescent="0.3">
      <c r="A1408" s="2">
        <v>44091</v>
      </c>
      <c r="B1408" s="1">
        <v>-1.0050375717450599</v>
      </c>
      <c r="C1408" s="1">
        <f>IRS_returns_2015_25[[#This Row],[IRSrtn]]-AVERAGE($B$2:$B$2600)</f>
        <v>-1.0108140658116758</v>
      </c>
      <c r="D1408" s="1">
        <f>w+a*C1407^2+b*D1407</f>
        <v>6.2066813956048366</v>
      </c>
      <c r="E1408" s="1">
        <f t="shared" si="21"/>
        <v>-1.9140618067405251</v>
      </c>
      <c r="F1408" s="7">
        <f>SQRT(IRS_returns_2015_25[[#This Row],[  σ2]])</f>
        <v>2.4913212148586612</v>
      </c>
    </row>
    <row r="1409" spans="1:6" x14ac:dyDescent="0.3">
      <c r="A1409" s="2">
        <v>44092</v>
      </c>
      <c r="B1409" s="1">
        <v>-2.040876008260506</v>
      </c>
      <c r="C1409" s="1">
        <f>IRS_returns_2015_25[[#This Row],[IRSrtn]]-AVERAGE($B$2:$B$2600)</f>
        <v>-2.0466525023271216</v>
      </c>
      <c r="D1409" s="1">
        <f>w+a*C1408^2+b*D1408</f>
        <v>5.7261039455548417</v>
      </c>
      <c r="E1409" s="1">
        <f t="shared" si="21"/>
        <v>-2.1572185625950731</v>
      </c>
      <c r="F1409" s="7">
        <f>SQRT(IRS_returns_2015_25[[#This Row],[  σ2]])</f>
        <v>2.3929279022893359</v>
      </c>
    </row>
    <row r="1410" spans="1:6" x14ac:dyDescent="0.3">
      <c r="A1410" s="2">
        <v>44095</v>
      </c>
      <c r="B1410" s="1">
        <v>-1.3840974455003319</v>
      </c>
      <c r="C1410" s="1">
        <f>IRS_returns_2015_25[[#This Row],[IRSrtn]]-AVERAGE($B$2:$B$2600)</f>
        <v>-1.3898739395669477</v>
      </c>
      <c r="D1410" s="1">
        <f>w+a*C1409^2+b*D1409</f>
        <v>6.1778244072207595</v>
      </c>
      <c r="E1410" s="1">
        <f t="shared" ref="E1410:E1473" si="22">-0.5*(LN(2*PI())+LN(D1410)+C1410^2/D1410)</f>
        <v>-1.9857670767202302</v>
      </c>
      <c r="F1410" s="7">
        <f>SQRT(IRS_returns_2015_25[[#This Row],[  σ2]])</f>
        <v>2.4855229645329691</v>
      </c>
    </row>
    <row r="1411" spans="1:6" x14ac:dyDescent="0.3">
      <c r="A1411" s="2">
        <v>44096</v>
      </c>
      <c r="B1411" s="1">
        <v>-2.4692774655466931</v>
      </c>
      <c r="C1411" s="1">
        <f>IRS_returns_2015_25[[#This Row],[IRSrtn]]-AVERAGE($B$2:$B$2600)</f>
        <v>-2.4750539596133088</v>
      </c>
      <c r="D1411" s="1">
        <f>w+a*C1410^2+b*D1410</f>
        <v>5.9286157501891594</v>
      </c>
      <c r="E1411" s="1">
        <f t="shared" si="22"/>
        <v>-2.3254715505618853</v>
      </c>
      <c r="F1411" s="7">
        <f>SQRT(IRS_returns_2015_25[[#This Row],[  σ2]])</f>
        <v>2.4348748941555827</v>
      </c>
    </row>
    <row r="1412" spans="1:6" x14ac:dyDescent="0.3">
      <c r="A1412" s="2">
        <v>44097</v>
      </c>
      <c r="B1412" s="1">
        <v>-6.263554113296399</v>
      </c>
      <c r="C1412" s="1">
        <f>IRS_returns_2015_25[[#This Row],[IRSrtn]]-AVERAGE($B$2:$B$2600)</f>
        <v>-6.2693306073630151</v>
      </c>
      <c r="D1412" s="1">
        <f>w+a*C1411^2+b*D1411</f>
        <v>6.7846152408867244</v>
      </c>
      <c r="E1412" s="1">
        <f t="shared" si="22"/>
        <v>-4.7728579844687751</v>
      </c>
      <c r="F1412" s="7">
        <f>SQRT(IRS_returns_2015_25[[#This Row],[  σ2]])</f>
        <v>2.6047293987834368</v>
      </c>
    </row>
    <row r="1413" spans="1:6" x14ac:dyDescent="0.3">
      <c r="A1413" s="2">
        <v>44098</v>
      </c>
      <c r="B1413" s="1">
        <v>11.482159121475998</v>
      </c>
      <c r="C1413" s="1">
        <f>IRS_returns_2015_25[[#This Row],[IRSrtn]]-AVERAGE($B$2:$B$2600)</f>
        <v>11.476382627409382</v>
      </c>
      <c r="D1413" s="1">
        <f>w+a*C1412^2+b*D1412</f>
        <v>15.438430076349004</v>
      </c>
      <c r="E1413" s="1">
        <f t="shared" si="22"/>
        <v>-6.552936839200834</v>
      </c>
      <c r="F1413" s="7">
        <f>SQRT(IRS_returns_2015_25[[#This Row],[  σ2]])</f>
        <v>3.9291767682746221</v>
      </c>
    </row>
    <row r="1414" spans="1:6" x14ac:dyDescent="0.3">
      <c r="A1414" s="2">
        <v>44099</v>
      </c>
      <c r="B1414" s="1">
        <v>2.675739082578521</v>
      </c>
      <c r="C1414" s="1">
        <f>IRS_returns_2015_25[[#This Row],[IRSrtn]]-AVERAGE($B$2:$B$2600)</f>
        <v>2.6699625885119054</v>
      </c>
      <c r="D1414" s="1">
        <f>w+a*C1413^2+b*D1413</f>
        <v>43.713352754964887</v>
      </c>
      <c r="E1414" s="1">
        <f t="shared" si="22"/>
        <v>-2.8893044995249717</v>
      </c>
      <c r="F1414" s="7">
        <f>SQRT(IRS_returns_2015_25[[#This Row],[  σ2]])</f>
        <v>6.6116074259566329</v>
      </c>
    </row>
    <row r="1415" spans="1:6" x14ac:dyDescent="0.3">
      <c r="A1415" s="2">
        <v>44102</v>
      </c>
      <c r="B1415" s="1">
        <v>-5.7741248745718394</v>
      </c>
      <c r="C1415" s="1">
        <f>IRS_returns_2015_25[[#This Row],[IRSrtn]]-AVERAGE($B$2:$B$2600)</f>
        <v>-5.7799013686384555</v>
      </c>
      <c r="D1415" s="1">
        <f>w+a*C1414^2+b*D1414</f>
        <v>32.182880140281775</v>
      </c>
      <c r="E1415" s="1">
        <f t="shared" si="22"/>
        <v>-3.1736780730511356</v>
      </c>
      <c r="F1415" s="7">
        <f>SQRT(IRS_returns_2015_25[[#This Row],[  σ2]])</f>
        <v>5.6729956936597246</v>
      </c>
    </row>
    <row r="1416" spans="1:6" x14ac:dyDescent="0.3">
      <c r="A1416" s="2">
        <v>44103</v>
      </c>
      <c r="B1416" s="1">
        <v>-1.7636944707469238</v>
      </c>
      <c r="C1416" s="1">
        <f>IRS_returns_2015_25[[#This Row],[IRSrtn]]-AVERAGE($B$2:$B$2600)</f>
        <v>-1.7694709648135396</v>
      </c>
      <c r="D1416" s="1">
        <f>w+a*C1415^2+b*D1415</f>
        <v>30.909616779560402</v>
      </c>
      <c r="E1416" s="1">
        <f t="shared" si="22"/>
        <v>-2.6851203247559288</v>
      </c>
      <c r="F1416" s="7">
        <f>SQRT(IRS_returns_2015_25[[#This Row],[  σ2]])</f>
        <v>5.5596417851836826</v>
      </c>
    </row>
    <row r="1417" spans="1:6" x14ac:dyDescent="0.3">
      <c r="A1417" s="2">
        <v>44104</v>
      </c>
      <c r="B1417" s="1">
        <v>0.35523816829612365</v>
      </c>
      <c r="C1417" s="1">
        <f>IRS_returns_2015_25[[#This Row],[IRSrtn]]-AVERAGE($B$2:$B$2600)</f>
        <v>0.34946167422950786</v>
      </c>
      <c r="D1417" s="1">
        <f>w+a*C1416^2+b*D1416</f>
        <v>22.6851870725799</v>
      </c>
      <c r="E1417" s="1">
        <f t="shared" si="22"/>
        <v>-2.4824863135774282</v>
      </c>
      <c r="F1417" s="7">
        <f>SQRT(IRS_returns_2015_25[[#This Row],[  σ2]])</f>
        <v>4.7628969202135689</v>
      </c>
    </row>
    <row r="1418" spans="1:6" x14ac:dyDescent="0.3">
      <c r="A1418" s="2">
        <v>44105</v>
      </c>
      <c r="B1418" s="1">
        <v>5.8536467014264399</v>
      </c>
      <c r="C1418" s="1">
        <f>IRS_returns_2015_25[[#This Row],[IRSrtn]]-AVERAGE($B$2:$B$2600)</f>
        <v>5.8478702073598239</v>
      </c>
      <c r="D1418" s="1">
        <f>w+a*C1417^2+b*D1417</f>
        <v>16.476927987120177</v>
      </c>
      <c r="E1418" s="1">
        <f t="shared" si="22"/>
        <v>-3.3576606441641861</v>
      </c>
      <c r="F1418" s="7">
        <f>SQRT(IRS_returns_2015_25[[#This Row],[  σ2]])</f>
        <v>4.0591782403733117</v>
      </c>
    </row>
    <row r="1419" spans="1:6" x14ac:dyDescent="0.3">
      <c r="A1419" s="2">
        <v>44106</v>
      </c>
      <c r="B1419" s="1">
        <v>-3.0562574986749635</v>
      </c>
      <c r="C1419" s="1">
        <f>IRS_returns_2015_25[[#This Row],[IRSrtn]]-AVERAGE($B$2:$B$2600)</f>
        <v>-3.0620339927415792</v>
      </c>
      <c r="D1419" s="1">
        <f>w+a*C1418^2+b*D1418</f>
        <v>20.646464711588198</v>
      </c>
      <c r="E1419" s="1">
        <f t="shared" si="22"/>
        <v>-2.6597725135000507</v>
      </c>
      <c r="F1419" s="7">
        <f>SQRT(IRS_returns_2015_25[[#This Row],[  σ2]])</f>
        <v>4.5438381035846991</v>
      </c>
    </row>
    <row r="1420" spans="1:6" x14ac:dyDescent="0.3">
      <c r="A1420" s="2">
        <v>44109</v>
      </c>
      <c r="B1420" s="1">
        <v>2.3850988028205733</v>
      </c>
      <c r="C1420" s="1">
        <f>IRS_returns_2015_25[[#This Row],[IRSrtn]]-AVERAGE($B$2:$B$2600)</f>
        <v>2.3793223087539577</v>
      </c>
      <c r="D1420" s="1">
        <f>w+a*C1419^2+b*D1419</f>
        <v>17.374434028043495</v>
      </c>
      <c r="E1420" s="1">
        <f t="shared" si="22"/>
        <v>-2.5093552492307687</v>
      </c>
      <c r="F1420" s="7">
        <f>SQRT(IRS_returns_2015_25[[#This Row],[  σ2]])</f>
        <v>4.1682651100959855</v>
      </c>
    </row>
    <row r="1421" spans="1:6" x14ac:dyDescent="0.3">
      <c r="A1421" s="2">
        <v>44110</v>
      </c>
      <c r="B1421" s="1">
        <v>-0.67564591112793115</v>
      </c>
      <c r="C1421" s="1">
        <f>IRS_returns_2015_25[[#This Row],[IRSrtn]]-AVERAGE($B$2:$B$2600)</f>
        <v>-0.681422405194547</v>
      </c>
      <c r="D1421" s="1">
        <f>w+a*C1420^2+b*D1420</f>
        <v>14.291059465896677</v>
      </c>
      <c r="E1421" s="1">
        <f t="shared" si="22"/>
        <v>-2.2650012967542001</v>
      </c>
      <c r="F1421" s="7">
        <f>SQRT(IRS_returns_2015_25[[#This Row],[  σ2]])</f>
        <v>3.7803517648357379</v>
      </c>
    </row>
    <row r="1422" spans="1:6" x14ac:dyDescent="0.3">
      <c r="A1422" s="2">
        <v>44111</v>
      </c>
      <c r="B1422" s="1">
        <v>3.3336139860760894</v>
      </c>
      <c r="C1422" s="1">
        <f>IRS_returns_2015_25[[#This Row],[IRSrtn]]-AVERAGE($B$2:$B$2600)</f>
        <v>3.3278374920094738</v>
      </c>
      <c r="D1422" s="1">
        <f>w+a*C1421^2+b*D1421</f>
        <v>10.972197071827424</v>
      </c>
      <c r="E1422" s="1">
        <f t="shared" si="22"/>
        <v>-2.6212828247526838</v>
      </c>
      <c r="F1422" s="7">
        <f>SQRT(IRS_returns_2015_25[[#This Row],[  σ2]])</f>
        <v>3.3124306893620314</v>
      </c>
    </row>
    <row r="1423" spans="1:6" x14ac:dyDescent="0.3">
      <c r="A1423" s="2">
        <v>44112</v>
      </c>
      <c r="B1423" s="1">
        <v>-0.32838718062609962</v>
      </c>
      <c r="C1423" s="1">
        <f>IRS_returns_2015_25[[#This Row],[IRSrtn]]-AVERAGE($B$2:$B$2600)</f>
        <v>-0.33416367469271541</v>
      </c>
      <c r="D1423" s="1">
        <f>w+a*C1422^2+b*D1422</f>
        <v>11.347939369685154</v>
      </c>
      <c r="E1423" s="1">
        <f t="shared" si="22"/>
        <v>-2.1383766924366276</v>
      </c>
      <c r="F1423" s="7">
        <f>SQRT(IRS_returns_2015_25[[#This Row],[  σ2]])</f>
        <v>3.3686702672842816</v>
      </c>
    </row>
    <row r="1424" spans="1:6" x14ac:dyDescent="0.3">
      <c r="A1424" s="2">
        <v>44113</v>
      </c>
      <c r="B1424" s="1">
        <v>2.5975522068113932</v>
      </c>
      <c r="C1424" s="1">
        <f>IRS_returns_2015_25[[#This Row],[IRSrtn]]-AVERAGE($B$2:$B$2600)</f>
        <v>2.5917757127447776</v>
      </c>
      <c r="D1424" s="1">
        <f>w+a*C1423^2+b*D1423</f>
        <v>8.9269845945062194</v>
      </c>
      <c r="E1424" s="1">
        <f t="shared" si="22"/>
        <v>-2.3897136084262489</v>
      </c>
      <c r="F1424" s="7">
        <f>SQRT(IRS_returns_2015_25[[#This Row],[  σ2]])</f>
        <v>2.9878059834109409</v>
      </c>
    </row>
    <row r="1425" spans="1:6" x14ac:dyDescent="0.3">
      <c r="A1425" s="2">
        <v>44116</v>
      </c>
      <c r="B1425" s="1">
        <v>-3.5892902348924949</v>
      </c>
      <c r="C1425" s="1">
        <f>IRS_returns_2015_25[[#This Row],[IRSrtn]]-AVERAGE($B$2:$B$2600)</f>
        <v>-3.5950667289591105</v>
      </c>
      <c r="D1425" s="1">
        <f>w+a*C1424^2+b*D1424</f>
        <v>8.9247762183493826</v>
      </c>
      <c r="E1425" s="1">
        <f t="shared" si="22"/>
        <v>-2.7374342081226359</v>
      </c>
      <c r="F1425" s="7">
        <f>SQRT(IRS_returns_2015_25[[#This Row],[  σ2]])</f>
        <v>2.9874363956993935</v>
      </c>
    </row>
    <row r="1426" spans="1:6" x14ac:dyDescent="0.3">
      <c r="A1426" s="2">
        <v>44117</v>
      </c>
      <c r="B1426" s="1">
        <v>0.99173802808110167</v>
      </c>
      <c r="C1426" s="1">
        <f>IRS_returns_2015_25[[#This Row],[IRSrtn]]-AVERAGE($B$2:$B$2600)</f>
        <v>0.98596153401448583</v>
      </c>
      <c r="D1426" s="1">
        <f>w+a*C1425^2+b*D1425</f>
        <v>10.435689748299485</v>
      </c>
      <c r="E1426" s="1">
        <f t="shared" si="22"/>
        <v>-2.1381310600409131</v>
      </c>
      <c r="F1426" s="7">
        <f>SQRT(IRS_returns_2015_25[[#This Row],[  σ2]])</f>
        <v>3.230431820716773</v>
      </c>
    </row>
    <row r="1427" spans="1:6" x14ac:dyDescent="0.3">
      <c r="A1427" s="2">
        <v>44118</v>
      </c>
      <c r="B1427" s="1">
        <v>1.6313575191431062</v>
      </c>
      <c r="C1427" s="1">
        <f>IRS_returns_2015_25[[#This Row],[IRSrtn]]-AVERAGE($B$2:$B$2600)</f>
        <v>1.6255810250764904</v>
      </c>
      <c r="D1427" s="1">
        <f>w+a*C1426^2+b*D1426</f>
        <v>8.5293343842305767</v>
      </c>
      <c r="E1427" s="1">
        <f t="shared" si="22"/>
        <v>-2.1456015753243904</v>
      </c>
      <c r="F1427" s="7">
        <f>SQRT(IRS_returns_2015_25[[#This Row],[  σ2]])</f>
        <v>2.9205024198296048</v>
      </c>
    </row>
    <row r="1428" spans="1:6" x14ac:dyDescent="0.3">
      <c r="A1428" s="2">
        <v>44119</v>
      </c>
      <c r="B1428" s="1">
        <v>0.96619468766828698</v>
      </c>
      <c r="C1428" s="1">
        <f>IRS_returns_2015_25[[#This Row],[IRSrtn]]-AVERAGE($B$2:$B$2600)</f>
        <v>0.96041819360167113</v>
      </c>
      <c r="D1428" s="1">
        <f>w+a*C1427^2+b*D1427</f>
        <v>7.6672327523249164</v>
      </c>
      <c r="E1428" s="1">
        <f t="shared" si="22"/>
        <v>-1.9975686969659745</v>
      </c>
      <c r="F1428" s="7">
        <f>SQRT(IRS_returns_2015_25[[#This Row],[  σ2]])</f>
        <v>2.7689768421431258</v>
      </c>
    </row>
    <row r="1429" spans="1:6" x14ac:dyDescent="0.3">
      <c r="A1429" s="2">
        <v>44120</v>
      </c>
      <c r="B1429" s="1">
        <v>0.3199984545014134</v>
      </c>
      <c r="C1429" s="1">
        <f>IRS_returns_2015_25[[#This Row],[IRSrtn]]-AVERAGE($B$2:$B$2600)</f>
        <v>0.31422196043479761</v>
      </c>
      <c r="D1429" s="1">
        <f>w+a*C1428^2+b*D1428</f>
        <v>6.674212746605912</v>
      </c>
      <c r="E1429" s="1">
        <f t="shared" si="22"/>
        <v>-1.8754609470996044</v>
      </c>
      <c r="F1429" s="7">
        <f>SQRT(IRS_returns_2015_25[[#This Row],[  σ2]])</f>
        <v>2.5834497762886572</v>
      </c>
    </row>
    <row r="1430" spans="1:6" x14ac:dyDescent="0.3">
      <c r="A1430" s="2">
        <v>44123</v>
      </c>
      <c r="B1430" s="1">
        <v>7.6842618877409059</v>
      </c>
      <c r="C1430" s="1">
        <f>IRS_returns_2015_25[[#This Row],[IRSrtn]]-AVERAGE($B$2:$B$2600)</f>
        <v>7.6784853936742898</v>
      </c>
      <c r="D1430" s="1">
        <f>w+a*C1429^2+b*D1429</f>
        <v>5.8124562957417165</v>
      </c>
      <c r="E1430" s="1">
        <f t="shared" si="22"/>
        <v>-6.87073209537163</v>
      </c>
      <c r="F1430" s="7">
        <f>SQRT(IRS_returns_2015_25[[#This Row],[  σ2]])</f>
        <v>2.4109036263902621</v>
      </c>
    </row>
    <row r="1431" spans="1:6" x14ac:dyDescent="0.3">
      <c r="A1431" s="2">
        <v>44124</v>
      </c>
      <c r="B1431" s="1">
        <v>0.8836532640438266</v>
      </c>
      <c r="C1431" s="1">
        <f>IRS_returns_2015_25[[#This Row],[IRSrtn]]-AVERAGE($B$2:$B$2600)</f>
        <v>0.87787676997721076</v>
      </c>
      <c r="D1431" s="1">
        <f>w+a*C1430^2+b*D1430</f>
        <v>19.580094081412614</v>
      </c>
      <c r="E1431" s="1">
        <f t="shared" si="22"/>
        <v>-2.4258751296269283</v>
      </c>
      <c r="F1431" s="7">
        <f>SQRT(IRS_returns_2015_25[[#This Row],[  σ2]])</f>
        <v>4.4249400087925048</v>
      </c>
    </row>
    <row r="1432" spans="1:6" x14ac:dyDescent="0.3">
      <c r="A1432" s="2">
        <v>44125</v>
      </c>
      <c r="B1432" s="1">
        <v>-7.9309739257288348</v>
      </c>
      <c r="C1432" s="1">
        <f>IRS_returns_2015_25[[#This Row],[IRSrtn]]-AVERAGE($B$2:$B$2600)</f>
        <v>-7.9367504197954508</v>
      </c>
      <c r="D1432" s="1">
        <f>w+a*C1431^2+b*D1431</f>
        <v>14.567833321454401</v>
      </c>
      <c r="E1432" s="1">
        <f t="shared" si="22"/>
        <v>-4.4203703700069052</v>
      </c>
      <c r="F1432" s="7">
        <f>SQRT(IRS_returns_2015_25[[#This Row],[  σ2]])</f>
        <v>3.8167831116601847</v>
      </c>
    </row>
    <row r="1433" spans="1:6" x14ac:dyDescent="0.3">
      <c r="A1433" s="2">
        <v>44126</v>
      </c>
      <c r="B1433" s="1">
        <v>-7.9249487899512694</v>
      </c>
      <c r="C1433" s="1">
        <f>IRS_returns_2015_25[[#This Row],[IRSrtn]]-AVERAGE($B$2:$B$2600)</f>
        <v>-7.9307252840178855</v>
      </c>
      <c r="D1433" s="1">
        <f>w+a*C1432^2+b*D1432</f>
        <v>26.391302567630014</v>
      </c>
      <c r="E1433" s="1">
        <f t="shared" si="22"/>
        <v>-3.7470681254142852</v>
      </c>
      <c r="F1433" s="7">
        <f>SQRT(IRS_returns_2015_25[[#This Row],[  σ2]])</f>
        <v>5.137246594006367</v>
      </c>
    </row>
    <row r="1434" spans="1:6" x14ac:dyDescent="0.3">
      <c r="A1434" s="2">
        <v>44127</v>
      </c>
      <c r="B1434" s="1">
        <v>6.3249146553071567</v>
      </c>
      <c r="C1434" s="1">
        <f>IRS_returns_2015_25[[#This Row],[IRSrtn]]-AVERAGE($B$2:$B$2600)</f>
        <v>6.3191381612405406</v>
      </c>
      <c r="D1434" s="1">
        <f>w+a*C1433^2+b*D1433</f>
        <v>34.239089835955582</v>
      </c>
      <c r="E1434" s="1">
        <f t="shared" si="22"/>
        <v>-3.2687499795190571</v>
      </c>
      <c r="F1434" s="7">
        <f>SQRT(IRS_returns_2015_25[[#This Row],[  σ2]])</f>
        <v>5.851417762897773</v>
      </c>
    </row>
    <row r="1435" spans="1:6" x14ac:dyDescent="0.3">
      <c r="A1435" s="2">
        <v>44130</v>
      </c>
      <c r="B1435" s="1">
        <v>-0.97244947985087871</v>
      </c>
      <c r="C1435" s="1">
        <f>IRS_returns_2015_25[[#This Row],[IRSrtn]]-AVERAGE($B$2:$B$2600)</f>
        <v>-0.97822597391749455</v>
      </c>
      <c r="D1435" s="1">
        <f>w+a*C1434^2+b*D1434</f>
        <v>33.868101278593969</v>
      </c>
      <c r="E1435" s="1">
        <f t="shared" si="22"/>
        <v>-2.6943025831655802</v>
      </c>
      <c r="F1435" s="7">
        <f>SQRT(IRS_returns_2015_25[[#This Row],[  σ2]])</f>
        <v>5.8196306823194517</v>
      </c>
    </row>
    <row r="1436" spans="1:6" x14ac:dyDescent="0.3">
      <c r="A1436" s="2">
        <v>44131</v>
      </c>
      <c r="B1436" s="1">
        <v>-1.6420915985628448</v>
      </c>
      <c r="C1436" s="1">
        <f>IRS_returns_2015_25[[#This Row],[IRSrtn]]-AVERAGE($B$2:$B$2600)</f>
        <v>-1.6478680926294607</v>
      </c>
      <c r="D1436" s="1">
        <f>w+a*C1435^2+b*D1435</f>
        <v>24.124980336774286</v>
      </c>
      <c r="E1436" s="1">
        <f t="shared" si="22"/>
        <v>-2.5668416506147893</v>
      </c>
      <c r="F1436" s="7">
        <f>SQRT(IRS_returns_2015_25[[#This Row],[  σ2]])</f>
        <v>4.9117186744330423</v>
      </c>
    </row>
    <row r="1437" spans="1:6" x14ac:dyDescent="0.3">
      <c r="A1437" s="2">
        <v>44132</v>
      </c>
      <c r="B1437" s="1">
        <v>1.3158288955365527</v>
      </c>
      <c r="C1437" s="1">
        <f>IRS_returns_2015_25[[#This Row],[IRSrtn]]-AVERAGE($B$2:$B$2600)</f>
        <v>1.3100524014699368</v>
      </c>
      <c r="D1437" s="1">
        <f>w+a*C1436^2+b*D1436</f>
        <v>18.06729052859372</v>
      </c>
      <c r="E1437" s="1">
        <f t="shared" si="22"/>
        <v>-2.4134858103692323</v>
      </c>
      <c r="F1437" s="7">
        <f>SQRT(IRS_returns_2015_25[[#This Row],[  σ2]])</f>
        <v>4.2505635542353346</v>
      </c>
    </row>
    <row r="1438" spans="1:6" x14ac:dyDescent="0.3">
      <c r="A1438" s="2">
        <v>44133</v>
      </c>
      <c r="B1438" s="1">
        <v>11.705641616599671</v>
      </c>
      <c r="C1438" s="1">
        <f>IRS_returns_2015_25[[#This Row],[IRSrtn]]-AVERAGE($B$2:$B$2600)</f>
        <v>11.699865122533055</v>
      </c>
      <c r="D1438" s="1">
        <f>w+a*C1437^2+b*D1437</f>
        <v>13.791122544126132</v>
      </c>
      <c r="E1438" s="1">
        <f t="shared" si="22"/>
        <v>-7.1938119136738852</v>
      </c>
      <c r="F1438" s="7">
        <f>SQRT(IRS_returns_2015_25[[#This Row],[  σ2]])</f>
        <v>3.7136400665823999</v>
      </c>
    </row>
    <row r="1439" spans="1:6" x14ac:dyDescent="0.3">
      <c r="A1439" s="2">
        <v>44134</v>
      </c>
      <c r="B1439" s="1">
        <v>6.4720302324530188</v>
      </c>
      <c r="C1439" s="1">
        <f>IRS_returns_2015_25[[#This Row],[IRSrtn]]-AVERAGE($B$2:$B$2600)</f>
        <v>6.4662537383864027</v>
      </c>
      <c r="D1439" s="1">
        <f>w+a*C1438^2+b*D1438</f>
        <v>43.878693085685789</v>
      </c>
      <c r="E1439" s="1">
        <f t="shared" si="22"/>
        <v>-3.2861078673951902</v>
      </c>
      <c r="F1439" s="7">
        <f>SQRT(IRS_returns_2015_25[[#This Row],[  σ2]])</f>
        <v>6.6240994169536576</v>
      </c>
    </row>
    <row r="1440" spans="1:6" x14ac:dyDescent="0.3">
      <c r="A1440" s="2">
        <v>44137</v>
      </c>
      <c r="B1440" s="1">
        <v>14.201024492022206</v>
      </c>
      <c r="C1440" s="1">
        <f>IRS_returns_2015_25[[#This Row],[IRSrtn]]-AVERAGE($B$2:$B$2600)</f>
        <v>14.19524799795559</v>
      </c>
      <c r="D1440" s="1">
        <f>w+a*C1439^2+b*D1439</f>
        <v>40.743634506409478</v>
      </c>
      <c r="E1440" s="1">
        <f t="shared" si="22"/>
        <v>-5.2454294155100261</v>
      </c>
      <c r="F1440" s="7">
        <f>SQRT(IRS_returns_2015_25[[#This Row],[  σ2]])</f>
        <v>6.3830740639921668</v>
      </c>
    </row>
    <row r="1441" spans="1:6" x14ac:dyDescent="0.3">
      <c r="A1441" s="2">
        <v>44138</v>
      </c>
      <c r="B1441" s="1">
        <v>-10.720081215784294</v>
      </c>
      <c r="C1441" s="1">
        <f>IRS_returns_2015_25[[#This Row],[IRSrtn]]-AVERAGE($B$2:$B$2600)</f>
        <v>-10.72585770985091</v>
      </c>
      <c r="D1441" s="1">
        <f>w+a*C1440^2+b*D1440</f>
        <v>77.565645572947972</v>
      </c>
      <c r="E1441" s="1">
        <f t="shared" si="22"/>
        <v>-3.8360921918378073</v>
      </c>
      <c r="F1441" s="7">
        <f>SQRT(IRS_returns_2015_25[[#This Row],[  σ2]])</f>
        <v>8.8071360596364112</v>
      </c>
    </row>
    <row r="1442" spans="1:6" x14ac:dyDescent="0.3">
      <c r="A1442" s="2">
        <v>44139</v>
      </c>
      <c r="B1442" s="1">
        <v>-1.8592877029483201</v>
      </c>
      <c r="C1442" s="1">
        <f>IRS_returns_2015_25[[#This Row],[IRSrtn]]-AVERAGE($B$2:$B$2600)</f>
        <v>-1.865064197014936</v>
      </c>
      <c r="D1442" s="1">
        <f>w+a*C1441^2+b*D1441</f>
        <v>81.012460841676258</v>
      </c>
      <c r="E1442" s="1">
        <f t="shared" si="22"/>
        <v>-3.1377087235417678</v>
      </c>
      <c r="F1442" s="7">
        <f>SQRT(IRS_returns_2015_25[[#This Row],[  σ2]])</f>
        <v>9.0006922423598201</v>
      </c>
    </row>
    <row r="1443" spans="1:6" x14ac:dyDescent="0.3">
      <c r="A1443" s="2">
        <v>44140</v>
      </c>
      <c r="B1443" s="1">
        <v>2.3842129214929564</v>
      </c>
      <c r="C1443" s="1">
        <f>IRS_returns_2015_25[[#This Row],[IRSrtn]]-AVERAGE($B$2:$B$2600)</f>
        <v>2.3784364274263408</v>
      </c>
      <c r="D1443" s="1">
        <f>w+a*C1442^2+b*D1442</f>
        <v>56.124140685606513</v>
      </c>
      <c r="E1443" s="1">
        <f t="shared" si="22"/>
        <v>-2.983118401174095</v>
      </c>
      <c r="F1443" s="7">
        <f>SQRT(IRS_returns_2015_25[[#This Row],[  σ2]])</f>
        <v>7.4916046802808882</v>
      </c>
    </row>
    <row r="1444" spans="1:6" x14ac:dyDescent="0.3">
      <c r="A1444" s="2">
        <v>44141</v>
      </c>
      <c r="B1444" s="1">
        <v>2.3286894381496559</v>
      </c>
      <c r="C1444" s="1">
        <f>IRS_returns_2015_25[[#This Row],[IRSrtn]]-AVERAGE($B$2:$B$2600)</f>
        <v>2.3229129440830403</v>
      </c>
      <c r="D1444" s="1">
        <f>w+a*C1443^2+b*D1443</f>
        <v>40.086359886814378</v>
      </c>
      <c r="E1444" s="1">
        <f t="shared" si="22"/>
        <v>-2.8317603434245862</v>
      </c>
      <c r="F1444" s="7">
        <f>SQRT(IRS_returns_2015_25[[#This Row],[  σ2]])</f>
        <v>6.3313789877730731</v>
      </c>
    </row>
    <row r="1445" spans="1:6" x14ac:dyDescent="0.3">
      <c r="A1445" s="2">
        <v>44144</v>
      </c>
      <c r="B1445" s="1">
        <v>13.608578411391314</v>
      </c>
      <c r="C1445" s="1">
        <f>IRS_returns_2015_25[[#This Row],[IRSrtn]]-AVERAGE($B$2:$B$2600)</f>
        <v>13.602801917324697</v>
      </c>
      <c r="D1445" s="1">
        <f>w+a*C1444^2+b*D1444</f>
        <v>29.34613997554364</v>
      </c>
      <c r="E1445" s="1">
        <f t="shared" si="22"/>
        <v>-5.761169105086946</v>
      </c>
      <c r="F1445" s="7">
        <f>SQRT(IRS_returns_2015_25[[#This Row],[  σ2]])</f>
        <v>5.4172077655876958</v>
      </c>
    </row>
    <row r="1446" spans="1:6" x14ac:dyDescent="0.3">
      <c r="A1446" s="2">
        <v>44145</v>
      </c>
      <c r="B1446" s="1">
        <v>-3.6367695441462233</v>
      </c>
      <c r="C1446" s="1">
        <f>IRS_returns_2015_25[[#This Row],[IRSrtn]]-AVERAGE($B$2:$B$2600)</f>
        <v>-3.642546038212839</v>
      </c>
      <c r="D1446" s="1">
        <f>w+a*C1445^2+b*D1445</f>
        <v>65.965512522104774</v>
      </c>
      <c r="E1446" s="1">
        <f t="shared" si="22"/>
        <v>-3.1140733426709795</v>
      </c>
      <c r="F1446" s="7">
        <f>SQRT(IRS_returns_2015_25[[#This Row],[  σ2]])</f>
        <v>8.1219155697473724</v>
      </c>
    </row>
    <row r="1447" spans="1:6" x14ac:dyDescent="0.3">
      <c r="A1447" s="2">
        <v>44146</v>
      </c>
      <c r="B1447" s="1">
        <v>-2.8170985101034551</v>
      </c>
      <c r="C1447" s="1">
        <f>IRS_returns_2015_25[[#This Row],[IRSrtn]]-AVERAGE($B$2:$B$2600)</f>
        <v>-2.8228750041700708</v>
      </c>
      <c r="D1447" s="1">
        <f>w+a*C1446^2+b*D1446</f>
        <v>48.492388286180933</v>
      </c>
      <c r="E1447" s="1">
        <f t="shared" si="22"/>
        <v>-2.9418056052730308</v>
      </c>
      <c r="F1447" s="7">
        <f>SQRT(IRS_returns_2015_25[[#This Row],[  σ2]])</f>
        <v>6.9636476279447779</v>
      </c>
    </row>
    <row r="1448" spans="1:6" x14ac:dyDescent="0.3">
      <c r="A1448" s="2">
        <v>44147</v>
      </c>
      <c r="B1448" s="1">
        <v>-0.23837109419857505</v>
      </c>
      <c r="C1448" s="1">
        <f>IRS_returns_2015_25[[#This Row],[IRSrtn]]-AVERAGE($B$2:$B$2600)</f>
        <v>-0.24414758826519084</v>
      </c>
      <c r="D1448" s="1">
        <f>w+a*C1447^2+b*D1447</f>
        <v>35.569011027561274</v>
      </c>
      <c r="E1448" s="1">
        <f t="shared" si="22"/>
        <v>-2.7055138452462808</v>
      </c>
      <c r="F1448" s="7">
        <f>SQRT(IRS_returns_2015_25[[#This Row],[  σ2]])</f>
        <v>5.9639761089026235</v>
      </c>
    </row>
    <row r="1449" spans="1:6" x14ac:dyDescent="0.3">
      <c r="A1449" s="2">
        <v>44148</v>
      </c>
      <c r="B1449" s="1">
        <v>-0.718568715430834</v>
      </c>
      <c r="C1449" s="1">
        <f>IRS_returns_2015_25[[#This Row],[IRSrtn]]-AVERAGE($B$2:$B$2600)</f>
        <v>-0.72434520949744985</v>
      </c>
      <c r="D1449" s="1">
        <f>w+a*C1448^2+b*D1448</f>
        <v>25.038673058593254</v>
      </c>
      <c r="E1449" s="1">
        <f t="shared" si="22"/>
        <v>-2.5396266212470016</v>
      </c>
      <c r="F1449" s="7">
        <f>SQRT(IRS_returns_2015_25[[#This Row],[  σ2]])</f>
        <v>5.0038658114095398</v>
      </c>
    </row>
    <row r="1450" spans="1:6" x14ac:dyDescent="0.3">
      <c r="A1450" s="2">
        <v>44151</v>
      </c>
      <c r="B1450" s="1">
        <v>4.9248054854318379</v>
      </c>
      <c r="C1450" s="1">
        <f>IRS_returns_2015_25[[#This Row],[IRSrtn]]-AVERAGE($B$2:$B$2600)</f>
        <v>4.9190289913652219</v>
      </c>
      <c r="D1450" s="1">
        <f>w+a*C1449^2+b*D1449</f>
        <v>18.141764771175954</v>
      </c>
      <c r="E1450" s="1">
        <f t="shared" si="22"/>
        <v>-3.0349292675012043</v>
      </c>
      <c r="F1450" s="7">
        <f>SQRT(IRS_returns_2015_25[[#This Row],[  σ2]])</f>
        <v>4.2593150589239057</v>
      </c>
    </row>
    <row r="1451" spans="1:6" x14ac:dyDescent="0.3">
      <c r="A1451" s="2">
        <v>44152</v>
      </c>
      <c r="B1451" s="1">
        <v>1.5891214350747251</v>
      </c>
      <c r="C1451" s="1">
        <f>IRS_returns_2015_25[[#This Row],[IRSrtn]]-AVERAGE($B$2:$B$2600)</f>
        <v>1.5833449410081093</v>
      </c>
      <c r="D1451" s="1">
        <f>w+a*C1450^2+b*D1450</f>
        <v>19.318096457667483</v>
      </c>
      <c r="E1451" s="1">
        <f t="shared" si="22"/>
        <v>-2.4643465406576244</v>
      </c>
      <c r="F1451" s="7">
        <f>SQRT(IRS_returns_2015_25[[#This Row],[  σ2]])</f>
        <v>4.3952356543952771</v>
      </c>
    </row>
    <row r="1452" spans="1:6" x14ac:dyDescent="0.3">
      <c r="A1452" s="2">
        <v>44153</v>
      </c>
      <c r="B1452" s="1">
        <v>12.675177517567082</v>
      </c>
      <c r="C1452" s="1">
        <f>IRS_returns_2015_25[[#This Row],[IRSrtn]]-AVERAGE($B$2:$B$2600)</f>
        <v>12.669401023500466</v>
      </c>
      <c r="D1452" s="1">
        <f>w+a*C1451^2+b*D1451</f>
        <v>14.81646952646679</v>
      </c>
      <c r="E1452" s="1">
        <f t="shared" si="22"/>
        <v>-7.6835413332182334</v>
      </c>
      <c r="F1452" s="7">
        <f>SQRT(IRS_returns_2015_25[[#This Row],[  σ2]])</f>
        <v>3.8492167419446246</v>
      </c>
    </row>
    <row r="1453" spans="1:6" x14ac:dyDescent="0.3">
      <c r="A1453" s="2">
        <v>44154</v>
      </c>
      <c r="B1453" s="1">
        <v>-4.2559604691569497</v>
      </c>
      <c r="C1453" s="1">
        <f>IRS_returns_2015_25[[#This Row],[IRSrtn]]-AVERAGE($B$2:$B$2600)</f>
        <v>-4.2617369632235658</v>
      </c>
      <c r="D1453" s="1">
        <f>w+a*C1452^2+b*D1452</f>
        <v>50.317967169399694</v>
      </c>
      <c r="E1453" s="1">
        <f t="shared" si="22"/>
        <v>-3.0585959485777225</v>
      </c>
      <c r="F1453" s="7">
        <f>SQRT(IRS_returns_2015_25[[#This Row],[  σ2]])</f>
        <v>7.0935158538907697</v>
      </c>
    </row>
    <row r="1454" spans="1:6" x14ac:dyDescent="0.3">
      <c r="A1454" s="2">
        <v>44155</v>
      </c>
      <c r="B1454" s="1">
        <v>-3.797915242462091</v>
      </c>
      <c r="C1454" s="1">
        <f>IRS_returns_2015_25[[#This Row],[IRSrtn]]-AVERAGE($B$2:$B$2600)</f>
        <v>-3.8036917365287066</v>
      </c>
      <c r="D1454" s="1">
        <f>w+a*C1453^2+b*D1453</f>
        <v>39.268041213486775</v>
      </c>
      <c r="E1454" s="1">
        <f t="shared" si="22"/>
        <v>-2.9383659842317527</v>
      </c>
      <c r="F1454" s="7">
        <f>SQRT(IRS_returns_2015_25[[#This Row],[  σ2]])</f>
        <v>6.2664217232394099</v>
      </c>
    </row>
    <row r="1455" spans="1:6" x14ac:dyDescent="0.3">
      <c r="A1455" s="2">
        <v>44158</v>
      </c>
      <c r="B1455" s="1">
        <v>-3.7244208625755171</v>
      </c>
      <c r="C1455" s="1">
        <f>IRS_returns_2015_25[[#This Row],[IRSrtn]]-AVERAGE($B$2:$B$2600)</f>
        <v>-3.7301973566421327</v>
      </c>
      <c r="D1455" s="1">
        <f>w+a*C1454^2+b*D1454</f>
        <v>31.011797901264565</v>
      </c>
      <c r="E1455" s="1">
        <f t="shared" si="22"/>
        <v>-2.8604623692283635</v>
      </c>
      <c r="F1455" s="7">
        <f>SQRT(IRS_returns_2015_25[[#This Row],[  σ2]])</f>
        <v>5.5688237448553322</v>
      </c>
    </row>
    <row r="1456" spans="1:6" x14ac:dyDescent="0.3">
      <c r="A1456" s="2">
        <v>44159</v>
      </c>
      <c r="B1456" s="1">
        <v>3.2933881740280446</v>
      </c>
      <c r="C1456" s="1">
        <f>IRS_returns_2015_25[[#This Row],[IRSrtn]]-AVERAGE($B$2:$B$2600)</f>
        <v>3.287611679961429</v>
      </c>
      <c r="D1456" s="1">
        <f>w+a*C1455^2+b*D1455</f>
        <v>25.380570225858619</v>
      </c>
      <c r="E1456" s="1">
        <f t="shared" si="22"/>
        <v>-2.7488569701261807</v>
      </c>
      <c r="F1456" s="7">
        <f>SQRT(IRS_returns_2015_25[[#This Row],[  σ2]])</f>
        <v>5.0379132808990095</v>
      </c>
    </row>
    <row r="1457" spans="1:6" x14ac:dyDescent="0.3">
      <c r="A1457" s="2">
        <v>44160</v>
      </c>
      <c r="B1457" s="1">
        <v>-2.6259812322671827</v>
      </c>
      <c r="C1457" s="1">
        <f>IRS_returns_2015_25[[#This Row],[IRSrtn]]-AVERAGE($B$2:$B$2600)</f>
        <v>-2.6317577263337983</v>
      </c>
      <c r="D1457" s="1">
        <f>w+a*C1456^2+b*D1456</f>
        <v>20.874996107932148</v>
      </c>
      <c r="E1457" s="1">
        <f t="shared" si="22"/>
        <v>-2.6041103842475013</v>
      </c>
      <c r="F1457" s="7">
        <f>SQRT(IRS_returns_2015_25[[#This Row],[  σ2]])</f>
        <v>4.568916294695291</v>
      </c>
    </row>
    <row r="1458" spans="1:6" x14ac:dyDescent="0.3">
      <c r="A1458" s="2">
        <v>44162</v>
      </c>
      <c r="B1458" s="1">
        <v>-4.0729638060966078</v>
      </c>
      <c r="C1458" s="1">
        <f>IRS_returns_2015_25[[#This Row],[IRSrtn]]-AVERAGE($B$2:$B$2600)</f>
        <v>-4.0787403001632239</v>
      </c>
      <c r="D1458" s="1">
        <f>w+a*C1457^2+b*D1457</f>
        <v>16.929652790860072</v>
      </c>
      <c r="E1458" s="1">
        <f t="shared" si="22"/>
        <v>-2.8248027577574177</v>
      </c>
      <c r="F1458" s="7">
        <f>SQRT(IRS_returns_2015_25[[#This Row],[  σ2]])</f>
        <v>4.1145659298229837</v>
      </c>
    </row>
    <row r="1459" spans="1:6" x14ac:dyDescent="0.3">
      <c r="A1459" s="2">
        <v>44165</v>
      </c>
      <c r="B1459" s="1">
        <v>0.69044121675974068</v>
      </c>
      <c r="C1459" s="1">
        <f>IRS_returns_2015_25[[#This Row],[IRSrtn]]-AVERAGE($B$2:$B$2600)</f>
        <v>0.68466472269312484</v>
      </c>
      <c r="D1459" s="1">
        <f>w+a*C1458^2+b*D1458</f>
        <v>16.669004652946743</v>
      </c>
      <c r="E1459" s="1">
        <f t="shared" si="22"/>
        <v>-2.3397750272633586</v>
      </c>
      <c r="F1459" s="7">
        <f>SQRT(IRS_returns_2015_25[[#This Row],[  σ2]])</f>
        <v>4.0827692382679119</v>
      </c>
    </row>
    <row r="1460" spans="1:6" x14ac:dyDescent="0.3">
      <c r="A1460" s="2">
        <v>44166</v>
      </c>
      <c r="B1460" s="1">
        <v>-0.22961348231911316</v>
      </c>
      <c r="C1460" s="1">
        <f>IRS_returns_2015_25[[#This Row],[IRSrtn]]-AVERAGE($B$2:$B$2600)</f>
        <v>-0.23538997638572895</v>
      </c>
      <c r="D1460" s="1">
        <f>w+a*C1459^2+b*D1459</f>
        <v>12.556314121258453</v>
      </c>
      <c r="E1460" s="1">
        <f t="shared" si="22"/>
        <v>-2.1862567588811852</v>
      </c>
      <c r="F1460" s="7">
        <f>SQRT(IRS_returns_2015_25[[#This Row],[  σ2]])</f>
        <v>3.54348897574953</v>
      </c>
    </row>
    <row r="1461" spans="1:6" x14ac:dyDescent="0.3">
      <c r="A1461" s="2">
        <v>44167</v>
      </c>
      <c r="B1461" s="1">
        <v>5.5880523197909593</v>
      </c>
      <c r="C1461" s="1">
        <f>IRS_returns_2015_25[[#This Row],[IRSrtn]]-AVERAGE($B$2:$B$2600)</f>
        <v>5.5822758257243432</v>
      </c>
      <c r="D1461" s="1">
        <f>w+a*C1460^2+b*D1460</f>
        <v>9.7177128769154759</v>
      </c>
      <c r="E1461" s="1">
        <f t="shared" si="22"/>
        <v>-3.6592643734611183</v>
      </c>
      <c r="F1461" s="7">
        <f>SQRT(IRS_returns_2015_25[[#This Row],[  σ2]])</f>
        <v>3.1173246345088086</v>
      </c>
    </row>
    <row r="1462" spans="1:6" x14ac:dyDescent="0.3">
      <c r="A1462" s="2">
        <v>44168</v>
      </c>
      <c r="B1462" s="1">
        <v>4.8790129151417672</v>
      </c>
      <c r="C1462" s="1">
        <f>IRS_returns_2015_25[[#This Row],[IRSrtn]]-AVERAGE($B$2:$B$2600)</f>
        <v>4.8732364210751511</v>
      </c>
      <c r="D1462" s="1">
        <f>w+a*C1461^2+b*D1461</f>
        <v>15.407074523189952</v>
      </c>
      <c r="E1462" s="1">
        <f t="shared" si="22"/>
        <v>-3.0570509067071661</v>
      </c>
      <c r="F1462" s="7">
        <f>SQRT(IRS_returns_2015_25[[#This Row],[  σ2]])</f>
        <v>3.9251846482923516</v>
      </c>
    </row>
    <row r="1463" spans="1:6" x14ac:dyDescent="0.3">
      <c r="A1463" s="2">
        <v>44169</v>
      </c>
      <c r="B1463" s="1">
        <v>-3.797915242462091</v>
      </c>
      <c r="C1463" s="1">
        <f>IRS_returns_2015_25[[#This Row],[IRSrtn]]-AVERAGE($B$2:$B$2600)</f>
        <v>-3.8036917365287066</v>
      </c>
      <c r="D1463" s="1">
        <f>w+a*C1462^2+b*D1462</f>
        <v>17.388311729530887</v>
      </c>
      <c r="E1463" s="1">
        <f t="shared" si="22"/>
        <v>-2.7628662782329041</v>
      </c>
      <c r="F1463" s="7">
        <f>SQRT(IRS_returns_2015_25[[#This Row],[  σ2]])</f>
        <v>4.169929463375956</v>
      </c>
    </row>
    <row r="1464" spans="1:6" x14ac:dyDescent="0.3">
      <c r="A1464" s="2">
        <v>44172</v>
      </c>
      <c r="B1464" s="1">
        <v>0.21480953247157153</v>
      </c>
      <c r="C1464" s="1">
        <f>IRS_returns_2015_25[[#This Row],[IRSrtn]]-AVERAGE($B$2:$B$2600)</f>
        <v>0.20903303840495574</v>
      </c>
      <c r="D1464" s="1">
        <f>w+a*C1463^2+b*D1463</f>
        <v>16.446096300806232</v>
      </c>
      <c r="E1464" s="1">
        <f t="shared" si="22"/>
        <v>-2.3203110292642699</v>
      </c>
      <c r="F1464" s="7">
        <f>SQRT(IRS_returns_2015_25[[#This Row],[  σ2]])</f>
        <v>4.0553786877190925</v>
      </c>
    </row>
    <row r="1465" spans="1:6" x14ac:dyDescent="0.3">
      <c r="A1465" s="2">
        <v>44173</v>
      </c>
      <c r="B1465" s="1">
        <v>3.7899298587760644</v>
      </c>
      <c r="C1465" s="1">
        <f>IRS_returns_2015_25[[#This Row],[IRSrtn]]-AVERAGE($B$2:$B$2600)</f>
        <v>3.7841533647094487</v>
      </c>
      <c r="D1465" s="1">
        <f>w+a*C1464^2+b*D1464</f>
        <v>12.304351861825632</v>
      </c>
      <c r="E1465" s="1">
        <f t="shared" si="22"/>
        <v>-2.7558155253186332</v>
      </c>
      <c r="F1465" s="7">
        <f>SQRT(IRS_returns_2015_25[[#This Row],[  σ2]])</f>
        <v>3.5077559581341506</v>
      </c>
    </row>
    <row r="1466" spans="1:6" x14ac:dyDescent="0.3">
      <c r="A1466" s="2">
        <v>44174</v>
      </c>
      <c r="B1466" s="1">
        <v>0.61794134585277938</v>
      </c>
      <c r="C1466" s="1">
        <f>IRS_returns_2015_25[[#This Row],[IRSrtn]]-AVERAGE($B$2:$B$2600)</f>
        <v>0.61216485178616353</v>
      </c>
      <c r="D1466" s="1">
        <f>w+a*C1465^2+b*D1465</f>
        <v>13.025497160352657</v>
      </c>
      <c r="E1466" s="1">
        <f t="shared" si="22"/>
        <v>-2.2167779979740128</v>
      </c>
      <c r="F1466" s="7">
        <f>SQRT(IRS_returns_2015_25[[#This Row],[  σ2]])</f>
        <v>3.6090853634061717</v>
      </c>
    </row>
    <row r="1467" spans="1:6" x14ac:dyDescent="0.3">
      <c r="A1467" s="2">
        <v>44175</v>
      </c>
      <c r="B1467" s="1">
        <v>4.4183532517487967</v>
      </c>
      <c r="C1467" s="1">
        <f>IRS_returns_2015_25[[#This Row],[IRSrtn]]-AVERAGE($B$2:$B$2600)</f>
        <v>4.4125767576821806</v>
      </c>
      <c r="D1467" s="1">
        <f>w+a*C1466^2+b*D1466</f>
        <v>10.107862342730305</v>
      </c>
      <c r="E1467" s="1">
        <f t="shared" si="22"/>
        <v>-3.0387482080143444</v>
      </c>
      <c r="F1467" s="7">
        <f>SQRT(IRS_returns_2015_25[[#This Row],[  σ2]])</f>
        <v>3.1792864518206447</v>
      </c>
    </row>
    <row r="1468" spans="1:6" x14ac:dyDescent="0.3">
      <c r="A1468" s="2">
        <v>44176</v>
      </c>
      <c r="B1468" s="1">
        <v>-1.984158606454911</v>
      </c>
      <c r="C1468" s="1">
        <f>IRS_returns_2015_25[[#This Row],[IRSrtn]]-AVERAGE($B$2:$B$2600)</f>
        <v>-1.9899351005215269</v>
      </c>
      <c r="D1468" s="1">
        <f>w+a*C1467^2+b*D1467</f>
        <v>12.818301466720111</v>
      </c>
      <c r="E1468" s="1">
        <f t="shared" si="22"/>
        <v>-2.3488359777875427</v>
      </c>
      <c r="F1468" s="7">
        <f>SQRT(IRS_returns_2015_25[[#This Row],[  σ2]])</f>
        <v>3.5802655581283509</v>
      </c>
    </row>
    <row r="1469" spans="1:6" x14ac:dyDescent="0.3">
      <c r="A1469" s="2">
        <v>44179</v>
      </c>
      <c r="B1469" s="1">
        <v>-13.267298623417068</v>
      </c>
      <c r="C1469" s="1">
        <f>IRS_returns_2015_25[[#This Row],[IRSrtn]]-AVERAGE($B$2:$B$2600)</f>
        <v>-13.273075117483684</v>
      </c>
      <c r="D1469" s="1">
        <f>w+a*C1468^2+b*D1468</f>
        <v>10.843436493176362</v>
      </c>
      <c r="E1469" s="1">
        <f t="shared" si="22"/>
        <v>-10.234274327091985</v>
      </c>
      <c r="F1469" s="7">
        <f>SQRT(IRS_returns_2015_25[[#This Row],[  σ2]])</f>
        <v>3.2929373655106717</v>
      </c>
    </row>
    <row r="1470" spans="1:6" x14ac:dyDescent="0.3">
      <c r="A1470" s="2">
        <v>44180</v>
      </c>
      <c r="B1470" s="1">
        <v>4.6935790286726897</v>
      </c>
      <c r="C1470" s="1">
        <f>IRS_returns_2015_25[[#This Row],[IRSrtn]]-AVERAGE($B$2:$B$2600)</f>
        <v>4.6878025346060737</v>
      </c>
      <c r="D1470" s="1">
        <f>w+a*C1469^2+b*D1469</f>
        <v>51.488803165077677</v>
      </c>
      <c r="E1470" s="1">
        <f t="shared" si="22"/>
        <v>-3.1030214115624193</v>
      </c>
      <c r="F1470" s="7">
        <f>SQRT(IRS_returns_2015_25[[#This Row],[  σ2]])</f>
        <v>7.1755698843421261</v>
      </c>
    </row>
    <row r="1471" spans="1:6" x14ac:dyDescent="0.3">
      <c r="A1471" s="2">
        <v>44181</v>
      </c>
      <c r="B1471" s="1">
        <v>1.3015418783989263</v>
      </c>
      <c r="C1471" s="1">
        <f>IRS_returns_2015_25[[#This Row],[IRSrtn]]-AVERAGE($B$2:$B$2600)</f>
        <v>1.2957653843323105</v>
      </c>
      <c r="D1471" s="1">
        <f>w+a*C1470^2+b*D1470</f>
        <v>40.97654496184537</v>
      </c>
      <c r="E1471" s="1">
        <f t="shared" si="22"/>
        <v>-2.7959258744624886</v>
      </c>
      <c r="F1471" s="7">
        <f>SQRT(IRS_returns_2015_25[[#This Row],[  σ2]])</f>
        <v>6.4012924446431416</v>
      </c>
    </row>
    <row r="1472" spans="1:6" x14ac:dyDescent="0.3">
      <c r="A1472" s="2">
        <v>44182</v>
      </c>
      <c r="B1472" s="1">
        <v>0.64445492014235661</v>
      </c>
      <c r="C1472" s="1">
        <f>IRS_returns_2015_25[[#This Row],[IRSrtn]]-AVERAGE($B$2:$B$2600)</f>
        <v>0.63867842607574077</v>
      </c>
      <c r="D1472" s="1">
        <f>w+a*C1471^2+b*D1471</f>
        <v>29.033125184339593</v>
      </c>
      <c r="E1472" s="1">
        <f t="shared" si="22"/>
        <v>-2.610182155254213</v>
      </c>
      <c r="F1472" s="7">
        <f>SQRT(IRS_returns_2015_25[[#This Row],[  σ2]])</f>
        <v>5.3882395255166218</v>
      </c>
    </row>
    <row r="1473" spans="1:6" x14ac:dyDescent="0.3">
      <c r="A1473" s="2">
        <v>44183</v>
      </c>
      <c r="B1473" s="1">
        <v>-0.64445492014235661</v>
      </c>
      <c r="C1473" s="1">
        <f>IRS_returns_2015_25[[#This Row],[IRSrtn]]-AVERAGE($B$2:$B$2600)</f>
        <v>-0.65023141420897246</v>
      </c>
      <c r="D1473" s="1">
        <f>w+a*C1472^2+b*D1472</f>
        <v>20.772488339360788</v>
      </c>
      <c r="E1473" s="1">
        <f t="shared" si="22"/>
        <v>-2.4459301945887462</v>
      </c>
      <c r="F1473" s="7">
        <f>SQRT(IRS_returns_2015_25[[#This Row],[  σ2]])</f>
        <v>4.5576845370605445</v>
      </c>
    </row>
    <row r="1474" spans="1:6" x14ac:dyDescent="0.3">
      <c r="A1474" s="2">
        <v>44186</v>
      </c>
      <c r="B1474" s="1">
        <v>-0.43194541627140648</v>
      </c>
      <c r="C1474" s="1">
        <f>IRS_returns_2015_25[[#This Row],[IRSrtn]]-AVERAGE($B$2:$B$2600)</f>
        <v>-0.43772191033802227</v>
      </c>
      <c r="D1474" s="1">
        <f>w+a*C1473^2+b*D1473</f>
        <v>15.276872459217895</v>
      </c>
      <c r="E1474" s="1">
        <f t="shared" ref="E1474:E1537" si="23">-0.5*(LN(2*PI())+LN(D1474)+C1474^2/D1474)</f>
        <v>-2.288379506064782</v>
      </c>
      <c r="F1474" s="7">
        <f>SQRT(IRS_returns_2015_25[[#This Row],[  σ2]])</f>
        <v>3.9085639893978832</v>
      </c>
    </row>
    <row r="1475" spans="1:6" x14ac:dyDescent="0.3">
      <c r="A1475" s="2">
        <v>44187</v>
      </c>
      <c r="B1475" s="1">
        <v>-1.9673025018737134</v>
      </c>
      <c r="C1475" s="1">
        <f>IRS_returns_2015_25[[#This Row],[IRSrtn]]-AVERAGE($B$2:$B$2600)</f>
        <v>-1.9730789959403292</v>
      </c>
      <c r="D1475" s="1">
        <f>w+a*C1474^2+b*D1474</f>
        <v>11.562017188633906</v>
      </c>
      <c r="E1475" s="1">
        <f t="shared" si="23"/>
        <v>-2.3111559427833082</v>
      </c>
      <c r="F1475" s="7">
        <f>SQRT(IRS_returns_2015_25[[#This Row],[  σ2]])</f>
        <v>3.4002966324475143</v>
      </c>
    </row>
    <row r="1476" spans="1:6" x14ac:dyDescent="0.3">
      <c r="A1476" s="2">
        <v>44188</v>
      </c>
      <c r="B1476" s="1">
        <v>3.0437028382874765</v>
      </c>
      <c r="C1476" s="1">
        <f>IRS_returns_2015_25[[#This Row],[IRSrtn]]-AVERAGE($B$2:$B$2600)</f>
        <v>3.0379263442208608</v>
      </c>
      <c r="D1476" s="1">
        <f>w+a*C1475^2+b*D1475</f>
        <v>9.9908310092236956</v>
      </c>
      <c r="E1476" s="1">
        <f t="shared" si="23"/>
        <v>-2.5316457347202741</v>
      </c>
      <c r="F1476" s="7">
        <f>SQRT(IRS_returns_2015_25[[#This Row],[  σ2]])</f>
        <v>3.1608275829636288</v>
      </c>
    </row>
    <row r="1477" spans="1:6" x14ac:dyDescent="0.3">
      <c r="A1477" s="2">
        <v>44189</v>
      </c>
      <c r="B1477" s="1">
        <v>-3.0437028382874765</v>
      </c>
      <c r="C1477" s="1">
        <f>IRS_returns_2015_25[[#This Row],[IRSrtn]]-AVERAGE($B$2:$B$2600)</f>
        <v>-3.0494793323540921</v>
      </c>
      <c r="D1477" s="1">
        <f>w+a*C1476^2+b*D1476</f>
        <v>10.244970494081926</v>
      </c>
      <c r="E1477" s="1">
        <f t="shared" si="23"/>
        <v>-2.536180250546626</v>
      </c>
      <c r="F1477" s="7">
        <f>SQRT(IRS_returns_2015_25[[#This Row],[  σ2]])</f>
        <v>3.200776545477976</v>
      </c>
    </row>
    <row r="1478" spans="1:6" x14ac:dyDescent="0.3">
      <c r="A1478" s="2">
        <v>44193</v>
      </c>
      <c r="B1478" s="1">
        <v>-1.7817871564333121</v>
      </c>
      <c r="C1478" s="1">
        <f>IRS_returns_2015_25[[#This Row],[IRSrtn]]-AVERAGE($B$2:$B$2600)</f>
        <v>-1.7875636504999279</v>
      </c>
      <c r="D1478" s="1">
        <f>w+a*C1477^2+b*D1477</f>
        <v>10.431290730732872</v>
      </c>
      <c r="E1478" s="1">
        <f t="shared" si="23"/>
        <v>-2.2445069347321498</v>
      </c>
      <c r="F1478" s="7">
        <f>SQRT(IRS_returns_2015_25[[#This Row],[  σ2]])</f>
        <v>3.229750877503228</v>
      </c>
    </row>
    <row r="1479" spans="1:6" x14ac:dyDescent="0.3">
      <c r="A1479" s="2">
        <v>44194</v>
      </c>
      <c r="B1479" s="1">
        <v>-2.5029415128158483</v>
      </c>
      <c r="C1479" s="1">
        <f>IRS_returns_2015_25[[#This Row],[IRSrtn]]-AVERAGE($B$2:$B$2600)</f>
        <v>-2.5087180068824639</v>
      </c>
      <c r="D1479" s="1">
        <f>w+a*C1478^2+b*D1478</f>
        <v>9.068103560866378</v>
      </c>
      <c r="E1479" s="1">
        <f t="shared" si="23"/>
        <v>-2.3683422845348789</v>
      </c>
      <c r="F1479" s="7">
        <f>SQRT(IRS_returns_2015_25[[#This Row],[  σ2]])</f>
        <v>3.0113292016759607</v>
      </c>
    </row>
    <row r="1480" spans="1:6" x14ac:dyDescent="0.3">
      <c r="A1480" s="2">
        <v>44195</v>
      </c>
      <c r="B1480" s="1">
        <v>3.6202780481202845</v>
      </c>
      <c r="C1480" s="1">
        <f>IRS_returns_2015_25[[#This Row],[IRSrtn]]-AVERAGE($B$2:$B$2600)</f>
        <v>3.6145015540536689</v>
      </c>
      <c r="D1480" s="1">
        <f>w+a*C1479^2+b*D1479</f>
        <v>8.915502828208318</v>
      </c>
      <c r="E1480" s="1">
        <f t="shared" si="23"/>
        <v>-2.7455255903062508</v>
      </c>
      <c r="F1480" s="7">
        <f>SQRT(IRS_returns_2015_25[[#This Row],[  σ2]])</f>
        <v>2.9858839274506832</v>
      </c>
    </row>
    <row r="1481" spans="1:6" x14ac:dyDescent="0.3">
      <c r="A1481" s="2">
        <v>44196</v>
      </c>
      <c r="B1481" s="1">
        <v>0.22198695241049116</v>
      </c>
      <c r="C1481" s="1">
        <f>IRS_returns_2015_25[[#This Row],[IRSrtn]]-AVERAGE($B$2:$B$2600)</f>
        <v>0.21621045834387537</v>
      </c>
      <c r="D1481" s="1">
        <f>w+a*C1480^2+b*D1480</f>
        <v>10.463655698702441</v>
      </c>
      <c r="E1481" s="1">
        <f t="shared" si="23"/>
        <v>-2.0951262563228159</v>
      </c>
      <c r="F1481" s="7">
        <f>SQRT(IRS_returns_2015_25[[#This Row],[  σ2]])</f>
        <v>3.2347574404740831</v>
      </c>
    </row>
    <row r="1482" spans="1:6" x14ac:dyDescent="0.3">
      <c r="A1482" s="2">
        <v>44200</v>
      </c>
      <c r="B1482" s="1">
        <v>-3.6121360716559803</v>
      </c>
      <c r="C1482" s="1">
        <f>IRS_returns_2015_25[[#This Row],[IRSrtn]]-AVERAGE($B$2:$B$2600)</f>
        <v>-3.6179125657225959</v>
      </c>
      <c r="D1482" s="1">
        <f>w+a*C1481^2+b*D1481</f>
        <v>8.3224848224647285</v>
      </c>
      <c r="E1482" s="1">
        <f t="shared" si="23"/>
        <v>-2.7648001744022306</v>
      </c>
      <c r="F1482" s="7">
        <f>SQRT(IRS_returns_2015_25[[#This Row],[  σ2]])</f>
        <v>2.8848717168125049</v>
      </c>
    </row>
    <row r="1483" spans="1:6" x14ac:dyDescent="0.3">
      <c r="A1483" s="2">
        <v>44201</v>
      </c>
      <c r="B1483" s="1">
        <v>3.1676871230739367</v>
      </c>
      <c r="C1483" s="1">
        <f>IRS_returns_2015_25[[#This Row],[IRSrtn]]-AVERAGE($B$2:$B$2600)</f>
        <v>3.1619106290073211</v>
      </c>
      <c r="D1483" s="1">
        <f>w+a*C1482^2+b*D1482</f>
        <v>10.074884503970893</v>
      </c>
      <c r="E1483" s="1">
        <f t="shared" si="23"/>
        <v>-2.5701297640491019</v>
      </c>
      <c r="F1483" s="7">
        <f>SQRT(IRS_returns_2015_25[[#This Row],[  σ2]])</f>
        <v>3.1740958561409092</v>
      </c>
    </row>
    <row r="1484" spans="1:6" x14ac:dyDescent="0.3">
      <c r="A1484" s="2">
        <v>44202</v>
      </c>
      <c r="B1484" s="1">
        <v>-2.2523540024181665</v>
      </c>
      <c r="C1484" s="1">
        <f>IRS_returns_2015_25[[#This Row],[IRSrtn]]-AVERAGE($B$2:$B$2600)</f>
        <v>-2.2581304964847821</v>
      </c>
      <c r="D1484" s="1">
        <f>w+a*C1483^2+b*D1483</f>
        <v>10.488215587879882</v>
      </c>
      <c r="E1484" s="1">
        <f t="shared" si="23"/>
        <v>-2.3371543354234383</v>
      </c>
      <c r="F1484" s="7">
        <f>SQRT(IRS_returns_2015_25[[#This Row],[  σ2]])</f>
        <v>3.2385514644482467</v>
      </c>
    </row>
    <row r="1485" spans="1:6" x14ac:dyDescent="0.3">
      <c r="A1485" s="2">
        <v>44203</v>
      </c>
      <c r="B1485" s="1">
        <v>2.918291976013343</v>
      </c>
      <c r="C1485" s="1">
        <f>IRS_returns_2015_25[[#This Row],[IRSrtn]]-AVERAGE($B$2:$B$2600)</f>
        <v>2.9125154819467274</v>
      </c>
      <c r="D1485" s="1">
        <f>w+a*C1484^2+b*D1484</f>
        <v>9.5698523965248672</v>
      </c>
      <c r="E1485" s="1">
        <f t="shared" si="23"/>
        <v>-2.4914489532901727</v>
      </c>
      <c r="F1485" s="7">
        <f>SQRT(IRS_returns_2015_25[[#This Row],[  σ2]])</f>
        <v>3.0935178028459553</v>
      </c>
    </row>
    <row r="1486" spans="1:6" x14ac:dyDescent="0.3">
      <c r="A1486" s="2">
        <v>44204</v>
      </c>
      <c r="B1486" s="1">
        <v>-2.0112421753512688</v>
      </c>
      <c r="C1486" s="1">
        <f>IRS_returns_2015_25[[#This Row],[IRSrtn]]-AVERAGE($B$2:$B$2600)</f>
        <v>-2.0170186694178844</v>
      </c>
      <c r="D1486" s="1">
        <f>w+a*C1485^2+b*D1485</f>
        <v>9.7828943458994786</v>
      </c>
      <c r="E1486" s="1">
        <f t="shared" si="23"/>
        <v>-2.2671887748722011</v>
      </c>
      <c r="F1486" s="7">
        <f>SQRT(IRS_returns_2015_25[[#This Row],[  σ2]])</f>
        <v>3.1277618748714677</v>
      </c>
    </row>
    <row r="1487" spans="1:6" x14ac:dyDescent="0.3">
      <c r="A1487" s="2">
        <v>44207</v>
      </c>
      <c r="B1487" s="1">
        <v>-1.8223829213178444</v>
      </c>
      <c r="C1487" s="1">
        <f>IRS_returns_2015_25[[#This Row],[IRSrtn]]-AVERAGE($B$2:$B$2600)</f>
        <v>-1.8281594153844603</v>
      </c>
      <c r="D1487" s="1">
        <f>w+a*C1486^2+b*D1486</f>
        <v>8.8491567495695165</v>
      </c>
      <c r="E1487" s="1">
        <f t="shared" si="23"/>
        <v>-2.1979405981906366</v>
      </c>
      <c r="F1487" s="7">
        <f>SQRT(IRS_returns_2015_25[[#This Row],[  σ2]])</f>
        <v>2.9747532249868249</v>
      </c>
    </row>
    <row r="1488" spans="1:6" x14ac:dyDescent="0.3">
      <c r="A1488" s="2">
        <v>44208</v>
      </c>
      <c r="B1488" s="1">
        <v>9.4264671848057766</v>
      </c>
      <c r="C1488" s="1">
        <f>IRS_returns_2015_25[[#This Row],[IRSrtn]]-AVERAGE($B$2:$B$2600)</f>
        <v>9.4206906907391605</v>
      </c>
      <c r="D1488" s="1">
        <f>w+a*C1487^2+b*D1487</f>
        <v>8.0506141814875534</v>
      </c>
      <c r="E1488" s="1">
        <f t="shared" si="23"/>
        <v>-7.4737780916194447</v>
      </c>
      <c r="F1488" s="7">
        <f>SQRT(IRS_returns_2015_25[[#This Row],[  σ2]])</f>
        <v>2.8373604250231503</v>
      </c>
    </row>
    <row r="1489" spans="1:6" x14ac:dyDescent="0.3">
      <c r="A1489" s="2">
        <v>44209</v>
      </c>
      <c r="B1489" s="1">
        <v>-1.4752436386299417</v>
      </c>
      <c r="C1489" s="1">
        <f>IRS_returns_2015_25[[#This Row],[IRSrtn]]-AVERAGE($B$2:$B$2600)</f>
        <v>-1.4810201326965575</v>
      </c>
      <c r="D1489" s="1">
        <f>w+a*C1488^2+b*D1488</f>
        <v>28.328466844265005</v>
      </c>
      <c r="E1489" s="1">
        <f t="shared" si="23"/>
        <v>-2.6295862029327131</v>
      </c>
      <c r="F1489" s="7">
        <f>SQRT(IRS_returns_2015_25[[#This Row],[  σ2]])</f>
        <v>5.322449327543195</v>
      </c>
    </row>
    <row r="1490" spans="1:6" x14ac:dyDescent="0.3">
      <c r="A1490" s="2">
        <v>44210</v>
      </c>
      <c r="B1490" s="1">
        <v>2.7226658375424373</v>
      </c>
      <c r="C1490" s="1">
        <f>IRS_returns_2015_25[[#This Row],[IRSrtn]]-AVERAGE($B$2:$B$2600)</f>
        <v>2.7168893434758217</v>
      </c>
      <c r="D1490" s="1">
        <f>w+a*C1489^2+b*D1489</f>
        <v>20.738424725987926</v>
      </c>
      <c r="E1490" s="1">
        <f t="shared" si="23"/>
        <v>-2.6128991076696089</v>
      </c>
      <c r="F1490" s="7">
        <f>SQRT(IRS_returns_2015_25[[#This Row],[  σ2]])</f>
        <v>4.5539460609440603</v>
      </c>
    </row>
    <row r="1491" spans="1:6" x14ac:dyDescent="0.3">
      <c r="A1491" s="2">
        <v>44211</v>
      </c>
      <c r="B1491" s="1">
        <v>-8.4010767997772184</v>
      </c>
      <c r="C1491" s="1">
        <f>IRS_returns_2015_25[[#This Row],[IRSrtn]]-AVERAGE($B$2:$B$2600)</f>
        <v>-8.4068532938438345</v>
      </c>
      <c r="D1491" s="1">
        <f>w+a*C1490^2+b*D1490</f>
        <v>16.949678175196642</v>
      </c>
      <c r="E1491" s="1">
        <f t="shared" si="23"/>
        <v>-4.4189161784751469</v>
      </c>
      <c r="F1491" s="7">
        <f>SQRT(IRS_returns_2015_25[[#This Row],[  σ2]])</f>
        <v>4.1169986853527947</v>
      </c>
    </row>
    <row r="1492" spans="1:6" x14ac:dyDescent="0.3">
      <c r="A1492" s="2">
        <v>44215</v>
      </c>
      <c r="B1492" s="1">
        <v>11.252578112046452</v>
      </c>
      <c r="C1492" s="1">
        <f>IRS_returns_2015_25[[#This Row],[IRSrtn]]-AVERAGE($B$2:$B$2600)</f>
        <v>11.246801617979836</v>
      </c>
      <c r="D1492" s="1">
        <f>w+a*C1491^2+b*D1491</f>
        <v>29.848940326358885</v>
      </c>
      <c r="E1492" s="1">
        <f t="shared" si="23"/>
        <v>-4.7358580470905656</v>
      </c>
      <c r="F1492" s="7">
        <f>SQRT(IRS_returns_2015_25[[#This Row],[  σ2]])</f>
        <v>5.4634183737252711</v>
      </c>
    </row>
    <row r="1493" spans="1:6" x14ac:dyDescent="0.3">
      <c r="A1493" s="2">
        <v>44216</v>
      </c>
      <c r="B1493" s="1">
        <v>-0.60422815218916792</v>
      </c>
      <c r="C1493" s="1">
        <f>IRS_returns_2015_25[[#This Row],[IRSrtn]]-AVERAGE($B$2:$B$2600)</f>
        <v>-0.61000464625578377</v>
      </c>
      <c r="D1493" s="1">
        <f>w+a*C1492^2+b*D1492</f>
        <v>52.035595341676569</v>
      </c>
      <c r="E1493" s="1">
        <f t="shared" si="23"/>
        <v>-2.8984780299091515</v>
      </c>
      <c r="F1493" s="7">
        <f>SQRT(IRS_returns_2015_25[[#This Row],[  σ2]])</f>
        <v>7.2135702215807509</v>
      </c>
    </row>
    <row r="1494" spans="1:6" x14ac:dyDescent="0.3">
      <c r="A1494" s="2">
        <v>44217</v>
      </c>
      <c r="B1494" s="1">
        <v>-3.9139690114482928</v>
      </c>
      <c r="C1494" s="1">
        <f>IRS_returns_2015_25[[#This Row],[IRSrtn]]-AVERAGE($B$2:$B$2600)</f>
        <v>-3.9197455055149084</v>
      </c>
      <c r="D1494" s="1">
        <f>w+a*C1493^2+b*D1493</f>
        <v>36.076893421569196</v>
      </c>
      <c r="E1494" s="1">
        <f t="shared" si="23"/>
        <v>-2.9247045152739566</v>
      </c>
      <c r="F1494" s="7">
        <f>SQRT(IRS_returns_2015_25[[#This Row],[  σ2]])</f>
        <v>6.0064043671375638</v>
      </c>
    </row>
    <row r="1495" spans="1:6" x14ac:dyDescent="0.3">
      <c r="A1495" s="2">
        <v>44218</v>
      </c>
      <c r="B1495" s="1">
        <v>-3.8548877522294855</v>
      </c>
      <c r="C1495" s="1">
        <f>IRS_returns_2015_25[[#This Row],[IRSrtn]]-AVERAGE($B$2:$B$2600)</f>
        <v>-3.8606642462961012</v>
      </c>
      <c r="D1495" s="1">
        <f>w+a*C1494^2+b*D1494</f>
        <v>29.105789053682052</v>
      </c>
      <c r="E1495" s="1">
        <f t="shared" si="23"/>
        <v>-2.8604511322352901</v>
      </c>
      <c r="F1495" s="7">
        <f>SQRT(IRS_returns_2015_25[[#This Row],[  σ2]])</f>
        <v>5.3949781328270507</v>
      </c>
    </row>
    <row r="1496" spans="1:6" x14ac:dyDescent="0.3">
      <c r="A1496" s="2">
        <v>44222</v>
      </c>
      <c r="B1496" s="1">
        <v>-3.1044575935979646</v>
      </c>
      <c r="C1496" s="1">
        <f>IRS_returns_2015_25[[#This Row],[IRSrtn]]-AVERAGE($B$2:$B$2600)</f>
        <v>-3.1102340876645802</v>
      </c>
      <c r="D1496" s="1">
        <f>w+a*C1495^2+b*D1495</f>
        <v>24.353008315789715</v>
      </c>
      <c r="E1496" s="1">
        <f t="shared" si="23"/>
        <v>-2.7138773376437531</v>
      </c>
      <c r="F1496" s="7">
        <f>SQRT(IRS_returns_2015_25[[#This Row],[  σ2]])</f>
        <v>4.9348767275170831</v>
      </c>
    </row>
    <row r="1497" spans="1:6" x14ac:dyDescent="0.3">
      <c r="A1497" s="2">
        <v>44223</v>
      </c>
      <c r="B1497" s="1">
        <v>-5.08192276341215</v>
      </c>
      <c r="C1497" s="1">
        <f>IRS_returns_2015_25[[#This Row],[IRSrtn]]-AVERAGE($B$2:$B$2600)</f>
        <v>-5.0876992574787661</v>
      </c>
      <c r="D1497" s="1">
        <f>w+a*C1496^2+b*D1496</f>
        <v>19.914428812253597</v>
      </c>
      <c r="E1497" s="1">
        <f t="shared" si="23"/>
        <v>-3.0645585200261123</v>
      </c>
      <c r="F1497" s="7">
        <f>SQRT(IRS_returns_2015_25[[#This Row],[  σ2]])</f>
        <v>4.4625585500084588</v>
      </c>
    </row>
    <row r="1498" spans="1:6" x14ac:dyDescent="0.3">
      <c r="A1498" s="2">
        <v>44225</v>
      </c>
      <c r="B1498" s="1">
        <v>-0.71343544166357908</v>
      </c>
      <c r="C1498" s="1">
        <f>IRS_returns_2015_25[[#This Row],[IRSrtn]]-AVERAGE($B$2:$B$2600)</f>
        <v>-0.71921193573019493</v>
      </c>
      <c r="D1498" s="1">
        <f>w+a*C1497^2+b*D1497</f>
        <v>20.909429757542878</v>
      </c>
      <c r="E1498" s="1">
        <f t="shared" si="23"/>
        <v>-2.4514078534148798</v>
      </c>
      <c r="F1498" s="7">
        <f>SQRT(IRS_returns_2015_25[[#This Row],[  σ2]])</f>
        <v>4.5726829933358468</v>
      </c>
    </row>
    <row r="1499" spans="1:6" x14ac:dyDescent="0.3">
      <c r="A1499" s="2">
        <v>44228</v>
      </c>
      <c r="B1499" s="1">
        <v>2.125228996410411</v>
      </c>
      <c r="C1499" s="1">
        <f>IRS_returns_2015_25[[#This Row],[IRSrtn]]-AVERAGE($B$2:$B$2600)</f>
        <v>2.1194525023437953</v>
      </c>
      <c r="D1499" s="1">
        <f>w+a*C1498^2+b*D1498</f>
        <v>15.39105300510151</v>
      </c>
      <c r="E1499" s="1">
        <f t="shared" si="23"/>
        <v>-2.4317632168617793</v>
      </c>
      <c r="F1499" s="7">
        <f>SQRT(IRS_returns_2015_25[[#This Row],[  σ2]])</f>
        <v>3.9231432557455137</v>
      </c>
    </row>
    <row r="1500" spans="1:6" x14ac:dyDescent="0.3">
      <c r="A1500" s="2">
        <v>44229</v>
      </c>
      <c r="B1500" s="1">
        <v>1.6222810221427242</v>
      </c>
      <c r="C1500" s="1">
        <f>IRS_returns_2015_25[[#This Row],[IRSrtn]]-AVERAGE($B$2:$B$2600)</f>
        <v>1.6165045280761083</v>
      </c>
      <c r="D1500" s="1">
        <f>w+a*C1499^2+b*D1499</f>
        <v>12.685839663521961</v>
      </c>
      <c r="E1500" s="1">
        <f t="shared" si="23"/>
        <v>-2.2921739969875503</v>
      </c>
      <c r="F1500" s="7">
        <f>SQRT(IRS_returns_2015_25[[#This Row],[  σ2]])</f>
        <v>3.5617186390171192</v>
      </c>
    </row>
    <row r="1501" spans="1:6" x14ac:dyDescent="0.3">
      <c r="A1501" s="2">
        <v>44230</v>
      </c>
      <c r="B1501" s="1">
        <v>-0.23012892887479541</v>
      </c>
      <c r="C1501" s="1">
        <f>IRS_returns_2015_25[[#This Row],[IRSrtn]]-AVERAGE($B$2:$B$2600)</f>
        <v>-0.2359054229414112</v>
      </c>
      <c r="D1501" s="1">
        <f>w+a*C1500^2+b*D1500</f>
        <v>10.42711795767211</v>
      </c>
      <c r="E1501" s="1">
        <f t="shared" si="23"/>
        <v>-2.0938120756666225</v>
      </c>
      <c r="F1501" s="7">
        <f>SQRT(IRS_returns_2015_25[[#This Row],[  σ2]])</f>
        <v>3.2291048229613279</v>
      </c>
    </row>
    <row r="1502" spans="1:6" x14ac:dyDescent="0.3">
      <c r="A1502" s="2">
        <v>44231</v>
      </c>
      <c r="B1502" s="1">
        <v>-4.4766088839278462</v>
      </c>
      <c r="C1502" s="1">
        <f>IRS_returns_2015_25[[#This Row],[IRSrtn]]-AVERAGE($B$2:$B$2600)</f>
        <v>-4.4823853779944622</v>
      </c>
      <c r="D1502" s="1">
        <f>w+a*C1501^2+b*D1501</f>
        <v>8.3003305941237517</v>
      </c>
      <c r="E1502" s="1">
        <f t="shared" si="23"/>
        <v>-3.1873861115893676</v>
      </c>
      <c r="F1502" s="7">
        <f>SQRT(IRS_returns_2015_25[[#This Row],[  σ2]])</f>
        <v>2.881029433054052</v>
      </c>
    </row>
    <row r="1503" spans="1:6" x14ac:dyDescent="0.3">
      <c r="A1503" s="2">
        <v>44232</v>
      </c>
      <c r="B1503" s="1">
        <v>1.6726632359130855</v>
      </c>
      <c r="C1503" s="1">
        <f>IRS_returns_2015_25[[#This Row],[IRSrtn]]-AVERAGE($B$2:$B$2600)</f>
        <v>1.6668867418464697</v>
      </c>
      <c r="D1503" s="1">
        <f>w+a*C1502^2+b*D1502</f>
        <v>11.766290485854437</v>
      </c>
      <c r="E1503" s="1">
        <f t="shared" si="23"/>
        <v>-2.2696287173819183</v>
      </c>
      <c r="F1503" s="7">
        <f>SQRT(IRS_returns_2015_25[[#This Row],[  σ2]])</f>
        <v>3.4302026887422321</v>
      </c>
    </row>
    <row r="1504" spans="1:6" x14ac:dyDescent="0.3">
      <c r="A1504" s="2">
        <v>44235</v>
      </c>
      <c r="B1504" s="1">
        <v>0.70838820798411195</v>
      </c>
      <c r="C1504" s="1">
        <f>IRS_returns_2015_25[[#This Row],[IRSrtn]]-AVERAGE($B$2:$B$2600)</f>
        <v>0.70261171391749611</v>
      </c>
      <c r="D1504" s="1">
        <f>w+a*C1503^2+b*D1503</f>
        <v>9.8552643476278714</v>
      </c>
      <c r="E1504" s="1">
        <f t="shared" si="23"/>
        <v>-2.087987076216018</v>
      </c>
      <c r="F1504" s="7">
        <f>SQRT(IRS_returns_2015_25[[#This Row],[  σ2]])</f>
        <v>3.1393095335802541</v>
      </c>
    </row>
    <row r="1505" spans="1:6" x14ac:dyDescent="0.3">
      <c r="A1505" s="2">
        <v>44236</v>
      </c>
      <c r="B1505" s="1">
        <v>4.598498952846497</v>
      </c>
      <c r="C1505" s="1">
        <f>IRS_returns_2015_25[[#This Row],[IRSrtn]]-AVERAGE($B$2:$B$2600)</f>
        <v>4.5927224587798809</v>
      </c>
      <c r="D1505" s="1">
        <f>w+a*C1504^2+b*D1504</f>
        <v>8.0263595747836067</v>
      </c>
      <c r="E1505" s="1">
        <f t="shared" si="23"/>
        <v>-3.2742932686377628</v>
      </c>
      <c r="F1505" s="7">
        <f>SQRT(IRS_returns_2015_25[[#This Row],[  σ2]])</f>
        <v>2.8330830511623915</v>
      </c>
    </row>
    <row r="1506" spans="1:6" x14ac:dyDescent="0.3">
      <c r="A1506" s="2">
        <v>44237</v>
      </c>
      <c r="B1506" s="1">
        <v>-0.45042966262320849</v>
      </c>
      <c r="C1506" s="1">
        <f>IRS_returns_2015_25[[#This Row],[IRSrtn]]-AVERAGE($B$2:$B$2600)</f>
        <v>-0.45620615668982428</v>
      </c>
      <c r="D1506" s="1">
        <f>w+a*C1505^2+b*D1505</f>
        <v>11.827875006633288</v>
      </c>
      <c r="E1506" s="1">
        <f t="shared" si="23"/>
        <v>-2.1629660828794446</v>
      </c>
      <c r="F1506" s="7">
        <f>SQRT(IRS_returns_2015_25[[#This Row],[  σ2]])</f>
        <v>3.439167778203513</v>
      </c>
    </row>
    <row r="1507" spans="1:6" x14ac:dyDescent="0.3">
      <c r="A1507" s="2">
        <v>44238</v>
      </c>
      <c r="B1507" s="1">
        <v>-1.5927694389987312</v>
      </c>
      <c r="C1507" s="1">
        <f>IRS_returns_2015_25[[#This Row],[IRSrtn]]-AVERAGE($B$2:$B$2600)</f>
        <v>-1.5985459330653471</v>
      </c>
      <c r="D1507" s="1">
        <f>w+a*C1506^2+b*D1506</f>
        <v>9.2699879082963133</v>
      </c>
      <c r="E1507" s="1">
        <f t="shared" si="23"/>
        <v>-2.1701587203822634</v>
      </c>
      <c r="F1507" s="7">
        <f>SQRT(IRS_returns_2015_25[[#This Row],[  σ2]])</f>
        <v>3.0446654838087408</v>
      </c>
    </row>
    <row r="1508" spans="1:6" x14ac:dyDescent="0.3">
      <c r="A1508" s="2">
        <v>44239</v>
      </c>
      <c r="B1508" s="1">
        <v>1.3667691681259253</v>
      </c>
      <c r="C1508" s="1">
        <f>IRS_returns_2015_25[[#This Row],[IRSrtn]]-AVERAGE($B$2:$B$2600)</f>
        <v>1.3609926740593095</v>
      </c>
      <c r="D1508" s="1">
        <f>w+a*C1507^2+b*D1507</f>
        <v>8.1390605550045834</v>
      </c>
      <c r="E1508" s="1">
        <f t="shared" si="23"/>
        <v>-2.0810667534392251</v>
      </c>
      <c r="F1508" s="7">
        <f>SQRT(IRS_returns_2015_25[[#This Row],[  σ2]])</f>
        <v>2.8529038811366538</v>
      </c>
    </row>
    <row r="1509" spans="1:6" x14ac:dyDescent="0.3">
      <c r="A1509" s="2">
        <v>44243</v>
      </c>
      <c r="B1509" s="1">
        <v>-1.8265115793198339</v>
      </c>
      <c r="C1509" s="1">
        <f>IRS_returns_2015_25[[#This Row],[IRSrtn]]-AVERAGE($B$2:$B$2600)</f>
        <v>-1.8322880733864497</v>
      </c>
      <c r="D1509" s="1">
        <f>w+a*C1508^2+b*D1508</f>
        <v>7.2148858216860869</v>
      </c>
      <c r="E1509" s="1">
        <f t="shared" si="23"/>
        <v>-2.1396751064405257</v>
      </c>
      <c r="F1509" s="7">
        <f>SQRT(IRS_returns_2015_25[[#This Row],[  σ2]])</f>
        <v>2.6860539498837483</v>
      </c>
    </row>
    <row r="1510" spans="1:6" x14ac:dyDescent="0.3">
      <c r="A1510" s="2">
        <v>44244</v>
      </c>
      <c r="B1510" s="1">
        <v>3.6202780481202845</v>
      </c>
      <c r="C1510" s="1">
        <f>IRS_returns_2015_25[[#This Row],[IRSrtn]]-AVERAGE($B$2:$B$2600)</f>
        <v>3.6145015540536689</v>
      </c>
      <c r="D1510" s="1">
        <f>w+a*C1509^2+b*D1509</f>
        <v>6.9663349252840634</v>
      </c>
      <c r="E1510" s="1">
        <f t="shared" si="23"/>
        <v>-2.8271800698426968</v>
      </c>
      <c r="F1510" s="7">
        <f>SQRT(IRS_returns_2015_25[[#This Row],[  σ2]])</f>
        <v>2.6393815421958347</v>
      </c>
    </row>
    <row r="1511" spans="1:6" x14ac:dyDescent="0.3">
      <c r="A1511" s="2">
        <v>44245</v>
      </c>
      <c r="B1511" s="1">
        <v>-6.8992880436000492</v>
      </c>
      <c r="C1511" s="1">
        <f>IRS_returns_2015_25[[#This Row],[IRSrtn]]-AVERAGE($B$2:$B$2600)</f>
        <v>-6.9050645376666653</v>
      </c>
      <c r="D1511" s="1">
        <f>w+a*C1510^2+b*D1510</f>
        <v>9.1660620486527655</v>
      </c>
      <c r="E1511" s="1">
        <f t="shared" si="23"/>
        <v>-4.6275866671937713</v>
      </c>
      <c r="F1511" s="7">
        <f>SQRT(IRS_returns_2015_25[[#This Row],[  σ2]])</f>
        <v>3.0275505030722059</v>
      </c>
    </row>
    <row r="1512" spans="1:6" x14ac:dyDescent="0.3">
      <c r="A1512" s="2">
        <v>44246</v>
      </c>
      <c r="B1512" s="1">
        <v>1.8868579022118359</v>
      </c>
      <c r="C1512" s="1">
        <f>IRS_returns_2015_25[[#This Row],[IRSrtn]]-AVERAGE($B$2:$B$2600)</f>
        <v>1.8810814081452201</v>
      </c>
      <c r="D1512" s="1">
        <f>w+a*C1511^2+b*D1511</f>
        <v>19.064465729063162</v>
      </c>
      <c r="E1512" s="1">
        <f t="shared" si="23"/>
        <v>-2.4856543041107551</v>
      </c>
      <c r="F1512" s="7">
        <f>SQRT(IRS_returns_2015_25[[#This Row],[  σ2]])</f>
        <v>4.3662874079775325</v>
      </c>
    </row>
    <row r="1513" spans="1:6" x14ac:dyDescent="0.3">
      <c r="A1513" s="2">
        <v>44249</v>
      </c>
      <c r="B1513" s="1">
        <v>-0.46837568564046528</v>
      </c>
      <c r="C1513" s="1">
        <f>IRS_returns_2015_25[[#This Row],[IRSrtn]]-AVERAGE($B$2:$B$2600)</f>
        <v>-0.47415217970708107</v>
      </c>
      <c r="D1513" s="1">
        <f>w+a*C1512^2+b*D1512</f>
        <v>14.898944651863083</v>
      </c>
      <c r="E1513" s="1">
        <f t="shared" si="23"/>
        <v>-2.2771285634680383</v>
      </c>
      <c r="F1513" s="7">
        <f>SQRT(IRS_returns_2015_25[[#This Row],[  σ2]])</f>
        <v>3.8599151094114856</v>
      </c>
    </row>
    <row r="1514" spans="1:6" x14ac:dyDescent="0.3">
      <c r="A1514" s="2">
        <v>44250</v>
      </c>
      <c r="B1514" s="1">
        <v>-0.23502966112225465</v>
      </c>
      <c r="C1514" s="1">
        <f>IRS_returns_2015_25[[#This Row],[IRSrtn]]-AVERAGE($B$2:$B$2600)</f>
        <v>-0.24080615518887044</v>
      </c>
      <c r="D1514" s="1">
        <f>w+a*C1513^2+b*D1513</f>
        <v>11.318518332000002</v>
      </c>
      <c r="E1514" s="1">
        <f t="shared" si="23"/>
        <v>-2.1347202458447239</v>
      </c>
      <c r="F1514" s="7">
        <f>SQRT(IRS_returns_2015_25[[#This Row],[  σ2]])</f>
        <v>3.3643005709954039</v>
      </c>
    </row>
    <row r="1515" spans="1:6" x14ac:dyDescent="0.3">
      <c r="A1515" s="2">
        <v>44252</v>
      </c>
      <c r="B1515" s="1">
        <v>-3.5931942897823088</v>
      </c>
      <c r="C1515" s="1">
        <f>IRS_returns_2015_25[[#This Row],[IRSrtn]]-AVERAGE($B$2:$B$2600)</f>
        <v>-3.5989707838489244</v>
      </c>
      <c r="D1515" s="1">
        <f>w+a*C1514^2+b*D1514</f>
        <v>8.8943199448896397</v>
      </c>
      <c r="E1515" s="1">
        <f t="shared" si="23"/>
        <v>-2.7397833045160809</v>
      </c>
      <c r="F1515" s="7">
        <f>SQRT(IRS_returns_2015_25[[#This Row],[  σ2]])</f>
        <v>2.9823346466970535</v>
      </c>
    </row>
    <row r="1516" spans="1:6" x14ac:dyDescent="0.3">
      <c r="A1516" s="2">
        <v>44253</v>
      </c>
      <c r="B1516" s="1">
        <v>1.2121428458851113</v>
      </c>
      <c r="C1516" s="1">
        <f>IRS_returns_2015_25[[#This Row],[IRSrtn]]-AVERAGE($B$2:$B$2600)</f>
        <v>1.2063663518184955</v>
      </c>
      <c r="D1516" s="1">
        <f>w+a*C1515^2+b*D1515</f>
        <v>10.422257625294257</v>
      </c>
      <c r="E1516" s="1">
        <f t="shared" si="23"/>
        <v>-2.1607282466817503</v>
      </c>
      <c r="F1516" s="7">
        <f>SQRT(IRS_returns_2015_25[[#This Row],[  σ2]])</f>
        <v>3.2283521532345656</v>
      </c>
    </row>
    <row r="1517" spans="1:6" x14ac:dyDescent="0.3">
      <c r="A1517" s="2">
        <v>44256</v>
      </c>
      <c r="B1517" s="1">
        <v>-1.4563280483846253</v>
      </c>
      <c r="C1517" s="1">
        <f>IRS_returns_2015_25[[#This Row],[IRSrtn]]-AVERAGE($B$2:$B$2600)</f>
        <v>-1.4621045424512411</v>
      </c>
      <c r="D1517" s="1">
        <f>w+a*C1516^2+b*D1516</f>
        <v>8.6381238731327219</v>
      </c>
      <c r="E1517" s="1">
        <f t="shared" si="23"/>
        <v>-2.1207704764340765</v>
      </c>
      <c r="F1517" s="7">
        <f>SQRT(IRS_returns_2015_25[[#This Row],[  σ2]])</f>
        <v>2.9390685383523674</v>
      </c>
    </row>
    <row r="1518" spans="1:6" x14ac:dyDescent="0.3">
      <c r="A1518" s="2">
        <v>44257</v>
      </c>
      <c r="B1518" s="1">
        <v>-0.73623008226286757</v>
      </c>
      <c r="C1518" s="1">
        <f>IRS_returns_2015_25[[#This Row],[IRSrtn]]-AVERAGE($B$2:$B$2600)</f>
        <v>-0.74200657632948341</v>
      </c>
      <c r="D1518" s="1">
        <f>w+a*C1517^2+b*D1517</f>
        <v>7.6166701072868808</v>
      </c>
      <c r="E1518" s="1">
        <f t="shared" si="23"/>
        <v>-1.9702508546236017</v>
      </c>
      <c r="F1518" s="7">
        <f>SQRT(IRS_returns_2015_25[[#This Row],[  σ2]])</f>
        <v>2.7598315360338357</v>
      </c>
    </row>
    <row r="1519" spans="1:6" x14ac:dyDescent="0.3">
      <c r="A1519" s="2">
        <v>44258</v>
      </c>
      <c r="B1519" s="1">
        <v>0.98041528476238149</v>
      </c>
      <c r="C1519" s="1">
        <f>IRS_returns_2015_25[[#This Row],[IRSrtn]]-AVERAGE($B$2:$B$2600)</f>
        <v>0.97463879069576564</v>
      </c>
      <c r="D1519" s="1">
        <f>w+a*C1518^2+b*D1518</f>
        <v>6.5499562142534673</v>
      </c>
      <c r="E1519" s="1">
        <f t="shared" si="23"/>
        <v>-1.9311812363911007</v>
      </c>
      <c r="F1519" s="7">
        <f>SQRT(IRS_returns_2015_25[[#This Row],[  σ2]])</f>
        <v>2.5592882241462114</v>
      </c>
    </row>
    <row r="1520" spans="1:6" x14ac:dyDescent="0.3">
      <c r="A1520" s="2">
        <v>44259</v>
      </c>
      <c r="B1520" s="1">
        <v>-1.7220709670291656</v>
      </c>
      <c r="C1520" s="1">
        <f>IRS_returns_2015_25[[#This Row],[IRSrtn]]-AVERAGE($B$2:$B$2600)</f>
        <v>-1.7278474610957815</v>
      </c>
      <c r="D1520" s="1">
        <f>w+a*C1519^2+b*D1519</f>
        <v>5.9371277546990875</v>
      </c>
      <c r="E1520" s="1">
        <f t="shared" si="23"/>
        <v>-2.0609739251396935</v>
      </c>
      <c r="F1520" s="7">
        <f>SQRT(IRS_returns_2015_25[[#This Row],[  σ2]])</f>
        <v>2.4366222018809331</v>
      </c>
    </row>
    <row r="1521" spans="1:6" x14ac:dyDescent="0.3">
      <c r="A1521" s="2">
        <v>44260</v>
      </c>
      <c r="B1521" s="1">
        <v>-2.5126809467197031</v>
      </c>
      <c r="C1521" s="1">
        <f>IRS_returns_2015_25[[#This Row],[IRSrtn]]-AVERAGE($B$2:$B$2600)</f>
        <v>-2.5184574407863187</v>
      </c>
      <c r="D1521" s="1">
        <f>w+a*C1520^2+b*D1520</f>
        <v>6.0251155010938504</v>
      </c>
      <c r="E1521" s="1">
        <f t="shared" si="23"/>
        <v>-2.3432559279346989</v>
      </c>
      <c r="F1521" s="7">
        <f>SQRT(IRS_returns_2015_25[[#This Row],[  σ2]])</f>
        <v>2.4546110692111389</v>
      </c>
    </row>
    <row r="1522" spans="1:6" x14ac:dyDescent="0.3">
      <c r="A1522" s="2">
        <v>44263</v>
      </c>
      <c r="B1522" s="1">
        <v>-2.5774695541318282</v>
      </c>
      <c r="C1522" s="1">
        <f>IRS_returns_2015_25[[#This Row],[IRSrtn]]-AVERAGE($B$2:$B$2600)</f>
        <v>-2.5832460481984438</v>
      </c>
      <c r="D1522" s="1">
        <f>w+a*C1521^2+b*D1521</f>
        <v>6.9016643600985317</v>
      </c>
      <c r="E1522" s="1">
        <f t="shared" si="23"/>
        <v>-2.3682655469346083</v>
      </c>
      <c r="F1522" s="7">
        <f>SQRT(IRS_returns_2015_25[[#This Row],[  σ2]])</f>
        <v>2.627101893741187</v>
      </c>
    </row>
    <row r="1523" spans="1:6" x14ac:dyDescent="0.3">
      <c r="A1523" s="2">
        <v>44264</v>
      </c>
      <c r="B1523" s="1">
        <v>2.831583549385619</v>
      </c>
      <c r="C1523" s="1">
        <f>IRS_returns_2015_25[[#This Row],[IRSrtn]]-AVERAGE($B$2:$B$2600)</f>
        <v>2.8258070553190033</v>
      </c>
      <c r="D1523" s="1">
        <f>w+a*C1522^2+b*D1522</f>
        <v>7.5657316953877842</v>
      </c>
      <c r="E1523" s="1">
        <f t="shared" si="23"/>
        <v>-2.4584737030166264</v>
      </c>
      <c r="F1523" s="7">
        <f>SQRT(IRS_returns_2015_25[[#This Row],[  σ2]])</f>
        <v>2.7505875182200228</v>
      </c>
    </row>
    <row r="1524" spans="1:6" x14ac:dyDescent="0.3">
      <c r="A1524" s="2">
        <v>44265</v>
      </c>
      <c r="B1524" s="1">
        <v>2.7536216989427542</v>
      </c>
      <c r="C1524" s="1">
        <f>IRS_returns_2015_25[[#This Row],[IRSrtn]]-AVERAGE($B$2:$B$2600)</f>
        <v>2.7478452048761386</v>
      </c>
      <c r="D1524" s="1">
        <f>w+a*C1523^2+b*D1523</f>
        <v>8.3274870968576096</v>
      </c>
      <c r="E1524" s="1">
        <f t="shared" si="23"/>
        <v>-2.4320766522554567</v>
      </c>
      <c r="F1524" s="7">
        <f>SQRT(IRS_returns_2015_25[[#This Row],[  σ2]])</f>
        <v>2.8857385704283072</v>
      </c>
    </row>
    <row r="1525" spans="1:6" x14ac:dyDescent="0.3">
      <c r="A1525" s="2">
        <v>44266</v>
      </c>
      <c r="B1525" s="1">
        <v>0.24660093478994227</v>
      </c>
      <c r="C1525" s="1">
        <f>IRS_returns_2015_25[[#This Row],[IRSrtn]]-AVERAGE($B$2:$B$2600)</f>
        <v>0.24082444072332648</v>
      </c>
      <c r="D1525" s="1">
        <f>w+a*C1524^2+b*D1524</f>
        <v>8.7287267183318811</v>
      </c>
      <c r="E1525" s="1">
        <f t="shared" si="23"/>
        <v>-2.0055704447514109</v>
      </c>
      <c r="F1525" s="7">
        <f>SQRT(IRS_returns_2015_25[[#This Row],[  σ2]])</f>
        <v>2.9544418624051278</v>
      </c>
    </row>
    <row r="1526" spans="1:6" x14ac:dyDescent="0.3">
      <c r="A1526" s="2">
        <v>44270</v>
      </c>
      <c r="B1526" s="1">
        <v>6.669167014575339</v>
      </c>
      <c r="C1526" s="1">
        <f>IRS_returns_2015_25[[#This Row],[IRSrtn]]-AVERAGE($B$2:$B$2600)</f>
        <v>6.6633905205087229</v>
      </c>
      <c r="D1526" s="1">
        <f>w+a*C1525^2+b*D1525</f>
        <v>7.1702545294392248</v>
      </c>
      <c r="E1526" s="1">
        <f t="shared" si="23"/>
        <v>-5.0000874286181496</v>
      </c>
      <c r="F1526" s="7">
        <f>SQRT(IRS_returns_2015_25[[#This Row],[  σ2]])</f>
        <v>2.6777330952578571</v>
      </c>
    </row>
    <row r="1527" spans="1:6" x14ac:dyDescent="0.3">
      <c r="A1527" s="2">
        <v>44271</v>
      </c>
      <c r="B1527" s="1">
        <v>-6.669167014575339</v>
      </c>
      <c r="C1527" s="1">
        <f>IRS_returns_2015_25[[#This Row],[IRSrtn]]-AVERAGE($B$2:$B$2600)</f>
        <v>-6.6749435086419551</v>
      </c>
      <c r="D1527" s="1">
        <f>w+a*C1526^2+b*D1526</f>
        <v>16.936860863418634</v>
      </c>
      <c r="E1527" s="1">
        <f t="shared" si="23"/>
        <v>-3.649007288398201</v>
      </c>
      <c r="F1527" s="7">
        <f>SQRT(IRS_returns_2015_25[[#This Row],[  σ2]])</f>
        <v>4.1154417579913138</v>
      </c>
    </row>
    <row r="1528" spans="1:6" x14ac:dyDescent="0.3">
      <c r="A1528" s="2">
        <v>44272</v>
      </c>
      <c r="B1528" s="1">
        <v>3.6279880398398134</v>
      </c>
      <c r="C1528" s="1">
        <f>IRS_returns_2015_25[[#This Row],[IRSrtn]]-AVERAGE($B$2:$B$2600)</f>
        <v>3.6222115457731978</v>
      </c>
      <c r="D1528" s="1">
        <f>w+a*C1527^2+b*D1527</f>
        <v>23.47619978059663</v>
      </c>
      <c r="E1528" s="1">
        <f t="shared" si="23"/>
        <v>-2.776372907774229</v>
      </c>
      <c r="F1528" s="7">
        <f>SQRT(IRS_returns_2015_25[[#This Row],[  σ2]])</f>
        <v>4.8452244303640501</v>
      </c>
    </row>
    <row r="1529" spans="1:6" x14ac:dyDescent="0.3">
      <c r="A1529" s="2">
        <v>44273</v>
      </c>
      <c r="B1529" s="1">
        <v>-6.3747050982182918</v>
      </c>
      <c r="C1529" s="1">
        <f>IRS_returns_2015_25[[#This Row],[IRSrtn]]-AVERAGE($B$2:$B$2600)</f>
        <v>-6.3804815922849079</v>
      </c>
      <c r="D1529" s="1">
        <f>w+a*C1528^2+b*D1528</f>
        <v>20.170549455919275</v>
      </c>
      <c r="E1529" s="1">
        <f t="shared" si="23"/>
        <v>-3.4302083954092639</v>
      </c>
      <c r="F1529" s="7">
        <f>SQRT(IRS_returns_2015_25[[#This Row],[  σ2]])</f>
        <v>4.4911634857706169</v>
      </c>
    </row>
    <row r="1530" spans="1:6" x14ac:dyDescent="0.3">
      <c r="A1530" s="2">
        <v>44277</v>
      </c>
      <c r="B1530" s="1">
        <v>0.25284319360210361</v>
      </c>
      <c r="C1530" s="1">
        <f>IRS_returns_2015_25[[#This Row],[IRSrtn]]-AVERAGE($B$2:$B$2600)</f>
        <v>0.24706669953548782</v>
      </c>
      <c r="D1530" s="1">
        <f>w+a*C1529^2+b*D1529</f>
        <v>24.692251304671771</v>
      </c>
      <c r="E1530" s="1">
        <f t="shared" si="23"/>
        <v>-2.5234193290829952</v>
      </c>
      <c r="F1530" s="7">
        <f>SQRT(IRS_returns_2015_25[[#This Row],[  σ2]])</f>
        <v>4.9691298337507517</v>
      </c>
    </row>
    <row r="1531" spans="1:6" x14ac:dyDescent="0.3">
      <c r="A1531" s="2">
        <v>44278</v>
      </c>
      <c r="B1531" s="1">
        <v>-3.8614759897528605</v>
      </c>
      <c r="C1531" s="1">
        <f>IRS_returns_2015_25[[#This Row],[IRSrtn]]-AVERAGE($B$2:$B$2600)</f>
        <v>-3.8672524838194762</v>
      </c>
      <c r="D1531" s="1">
        <f>w+a*C1530^2+b*D1530</f>
        <v>17.79818169590197</v>
      </c>
      <c r="E1531" s="1">
        <f t="shared" si="23"/>
        <v>-2.7786318989370269</v>
      </c>
      <c r="F1531" s="7">
        <f>SQRT(IRS_returns_2015_25[[#This Row],[  σ2]])</f>
        <v>4.2187891267402744</v>
      </c>
    </row>
    <row r="1532" spans="1:6" x14ac:dyDescent="0.3">
      <c r="A1532" s="2">
        <v>44279</v>
      </c>
      <c r="B1532" s="1">
        <v>1.5625301270078662</v>
      </c>
      <c r="C1532" s="1">
        <f>IRS_returns_2015_25[[#This Row],[IRSrtn]]-AVERAGE($B$2:$B$2600)</f>
        <v>1.5567536329412504</v>
      </c>
      <c r="D1532" s="1">
        <f>w+a*C1531^2+b*D1531</f>
        <v>16.837750136212239</v>
      </c>
      <c r="E1532" s="1">
        <f t="shared" si="23"/>
        <v>-2.4027159593976681</v>
      </c>
      <c r="F1532" s="7">
        <f>SQRT(IRS_returns_2015_25[[#This Row],[  σ2]])</f>
        <v>4.1033827674508068</v>
      </c>
    </row>
    <row r="1533" spans="1:6" x14ac:dyDescent="0.3">
      <c r="A1533" s="2">
        <v>44280</v>
      </c>
      <c r="B1533" s="1">
        <v>-1.3004230486743484</v>
      </c>
      <c r="C1533" s="1">
        <f>IRS_returns_2015_25[[#This Row],[IRSrtn]]-AVERAGE($B$2:$B$2600)</f>
        <v>-1.3061995427409643</v>
      </c>
      <c r="D1533" s="1">
        <f>w+a*C1532^2+b*D1532</f>
        <v>13.144916933354803</v>
      </c>
      <c r="E1533" s="1">
        <f t="shared" si="23"/>
        <v>-2.2718540877145696</v>
      </c>
      <c r="F1533" s="7">
        <f>SQRT(IRS_returns_2015_25[[#This Row],[  σ2]])</f>
        <v>3.6255919424770906</v>
      </c>
    </row>
    <row r="1534" spans="1:6" x14ac:dyDescent="0.3">
      <c r="A1534" s="2">
        <v>44281</v>
      </c>
      <c r="B1534" s="1">
        <v>1.041670274029971</v>
      </c>
      <c r="C1534" s="1">
        <f>IRS_returns_2015_25[[#This Row],[IRSrtn]]-AVERAGE($B$2:$B$2600)</f>
        <v>1.0358937799633552</v>
      </c>
      <c r="D1534" s="1">
        <f>w+a*C1533^2+b*D1533</f>
        <v>10.511760170913044</v>
      </c>
      <c r="E1534" s="1">
        <f t="shared" si="23"/>
        <v>-2.1462275425245174</v>
      </c>
      <c r="F1534" s="7">
        <f>SQRT(IRS_returns_2015_25[[#This Row],[  σ2]])</f>
        <v>3.2421844751514439</v>
      </c>
    </row>
    <row r="1535" spans="1:6" x14ac:dyDescent="0.3">
      <c r="A1535" s="2">
        <v>44284</v>
      </c>
      <c r="B1535" s="1">
        <v>1.7972358731792593</v>
      </c>
      <c r="C1535" s="1">
        <f>IRS_returns_2015_25[[#This Row],[IRSrtn]]-AVERAGE($B$2:$B$2600)</f>
        <v>1.7914593791126434</v>
      </c>
      <c r="D1535" s="1">
        <f>w+a*C1534^2+b*D1534</f>
        <v>8.6045735876279501</v>
      </c>
      <c r="E1535" s="1">
        <f t="shared" si="23"/>
        <v>-2.1815750549513133</v>
      </c>
      <c r="F1535" s="7">
        <f>SQRT(IRS_returns_2015_25[[#This Row],[  σ2]])</f>
        <v>2.933355346293379</v>
      </c>
    </row>
    <row r="1536" spans="1:6" x14ac:dyDescent="0.3">
      <c r="A1536" s="2">
        <v>44285</v>
      </c>
      <c r="B1536" s="1">
        <v>1.7654765599601552</v>
      </c>
      <c r="C1536" s="1">
        <f>IRS_returns_2015_25[[#This Row],[IRSrtn]]-AVERAGE($B$2:$B$2600)</f>
        <v>1.7597000658935393</v>
      </c>
      <c r="D1536" s="1">
        <f>w+a*C1535^2+b*D1535</f>
        <v>7.8554246131383927</v>
      </c>
      <c r="E1536" s="1">
        <f t="shared" si="23"/>
        <v>-2.1466366190604731</v>
      </c>
      <c r="F1536" s="7">
        <f>SQRT(IRS_returns_2015_25[[#This Row],[  σ2]])</f>
        <v>2.8027530417677533</v>
      </c>
    </row>
    <row r="1537" spans="1:6" x14ac:dyDescent="0.3">
      <c r="A1537" s="2">
        <v>44286</v>
      </c>
      <c r="B1537" s="1">
        <v>-2.7885120515288797</v>
      </c>
      <c r="C1537" s="1">
        <f>IRS_returns_2015_25[[#This Row],[IRSrtn]]-AVERAGE($B$2:$B$2600)</f>
        <v>-2.7942885455954953</v>
      </c>
      <c r="D1537" s="1">
        <f>w+a*C1536^2+b*D1536</f>
        <v>7.3292242180018068</v>
      </c>
      <c r="E1537" s="1">
        <f t="shared" si="23"/>
        <v>-2.4475387821135364</v>
      </c>
      <c r="F1537" s="7">
        <f>SQRT(IRS_returns_2015_25[[#This Row],[  σ2]])</f>
        <v>2.7072539995356562</v>
      </c>
    </row>
    <row r="1538" spans="1:6" x14ac:dyDescent="0.3">
      <c r="A1538" s="2">
        <v>44287</v>
      </c>
      <c r="B1538" s="1">
        <v>0.76824534684900581</v>
      </c>
      <c r="C1538" s="1">
        <f>IRS_returns_2015_25[[#This Row],[IRSrtn]]-AVERAGE($B$2:$B$2600)</f>
        <v>0.76246885278238996</v>
      </c>
      <c r="D1538" s="1">
        <f>w+a*C1537^2+b*D1537</f>
        <v>8.1268807180278309</v>
      </c>
      <c r="E1538" s="1">
        <f t="shared" ref="E1538:E1601" si="24">-0.5*(LN(2*PI())+LN(D1538)+C1538^2/D1538)</f>
        <v>-2.0022947643372819</v>
      </c>
      <c r="F1538" s="7">
        <f>SQRT(IRS_returns_2015_25[[#This Row],[  σ2]])</f>
        <v>2.850768443425006</v>
      </c>
    </row>
    <row r="1539" spans="1:6" x14ac:dyDescent="0.3">
      <c r="A1539" s="2">
        <v>44291</v>
      </c>
      <c r="B1539" s="1">
        <v>1.2674442164697819</v>
      </c>
      <c r="C1539" s="1">
        <f>IRS_returns_2015_25[[#This Row],[IRSrtn]]-AVERAGE($B$2:$B$2600)</f>
        <v>1.261667722403166</v>
      </c>
      <c r="D1539" s="1">
        <f>w+a*C1538^2+b*D1538</f>
        <v>6.8971127013561615</v>
      </c>
      <c r="E1539" s="1">
        <f t="shared" si="24"/>
        <v>-1.9998864786591661</v>
      </c>
      <c r="F1539" s="7">
        <f>SQRT(IRS_returns_2015_25[[#This Row],[  σ2]])</f>
        <v>2.6262354619028665</v>
      </c>
    </row>
    <row r="1540" spans="1:6" x14ac:dyDescent="0.3">
      <c r="A1540" s="2">
        <v>44292</v>
      </c>
      <c r="B1540" s="1">
        <v>2.9779126394992916</v>
      </c>
      <c r="C1540" s="1">
        <f>IRS_returns_2015_25[[#This Row],[IRSrtn]]-AVERAGE($B$2:$B$2600)</f>
        <v>2.972136145432676</v>
      </c>
      <c r="D1540" s="1">
        <f>w+a*C1539^2+b*D1539</f>
        <v>6.3246306815721294</v>
      </c>
      <c r="E1540" s="1">
        <f t="shared" si="24"/>
        <v>-2.5395128994245262</v>
      </c>
      <c r="F1540" s="7">
        <f>SQRT(IRS_returns_2015_25[[#This Row],[  σ2]])</f>
        <v>2.5148818424673811</v>
      </c>
    </row>
    <row r="1541" spans="1:6" x14ac:dyDescent="0.3">
      <c r="A1541" s="2">
        <v>44293</v>
      </c>
      <c r="B1541" s="1">
        <v>-3.7364527159955641</v>
      </c>
      <c r="C1541" s="1">
        <f>IRS_returns_2015_25[[#This Row],[IRSrtn]]-AVERAGE($B$2:$B$2600)</f>
        <v>-3.7422292100621797</v>
      </c>
      <c r="D1541" s="1">
        <f>w+a*C1540^2+b*D1540</f>
        <v>7.7079797618868211</v>
      </c>
      <c r="E1541" s="1">
        <f t="shared" si="24"/>
        <v>-2.8484939588319547</v>
      </c>
      <c r="F1541" s="7">
        <f>SQRT(IRS_returns_2015_25[[#This Row],[  σ2]])</f>
        <v>2.7763248660570725</v>
      </c>
    </row>
    <row r="1542" spans="1:6" x14ac:dyDescent="0.3">
      <c r="A1542" s="2">
        <v>44294</v>
      </c>
      <c r="B1542" s="1">
        <v>1.7610632733564779</v>
      </c>
      <c r="C1542" s="1">
        <f>IRS_returns_2015_25[[#This Row],[IRSrtn]]-AVERAGE($B$2:$B$2600)</f>
        <v>1.7552867792898621</v>
      </c>
      <c r="D1542" s="1">
        <f>w+a*C1541^2+b*D1541</f>
        <v>9.8887348603805556</v>
      </c>
      <c r="E1542" s="1">
        <f t="shared" si="24"/>
        <v>-2.2204215684269899</v>
      </c>
      <c r="F1542" s="7">
        <f>SQRT(IRS_returns_2015_25[[#This Row],[  σ2]])</f>
        <v>3.1446358867729911</v>
      </c>
    </row>
    <row r="1543" spans="1:6" x14ac:dyDescent="0.3">
      <c r="A1543" s="2">
        <v>44295</v>
      </c>
      <c r="B1543" s="1">
        <v>-1.2547145044001562</v>
      </c>
      <c r="C1543" s="1">
        <f>IRS_returns_2015_25[[#This Row],[IRSrtn]]-AVERAGE($B$2:$B$2600)</f>
        <v>-1.260490998466772</v>
      </c>
      <c r="D1543" s="1">
        <f>w+a*C1542^2+b*D1542</f>
        <v>8.6790531807520601</v>
      </c>
      <c r="E1543" s="1">
        <f t="shared" si="24"/>
        <v>-2.0909276395062038</v>
      </c>
      <c r="F1543" s="7">
        <f>SQRT(IRS_returns_2015_25[[#This Row],[  σ2]])</f>
        <v>2.9460232824524759</v>
      </c>
    </row>
    <row r="1544" spans="1:6" x14ac:dyDescent="0.3">
      <c r="A1544" s="2">
        <v>44298</v>
      </c>
      <c r="B1544" s="1">
        <v>1.5037862489936327</v>
      </c>
      <c r="C1544" s="1">
        <f>IRS_returns_2015_25[[#This Row],[IRSrtn]]-AVERAGE($B$2:$B$2600)</f>
        <v>1.4980097549270168</v>
      </c>
      <c r="D1544" s="1">
        <f>w+a*C1543^2+b*D1543</f>
        <v>7.5101751164715935</v>
      </c>
      <c r="E1544" s="1">
        <f t="shared" si="24"/>
        <v>-2.0764674522212081</v>
      </c>
      <c r="F1544" s="7">
        <f>SQRT(IRS_returns_2015_25[[#This Row],[  σ2]])</f>
        <v>2.7404698714767135</v>
      </c>
    </row>
    <row r="1545" spans="1:6" x14ac:dyDescent="0.3">
      <c r="A1545" s="2">
        <v>44299</v>
      </c>
      <c r="B1545" s="1">
        <v>1.4814933164190025</v>
      </c>
      <c r="C1545" s="1">
        <f>IRS_returns_2015_25[[#This Row],[IRSrtn]]-AVERAGE($B$2:$B$2600)</f>
        <v>1.4757168223523867</v>
      </c>
      <c r="D1545" s="1">
        <f>w+a*C1544^2+b*D1544</f>
        <v>6.8916717263942679</v>
      </c>
      <c r="E1545" s="1">
        <f t="shared" si="24"/>
        <v>-2.0420933358536426</v>
      </c>
      <c r="F1545" s="7">
        <f>SQRT(IRS_returns_2015_25[[#This Row],[  σ2]])</f>
        <v>2.6251993688850126</v>
      </c>
    </row>
    <row r="1546" spans="1:6" x14ac:dyDescent="0.3">
      <c r="A1546" s="2">
        <v>44301</v>
      </c>
      <c r="B1546" s="1">
        <v>-4.5120252452630849</v>
      </c>
      <c r="C1546" s="1">
        <f>IRS_returns_2015_25[[#This Row],[IRSrtn]]-AVERAGE($B$2:$B$2600)</f>
        <v>-4.517801739329701</v>
      </c>
      <c r="D1546" s="1">
        <f>w+a*C1545^2+b*D1545</f>
        <v>6.4637713872789426</v>
      </c>
      <c r="E1546" s="1">
        <f t="shared" si="24"/>
        <v>-3.4308858548080328</v>
      </c>
      <c r="F1546" s="7">
        <f>SQRT(IRS_returns_2015_25[[#This Row],[  σ2]])</f>
        <v>2.5423948134148917</v>
      </c>
    </row>
    <row r="1547" spans="1:6" x14ac:dyDescent="0.3">
      <c r="A1547" s="2">
        <v>44302</v>
      </c>
      <c r="B1547" s="1">
        <v>-2.5975484501135293</v>
      </c>
      <c r="C1547" s="1">
        <f>IRS_returns_2015_25[[#This Row],[IRSrtn]]-AVERAGE($B$2:$B$2600)</f>
        <v>-2.6033249441801449</v>
      </c>
      <c r="D1547" s="1">
        <f>w+a*C1546^2+b*D1546</f>
        <v>10.621326635764984</v>
      </c>
      <c r="E1547" s="1">
        <f t="shared" si="24"/>
        <v>-2.419412599142357</v>
      </c>
      <c r="F1547" s="7">
        <f>SQRT(IRS_returns_2015_25[[#This Row],[  σ2]])</f>
        <v>3.2590376855392429</v>
      </c>
    </row>
    <row r="1548" spans="1:6" x14ac:dyDescent="0.3">
      <c r="A1548" s="2">
        <v>44305</v>
      </c>
      <c r="B1548" s="1">
        <v>-0.52772506043852196</v>
      </c>
      <c r="C1548" s="1">
        <f>IRS_returns_2015_25[[#This Row],[IRSrtn]]-AVERAGE($B$2:$B$2600)</f>
        <v>-0.53350155450513781</v>
      </c>
      <c r="D1548" s="1">
        <f>w+a*C1547^2+b*D1547</f>
        <v>10.067346878064944</v>
      </c>
      <c r="E1548" s="1">
        <f t="shared" si="24"/>
        <v>-2.0877231291810205</v>
      </c>
      <c r="F1548" s="7">
        <f>SQRT(IRS_returns_2015_25[[#This Row],[  σ2]])</f>
        <v>3.1729082681453216</v>
      </c>
    </row>
    <row r="1549" spans="1:6" x14ac:dyDescent="0.3">
      <c r="A1549" s="2">
        <v>44306</v>
      </c>
      <c r="B1549" s="1">
        <v>-1.3315626425097982</v>
      </c>
      <c r="C1549" s="1">
        <f>IRS_returns_2015_25[[#This Row],[IRSrtn]]-AVERAGE($B$2:$B$2600)</f>
        <v>-1.337339136576414</v>
      </c>
      <c r="D1549" s="1">
        <f>w+a*C1548^2+b*D1548</f>
        <v>8.1166140799012947</v>
      </c>
      <c r="E1549" s="1">
        <f t="shared" si="24"/>
        <v>-2.076068845461267</v>
      </c>
      <c r="F1549" s="7">
        <f>SQRT(IRS_returns_2015_25[[#This Row],[  σ2]])</f>
        <v>2.8489671953010083</v>
      </c>
    </row>
    <row r="1550" spans="1:6" x14ac:dyDescent="0.3">
      <c r="A1550" s="2">
        <v>44307</v>
      </c>
      <c r="B1550" s="1">
        <v>-4.6647576490637332</v>
      </c>
      <c r="C1550" s="1">
        <f>IRS_returns_2015_25[[#This Row],[IRSrtn]]-AVERAGE($B$2:$B$2600)</f>
        <v>-4.6705341431303493</v>
      </c>
      <c r="D1550" s="1">
        <f>w+a*C1549^2+b*D1549</f>
        <v>7.1843918589962481</v>
      </c>
      <c r="E1550" s="1">
        <f t="shared" si="24"/>
        <v>-3.4230384159470413</v>
      </c>
      <c r="F1550" s="7">
        <f>SQRT(IRS_returns_2015_25[[#This Row],[  σ2]])</f>
        <v>2.6803715897233817</v>
      </c>
    </row>
    <row r="1551" spans="1:6" x14ac:dyDescent="0.3">
      <c r="A1551" s="2">
        <v>44308</v>
      </c>
      <c r="B1551" s="1">
        <v>0.28049557737450659</v>
      </c>
      <c r="C1551" s="1">
        <f>IRS_returns_2015_25[[#This Row],[IRSrtn]]-AVERAGE($B$2:$B$2600)</f>
        <v>0.2747190833078908</v>
      </c>
      <c r="D1551" s="1">
        <f>w+a*C1550^2+b*D1550</f>
        <v>11.442983245212416</v>
      </c>
      <c r="E1551" s="1">
        <f t="shared" si="24"/>
        <v>-2.1409245749334382</v>
      </c>
      <c r="F1551" s="7">
        <f>SQRT(IRS_returns_2015_25[[#This Row],[  σ2]])</f>
        <v>3.3827478837791647</v>
      </c>
    </row>
    <row r="1552" spans="1:6" x14ac:dyDescent="0.3">
      <c r="A1552" s="2">
        <v>44309</v>
      </c>
      <c r="B1552" s="1">
        <v>3.8466218253987661</v>
      </c>
      <c r="C1552" s="1">
        <f>IRS_returns_2015_25[[#This Row],[IRSrtn]]-AVERAGE($B$2:$B$2600)</f>
        <v>3.8408453313321504</v>
      </c>
      <c r="D1552" s="1">
        <f>w+a*C1551^2+b*D1551</f>
        <v>8.9814380395219438</v>
      </c>
      <c r="E1552" s="1">
        <f t="shared" si="24"/>
        <v>-2.8377730395478755</v>
      </c>
      <c r="F1552" s="7">
        <f>SQRT(IRS_returns_2015_25[[#This Row],[  σ2]])</f>
        <v>2.996904743151164</v>
      </c>
    </row>
    <row r="1553" spans="1:6" x14ac:dyDescent="0.3">
      <c r="A1553" s="2">
        <v>44312</v>
      </c>
      <c r="B1553" s="1">
        <v>-1.9048319172839223</v>
      </c>
      <c r="C1553" s="1">
        <f>IRS_returns_2015_25[[#This Row],[IRSrtn]]-AVERAGE($B$2:$B$2600)</f>
        <v>-1.9106084113505382</v>
      </c>
      <c r="D1553" s="1">
        <f>w+a*C1552^2+b*D1552</f>
        <v>10.918701881153243</v>
      </c>
      <c r="E1553" s="1">
        <f t="shared" si="24"/>
        <v>-2.2813409278229191</v>
      </c>
      <c r="F1553" s="7">
        <f>SQRT(IRS_returns_2015_25[[#This Row],[  σ2]])</f>
        <v>3.3043459082174258</v>
      </c>
    </row>
    <row r="1554" spans="1:6" x14ac:dyDescent="0.3">
      <c r="A1554" s="2">
        <v>44313</v>
      </c>
      <c r="B1554" s="1">
        <v>2.4424721635743829</v>
      </c>
      <c r="C1554" s="1">
        <f>IRS_returns_2015_25[[#This Row],[IRSrtn]]-AVERAGE($B$2:$B$2600)</f>
        <v>2.4366956695077673</v>
      </c>
      <c r="D1554" s="1">
        <f>w+a*C1553^2+b*D1553</f>
        <v>9.5034518705417295</v>
      </c>
      <c r="E1554" s="1">
        <f t="shared" si="24"/>
        <v>-2.3571518219322796</v>
      </c>
      <c r="F1554" s="7">
        <f>SQRT(IRS_returns_2015_25[[#This Row],[  σ2]])</f>
        <v>3.0827669179718615</v>
      </c>
    </row>
    <row r="1555" spans="1:6" x14ac:dyDescent="0.3">
      <c r="A1555" s="2">
        <v>44314</v>
      </c>
      <c r="B1555" s="1">
        <v>-0.80754442355728262</v>
      </c>
      <c r="C1555" s="1">
        <f>IRS_returns_2015_25[[#This Row],[IRSrtn]]-AVERAGE($B$2:$B$2600)</f>
        <v>-0.81332091762389847</v>
      </c>
      <c r="D1555" s="1">
        <f>w+a*C1554^2+b*D1554</f>
        <v>9.1185382379797399</v>
      </c>
      <c r="E1555" s="1">
        <f t="shared" si="24"/>
        <v>-2.0603650513243568</v>
      </c>
      <c r="F1555" s="7">
        <f>SQRT(IRS_returns_2015_25[[#This Row],[  σ2]])</f>
        <v>3.0196917455229997</v>
      </c>
    </row>
    <row r="1556" spans="1:6" x14ac:dyDescent="0.3">
      <c r="A1556" s="2">
        <v>44315</v>
      </c>
      <c r="B1556" s="1">
        <v>1.3422945160134869</v>
      </c>
      <c r="C1556" s="1">
        <f>IRS_returns_2015_25[[#This Row],[IRSrtn]]-AVERAGE($B$2:$B$2600)</f>
        <v>1.3365180219468711</v>
      </c>
      <c r="D1556" s="1">
        <f>w+a*C1555^2+b*D1555</f>
        <v>7.5767998694068117</v>
      </c>
      <c r="E1556" s="1">
        <f t="shared" si="24"/>
        <v>-2.0493622879481763</v>
      </c>
      <c r="F1556" s="7">
        <f>SQRT(IRS_returns_2015_25[[#This Row],[  σ2]])</f>
        <v>2.7525987483479701</v>
      </c>
    </row>
    <row r="1557" spans="1:6" x14ac:dyDescent="0.3">
      <c r="A1557" s="2">
        <v>44316</v>
      </c>
      <c r="B1557" s="1">
        <v>1.8494628290367521</v>
      </c>
      <c r="C1557" s="1">
        <f>IRS_returns_2015_25[[#This Row],[IRSrtn]]-AVERAGE($B$2:$B$2600)</f>
        <v>1.8436863349701362</v>
      </c>
      <c r="D1557" s="1">
        <f>w+a*C1556^2+b*D1556</f>
        <v>6.8244935733804262</v>
      </c>
      <c r="E1557" s="1">
        <f t="shared" si="24"/>
        <v>-2.1282402055683498</v>
      </c>
      <c r="F1557" s="7">
        <f>SQRT(IRS_returns_2015_25[[#This Row],[  σ2]])</f>
        <v>2.612373168860151</v>
      </c>
    </row>
    <row r="1558" spans="1:6" x14ac:dyDescent="0.3">
      <c r="A1558" s="2">
        <v>44319</v>
      </c>
      <c r="B1558" s="1">
        <v>2.8389061472092303</v>
      </c>
      <c r="C1558" s="1">
        <f>IRS_returns_2015_25[[#This Row],[IRSrtn]]-AVERAGE($B$2:$B$2600)</f>
        <v>2.8331296531426147</v>
      </c>
      <c r="D1558" s="1">
        <f>w+a*C1557^2+b*D1557</f>
        <v>6.7166531374077225</v>
      </c>
      <c r="E1558" s="1">
        <f t="shared" si="24"/>
        <v>-2.468750136304481</v>
      </c>
      <c r="F1558" s="7">
        <f>SQRT(IRS_returns_2015_25[[#This Row],[  σ2]])</f>
        <v>2.5916506588287942</v>
      </c>
    </row>
    <row r="1559" spans="1:6" x14ac:dyDescent="0.3">
      <c r="A1559" s="2">
        <v>44320</v>
      </c>
      <c r="B1559" s="1">
        <v>-1.0230354915687245</v>
      </c>
      <c r="C1559" s="1">
        <f>IRS_returns_2015_25[[#This Row],[IRSrtn]]-AVERAGE($B$2:$B$2600)</f>
        <v>-1.0288119856353404</v>
      </c>
      <c r="D1559" s="1">
        <f>w+a*C1558^2+b*D1558</f>
        <v>7.7723376976628682</v>
      </c>
      <c r="E1559" s="1">
        <f t="shared" si="24"/>
        <v>-2.0123151273012034</v>
      </c>
      <c r="F1559" s="7">
        <f>SQRT(IRS_returns_2015_25[[#This Row],[  σ2]])</f>
        <v>2.7878912636010158</v>
      </c>
    </row>
    <row r="1560" spans="1:6" x14ac:dyDescent="0.3">
      <c r="A1560" s="2">
        <v>44321</v>
      </c>
      <c r="B1560" s="1">
        <v>2.0356895633187877</v>
      </c>
      <c r="C1560" s="1">
        <f>IRS_returns_2015_25[[#This Row],[IRSrtn]]-AVERAGE($B$2:$B$2600)</f>
        <v>2.0299130692521721</v>
      </c>
      <c r="D1560" s="1">
        <f>w+a*C1559^2+b*D1559</f>
        <v>6.7773316588856725</v>
      </c>
      <c r="E1560" s="1">
        <f t="shared" si="24"/>
        <v>-2.1797250580746845</v>
      </c>
      <c r="F1560" s="7">
        <f>SQRT(IRS_returns_2015_25[[#This Row],[  σ2]])</f>
        <v>2.6033308777190949</v>
      </c>
    </row>
    <row r="1561" spans="1:6" x14ac:dyDescent="0.3">
      <c r="A1561" s="2">
        <v>44322</v>
      </c>
      <c r="B1561" s="1">
        <v>-1.7789369873904004</v>
      </c>
      <c r="C1561" s="1">
        <f>IRS_returns_2015_25[[#This Row],[IRSrtn]]-AVERAGE($B$2:$B$2600)</f>
        <v>-1.7847134814570162</v>
      </c>
      <c r="D1561" s="1">
        <f>w+a*C1560^2+b*D1560</f>
        <v>6.8610177523017333</v>
      </c>
      <c r="E1561" s="1">
        <f t="shared" si="24"/>
        <v>-2.1139895864314822</v>
      </c>
      <c r="F1561" s="7">
        <f>SQRT(IRS_returns_2015_25[[#This Row],[  σ2]])</f>
        <v>2.619354453353294</v>
      </c>
    </row>
    <row r="1562" spans="1:6" x14ac:dyDescent="0.3">
      <c r="A1562" s="2">
        <v>44323</v>
      </c>
      <c r="B1562" s="1">
        <v>1.2739024862483461</v>
      </c>
      <c r="C1562" s="1">
        <f>IRS_returns_2015_25[[#This Row],[IRSrtn]]-AVERAGE($B$2:$B$2600)</f>
        <v>1.2681259921817303</v>
      </c>
      <c r="D1562" s="1">
        <f>w+a*C1561^2+b*D1561</f>
        <v>6.6888324250497018</v>
      </c>
      <c r="E1562" s="1">
        <f t="shared" si="24"/>
        <v>-1.9893692793994953</v>
      </c>
      <c r="F1562" s="7">
        <f>SQRT(IRS_returns_2015_25[[#This Row],[  σ2]])</f>
        <v>2.5862777161491572</v>
      </c>
    </row>
    <row r="1563" spans="1:6" x14ac:dyDescent="0.3">
      <c r="A1563" s="2">
        <v>44326</v>
      </c>
      <c r="B1563" s="1">
        <v>0.75661973486491618</v>
      </c>
      <c r="C1563" s="1">
        <f>IRS_returns_2015_25[[#This Row],[IRSrtn]]-AVERAGE($B$2:$B$2600)</f>
        <v>0.75084324079830034</v>
      </c>
      <c r="D1563" s="1">
        <f>w+a*C1562^2+b*D1562</f>
        <v>6.1899557925010589</v>
      </c>
      <c r="E1563" s="1">
        <f t="shared" si="24"/>
        <v>-1.875941245446566</v>
      </c>
      <c r="F1563" s="7">
        <f>SQRT(IRS_returns_2015_25[[#This Row],[  σ2]])</f>
        <v>2.4879621766620685</v>
      </c>
    </row>
    <row r="1564" spans="1:6" x14ac:dyDescent="0.3">
      <c r="A1564" s="2">
        <v>44327</v>
      </c>
      <c r="B1564" s="1">
        <v>-2.544673758433369</v>
      </c>
      <c r="C1564" s="1">
        <f>IRS_returns_2015_25[[#This Row],[IRSrtn]]-AVERAGE($B$2:$B$2600)</f>
        <v>-2.5504502524999846</v>
      </c>
      <c r="D1564" s="1">
        <f>w+a*C1563^2+b*D1563</f>
        <v>5.6033828319345211</v>
      </c>
      <c r="E1564" s="1">
        <f t="shared" si="24"/>
        <v>-2.3610585530128594</v>
      </c>
      <c r="F1564" s="7">
        <f>SQRT(IRS_returns_2015_25[[#This Row],[  σ2]])</f>
        <v>2.3671465590314682</v>
      </c>
    </row>
    <row r="1565" spans="1:6" x14ac:dyDescent="0.3">
      <c r="A1565" s="2">
        <v>44328</v>
      </c>
      <c r="B1565" s="1">
        <v>-2.0833969127934227</v>
      </c>
      <c r="C1565" s="1">
        <f>IRS_returns_2015_25[[#This Row],[IRSrtn]]-AVERAGE($B$2:$B$2600)</f>
        <v>-2.0891734068600383</v>
      </c>
      <c r="D1565" s="1">
        <f>w+a*C1564^2+b*D1564</f>
        <v>6.6604222178699271</v>
      </c>
      <c r="E1565" s="1">
        <f t="shared" si="24"/>
        <v>-2.194685290837957</v>
      </c>
      <c r="F1565" s="7">
        <f>SQRT(IRS_returns_2015_25[[#This Row],[  σ2]])</f>
        <v>2.5807793818670217</v>
      </c>
    </row>
    <row r="1566" spans="1:6" x14ac:dyDescent="0.3">
      <c r="A1566" s="2">
        <v>44329</v>
      </c>
      <c r="B1566" s="1">
        <v>-1.591551441419492</v>
      </c>
      <c r="C1566" s="1">
        <f>IRS_returns_2015_25[[#This Row],[IRSrtn]]-AVERAGE($B$2:$B$2600)</f>
        <v>-1.5973279354861079</v>
      </c>
      <c r="D1566" s="1">
        <f>w+a*C1565^2+b*D1565</f>
        <v>6.8426637156367773</v>
      </c>
      <c r="E1566" s="1">
        <f t="shared" si="24"/>
        <v>-2.0669644529898128</v>
      </c>
      <c r="F1566" s="7">
        <f>SQRT(IRS_returns_2015_25[[#This Row],[  σ2]])</f>
        <v>2.6158485651193146</v>
      </c>
    </row>
    <row r="1567" spans="1:6" x14ac:dyDescent="0.3">
      <c r="A1567" s="2">
        <v>44330</v>
      </c>
      <c r="B1567" s="1">
        <v>5.9680368789234217</v>
      </c>
      <c r="C1567" s="1">
        <f>IRS_returns_2015_25[[#This Row],[IRSrtn]]-AVERAGE($B$2:$B$2600)</f>
        <v>5.9622603848568057</v>
      </c>
      <c r="D1567" s="1">
        <f>w+a*C1566^2+b*D1566</f>
        <v>6.5222018483369766</v>
      </c>
      <c r="E1567" s="1">
        <f t="shared" si="24"/>
        <v>-4.5817399419993352</v>
      </c>
      <c r="F1567" s="7">
        <f>SQRT(IRS_returns_2015_25[[#This Row],[  σ2]])</f>
        <v>2.5538601857456835</v>
      </c>
    </row>
    <row r="1568" spans="1:6" x14ac:dyDescent="0.3">
      <c r="A1568" s="2">
        <v>44334</v>
      </c>
      <c r="B1568" s="1">
        <v>-1.0126540717500632</v>
      </c>
      <c r="C1568" s="1">
        <f>IRS_returns_2015_25[[#This Row],[IRSrtn]]-AVERAGE($B$2:$B$2600)</f>
        <v>-1.018430565816679</v>
      </c>
      <c r="D1568" s="1">
        <f>w+a*C1567^2+b*D1567</f>
        <v>14.348598951077911</v>
      </c>
      <c r="E1568" s="1">
        <f t="shared" si="24"/>
        <v>-2.2869076149728031</v>
      </c>
      <c r="F1568" s="7">
        <f>SQRT(IRS_returns_2015_25[[#This Row],[  σ2]])</f>
        <v>3.7879544547259161</v>
      </c>
    </row>
    <row r="1569" spans="1:6" x14ac:dyDescent="0.3">
      <c r="A1569" s="2">
        <v>44335</v>
      </c>
      <c r="B1569" s="1">
        <v>-1.0230354915687245</v>
      </c>
      <c r="C1569" s="1">
        <f>IRS_returns_2015_25[[#This Row],[IRSrtn]]-AVERAGE($B$2:$B$2600)</f>
        <v>-1.0288119856353404</v>
      </c>
      <c r="D1569" s="1">
        <f>w+a*C1568^2+b*D1568</f>
        <v>11.150080328634804</v>
      </c>
      <c r="E1569" s="1">
        <f t="shared" si="24"/>
        <v>-2.172125851875268</v>
      </c>
      <c r="F1569" s="7">
        <f>SQRT(IRS_returns_2015_25[[#This Row],[  σ2]])</f>
        <v>3.3391735996552807</v>
      </c>
    </row>
    <row r="1570" spans="1:6" x14ac:dyDescent="0.3">
      <c r="A1570" s="2">
        <v>44336</v>
      </c>
      <c r="B1570" s="1">
        <v>-2.340795874185142</v>
      </c>
      <c r="C1570" s="1">
        <f>IRS_returns_2015_25[[#This Row],[IRSrtn]]-AVERAGE($B$2:$B$2600)</f>
        <v>-2.3465723682517576</v>
      </c>
      <c r="D1570" s="1">
        <f>w+a*C1569^2+b*D1569</f>
        <v>9.0259513816277384</v>
      </c>
      <c r="E1570" s="1">
        <f t="shared" si="24"/>
        <v>-2.3240221514023758</v>
      </c>
      <c r="F1570" s="7">
        <f>SQRT(IRS_returns_2015_25[[#This Row],[  σ2]])</f>
        <v>3.0043221168223186</v>
      </c>
    </row>
    <row r="1571" spans="1:6" x14ac:dyDescent="0.3">
      <c r="A1571" s="2">
        <v>44337</v>
      </c>
      <c r="B1571" s="1">
        <v>-0.52772506043852196</v>
      </c>
      <c r="C1571" s="1">
        <f>IRS_returns_2015_25[[#This Row],[IRSrtn]]-AVERAGE($B$2:$B$2600)</f>
        <v>-0.53350155450513781</v>
      </c>
      <c r="D1571" s="1">
        <f>w+a*C1570^2+b*D1570</f>
        <v>8.6956246877939982</v>
      </c>
      <c r="E1571" s="1">
        <f t="shared" si="24"/>
        <v>-2.0167144545388065</v>
      </c>
      <c r="F1571" s="7">
        <f>SQRT(IRS_returns_2015_25[[#This Row],[  σ2]])</f>
        <v>2.948834462596027</v>
      </c>
    </row>
    <row r="1572" spans="1:6" x14ac:dyDescent="0.3">
      <c r="A1572" s="2">
        <v>44340</v>
      </c>
      <c r="B1572" s="1">
        <v>2.0943205530131292</v>
      </c>
      <c r="C1572" s="1">
        <f>IRS_returns_2015_25[[#This Row],[IRSrtn]]-AVERAGE($B$2:$B$2600)</f>
        <v>2.0885440589465136</v>
      </c>
      <c r="D1572" s="1">
        <f>w+a*C1571^2+b*D1571</f>
        <v>7.2034356918017117</v>
      </c>
      <c r="E1572" s="1">
        <f t="shared" si="24"/>
        <v>-2.208990899470729</v>
      </c>
      <c r="F1572" s="7">
        <f>SQRT(IRS_returns_2015_25[[#This Row],[  σ2]])</f>
        <v>2.6839217000131939</v>
      </c>
    </row>
    <row r="1573" spans="1:6" x14ac:dyDescent="0.3">
      <c r="A1573" s="2">
        <v>44341</v>
      </c>
      <c r="B1573" s="1">
        <v>-3.963523441813388</v>
      </c>
      <c r="C1573" s="1">
        <f>IRS_returns_2015_25[[#This Row],[IRSrtn]]-AVERAGE($B$2:$B$2600)</f>
        <v>-3.9692999358800036</v>
      </c>
      <c r="D1573" s="1">
        <f>w+a*C1572^2+b*D1572</f>
        <v>7.2035162476180714</v>
      </c>
      <c r="E1573" s="1">
        <f t="shared" si="24"/>
        <v>-2.9998100688275242</v>
      </c>
      <c r="F1573" s="7">
        <f>SQRT(IRS_returns_2015_25[[#This Row],[  σ2]])</f>
        <v>2.6839367070812368</v>
      </c>
    </row>
    <row r="1574" spans="1:6" x14ac:dyDescent="0.3">
      <c r="A1574" s="2">
        <v>44342</v>
      </c>
      <c r="B1574" s="1">
        <v>-2.7324182782774598</v>
      </c>
      <c r="C1574" s="1">
        <f>IRS_returns_2015_25[[#This Row],[IRSrtn]]-AVERAGE($B$2:$B$2600)</f>
        <v>-2.7381947723440754</v>
      </c>
      <c r="D1574" s="1">
        <f>w+a*C1573^2+b*D1573</f>
        <v>9.9795510458181411</v>
      </c>
      <c r="E1574" s="1">
        <f t="shared" si="24"/>
        <v>-2.4448612882668574</v>
      </c>
      <c r="F1574" s="7">
        <f>SQRT(IRS_returns_2015_25[[#This Row],[  σ2]])</f>
        <v>3.1590427420055813</v>
      </c>
    </row>
    <row r="1575" spans="1:6" x14ac:dyDescent="0.3">
      <c r="A1575" s="2">
        <v>44343</v>
      </c>
      <c r="B1575" s="1">
        <v>0.55249230424692097</v>
      </c>
      <c r="C1575" s="1">
        <f>IRS_returns_2015_25[[#This Row],[IRSrtn]]-AVERAGE($B$2:$B$2600)</f>
        <v>0.54671581018030513</v>
      </c>
      <c r="D1575" s="1">
        <f>w+a*C1574^2+b*D1574</f>
        <v>9.8156338340919085</v>
      </c>
      <c r="E1575" s="1">
        <f t="shared" si="24"/>
        <v>-2.0761523528099355</v>
      </c>
      <c r="F1575" s="7">
        <f>SQRT(IRS_returns_2015_25[[#This Row],[  σ2]])</f>
        <v>3.1329911959805932</v>
      </c>
    </row>
    <row r="1576" spans="1:6" x14ac:dyDescent="0.3">
      <c r="A1576" s="2">
        <v>44344</v>
      </c>
      <c r="B1576" s="1">
        <v>1.6393795254442844</v>
      </c>
      <c r="C1576" s="1">
        <f>IRS_returns_2015_25[[#This Row],[IRSrtn]]-AVERAGE($B$2:$B$2600)</f>
        <v>1.6336030313776686</v>
      </c>
      <c r="D1576" s="1">
        <f>w+a*C1575^2+b*D1575</f>
        <v>7.9525224217719162</v>
      </c>
      <c r="E1576" s="1">
        <f t="shared" si="24"/>
        <v>-2.1234700589804847</v>
      </c>
      <c r="F1576" s="7">
        <f>SQRT(IRS_returns_2015_25[[#This Row],[  σ2]])</f>
        <v>2.8200217059043919</v>
      </c>
    </row>
    <row r="1577" spans="1:6" x14ac:dyDescent="0.3">
      <c r="A1577" s="2">
        <v>44348</v>
      </c>
      <c r="B1577" s="1">
        <v>3.4623996163696713</v>
      </c>
      <c r="C1577" s="1">
        <f>IRS_returns_2015_25[[#This Row],[IRSrtn]]-AVERAGE($B$2:$B$2600)</f>
        <v>3.4566231223030557</v>
      </c>
      <c r="D1577" s="1">
        <f>w+a*C1576^2+b*D1576</f>
        <v>7.2896096591963255</v>
      </c>
      <c r="E1577" s="1">
        <f t="shared" si="24"/>
        <v>-2.7317028478922714</v>
      </c>
      <c r="F1577" s="7">
        <f>SQRT(IRS_returns_2015_25[[#This Row],[  σ2]])</f>
        <v>2.6999277136983362</v>
      </c>
    </row>
    <row r="1578" spans="1:6" x14ac:dyDescent="0.3">
      <c r="A1578" s="2">
        <v>44349</v>
      </c>
      <c r="B1578" s="1">
        <v>4.6043827071693855</v>
      </c>
      <c r="C1578" s="1">
        <f>IRS_returns_2015_25[[#This Row],[IRSrtn]]-AVERAGE($B$2:$B$2600)</f>
        <v>4.5986062131027694</v>
      </c>
      <c r="D1578" s="1">
        <f>w+a*C1577^2+b*D1577</f>
        <v>9.1092661822943111</v>
      </c>
      <c r="E1578" s="1">
        <f t="shared" si="24"/>
        <v>-3.1843355812199583</v>
      </c>
      <c r="F1578" s="7">
        <f>SQRT(IRS_returns_2015_25[[#This Row],[  σ2]])</f>
        <v>3.0181560897830169</v>
      </c>
    </row>
    <row r="1579" spans="1:6" x14ac:dyDescent="0.3">
      <c r="A1579" s="2">
        <v>44350</v>
      </c>
      <c r="B1579" s="1">
        <v>4.4017120778882424</v>
      </c>
      <c r="C1579" s="1">
        <f>IRS_returns_2015_25[[#This Row],[IRSrtn]]-AVERAGE($B$2:$B$2600)</f>
        <v>4.3959355838216263</v>
      </c>
      <c r="D1579" s="1">
        <f>w+a*C1578^2+b*D1578</f>
        <v>12.561960496716182</v>
      </c>
      <c r="E1579" s="1">
        <f t="shared" si="24"/>
        <v>-2.9534325492236766</v>
      </c>
      <c r="F1579" s="7">
        <f>SQRT(IRS_returns_2015_25[[#This Row],[  σ2]])</f>
        <v>3.5442856116171257</v>
      </c>
    </row>
    <row r="1580" spans="1:6" x14ac:dyDescent="0.3">
      <c r="A1580" s="2">
        <v>44351</v>
      </c>
      <c r="B1580" s="1">
        <v>-5.6595690672403887</v>
      </c>
      <c r="C1580" s="1">
        <f>IRS_returns_2015_25[[#This Row],[IRSrtn]]-AVERAGE($B$2:$B$2600)</f>
        <v>-5.6653455613070047</v>
      </c>
      <c r="D1580" s="1">
        <f>w+a*C1579^2+b*D1579</f>
        <v>14.416320469836233</v>
      </c>
      <c r="E1580" s="1">
        <f t="shared" si="24"/>
        <v>-3.3663066665578887</v>
      </c>
      <c r="F1580" s="7">
        <f>SQRT(IRS_returns_2015_25[[#This Row],[  σ2]])</f>
        <v>3.7968829939617881</v>
      </c>
    </row>
    <row r="1581" spans="1:6" x14ac:dyDescent="0.3">
      <c r="A1581" s="2">
        <v>44354</v>
      </c>
      <c r="B1581" s="1">
        <v>3.2381227590147388</v>
      </c>
      <c r="C1581" s="1">
        <f>IRS_returns_2015_25[[#This Row],[IRSrtn]]-AVERAGE($B$2:$B$2600)</f>
        <v>3.2323462649481232</v>
      </c>
      <c r="D1581" s="1">
        <f>w+a*C1580^2+b*D1580</f>
        <v>18.762667105184008</v>
      </c>
      <c r="E1581" s="1">
        <f t="shared" si="24"/>
        <v>-2.6632999821923407</v>
      </c>
      <c r="F1581" s="7">
        <f>SQRT(IRS_returns_2015_25[[#This Row],[  σ2]])</f>
        <v>4.3315894432856874</v>
      </c>
    </row>
    <row r="1582" spans="1:6" x14ac:dyDescent="0.3">
      <c r="A1582" s="2">
        <v>44355</v>
      </c>
      <c r="B1582" s="1">
        <v>-1.9802657696625925</v>
      </c>
      <c r="C1582" s="1">
        <f>IRS_returns_2015_25[[#This Row],[IRSrtn]]-AVERAGE($B$2:$B$2600)</f>
        <v>-1.9860422637292083</v>
      </c>
      <c r="D1582" s="1">
        <f>w+a*C1581^2+b*D1581</f>
        <v>16.381553515201361</v>
      </c>
      <c r="E1582" s="1">
        <f t="shared" si="24"/>
        <v>-2.437406900811292</v>
      </c>
      <c r="F1582" s="7">
        <f>SQRT(IRS_returns_2015_25[[#This Row],[  σ2]])</f>
        <v>4.0474131880994513</v>
      </c>
    </row>
    <row r="1583" spans="1:6" x14ac:dyDescent="0.3">
      <c r="A1583" s="2">
        <v>44356</v>
      </c>
      <c r="B1583" s="1">
        <v>3.1983145847295003</v>
      </c>
      <c r="C1583" s="1">
        <f>IRS_returns_2015_25[[#This Row],[IRSrtn]]-AVERAGE($B$2:$B$2600)</f>
        <v>3.1925380906628846</v>
      </c>
      <c r="D1583" s="1">
        <f>w+a*C1582^2+b*D1582</f>
        <v>13.211781765696857</v>
      </c>
      <c r="E1583" s="1">
        <f t="shared" si="24"/>
        <v>-2.5952206928970472</v>
      </c>
      <c r="F1583" s="7">
        <f>SQRT(IRS_returns_2015_25[[#This Row],[  σ2]])</f>
        <v>3.634801475417448</v>
      </c>
    </row>
    <row r="1584" spans="1:6" x14ac:dyDescent="0.3">
      <c r="A1584" s="2">
        <v>44357</v>
      </c>
      <c r="B1584" s="1">
        <v>-2.9486138760793867</v>
      </c>
      <c r="C1584" s="1">
        <f>IRS_returns_2015_25[[#This Row],[IRSrtn]]-AVERAGE($B$2:$B$2600)</f>
        <v>-2.9543903701460024</v>
      </c>
      <c r="D1584" s="1">
        <f>w+a*C1583^2+b*D1583</f>
        <v>12.62391979557948</v>
      </c>
      <c r="E1584" s="1">
        <f t="shared" si="24"/>
        <v>-2.5324449151544313</v>
      </c>
      <c r="F1584" s="7">
        <f>SQRT(IRS_returns_2015_25[[#This Row],[  σ2]])</f>
        <v>3.5530155918007846</v>
      </c>
    </row>
    <row r="1585" spans="1:6" x14ac:dyDescent="0.3">
      <c r="A1585" s="2">
        <v>44358</v>
      </c>
      <c r="B1585" s="1">
        <v>-1.7610632733564779</v>
      </c>
      <c r="C1585" s="1">
        <f>IRS_returns_2015_25[[#This Row],[IRSrtn]]-AVERAGE($B$2:$B$2600)</f>
        <v>-1.7668397674230938</v>
      </c>
      <c r="D1585" s="1">
        <f>w+a*C1584^2+b*D1584</f>
        <v>11.875896964142006</v>
      </c>
      <c r="E1585" s="1">
        <f t="shared" si="24"/>
        <v>-2.2876250046354234</v>
      </c>
      <c r="F1585" s="7">
        <f>SQRT(IRS_returns_2015_25[[#This Row],[  σ2]])</f>
        <v>3.4461423308015018</v>
      </c>
    </row>
    <row r="1586" spans="1:6" x14ac:dyDescent="0.3">
      <c r="A1586" s="2">
        <v>44361</v>
      </c>
      <c r="B1586" s="1">
        <v>5.1927807643801893</v>
      </c>
      <c r="C1586" s="1">
        <f>IRS_returns_2015_25[[#This Row],[IRSrtn]]-AVERAGE($B$2:$B$2600)</f>
        <v>5.1870042703135733</v>
      </c>
      <c r="D1586" s="1">
        <f>w+a*C1585^2+b*D1585</f>
        <v>10.011854579050762</v>
      </c>
      <c r="E1586" s="1">
        <f t="shared" si="24"/>
        <v>-3.4144812728378078</v>
      </c>
      <c r="F1586" s="7">
        <f>SQRT(IRS_returns_2015_25[[#This Row],[  σ2]])</f>
        <v>3.1641514785248135</v>
      </c>
    </row>
    <row r="1587" spans="1:6" x14ac:dyDescent="0.3">
      <c r="A1587" s="2">
        <v>44362</v>
      </c>
      <c r="B1587" s="1">
        <v>-1.2121428458851113</v>
      </c>
      <c r="C1587" s="1">
        <f>IRS_returns_2015_25[[#This Row],[IRSrtn]]-AVERAGE($B$2:$B$2600)</f>
        <v>-1.2179193399517272</v>
      </c>
      <c r="D1587" s="1">
        <f>w+a*C1586^2+b*D1586</f>
        <v>14.565723648309669</v>
      </c>
      <c r="E1587" s="1">
        <f t="shared" si="24"/>
        <v>-2.3091924984032408</v>
      </c>
      <c r="F1587" s="7">
        <f>SQRT(IRS_returns_2015_25[[#This Row],[  σ2]])</f>
        <v>3.8165067336911211</v>
      </c>
    </row>
    <row r="1588" spans="1:6" x14ac:dyDescent="0.3">
      <c r="A1588" s="2">
        <v>44363</v>
      </c>
      <c r="B1588" s="1">
        <v>0.24359724927649484</v>
      </c>
      <c r="C1588" s="1">
        <f>IRS_returns_2015_25[[#This Row],[IRSrtn]]-AVERAGE($B$2:$B$2600)</f>
        <v>0.23782075520987905</v>
      </c>
      <c r="D1588" s="1">
        <f>w+a*C1587^2+b*D1587</f>
        <v>11.403322536047682</v>
      </c>
      <c r="E1588" s="1">
        <f t="shared" si="24"/>
        <v>-2.1383708374096901</v>
      </c>
      <c r="F1588" s="7">
        <f>SQRT(IRS_returns_2015_25[[#This Row],[  σ2]])</f>
        <v>3.3768805925065934</v>
      </c>
    </row>
    <row r="1589" spans="1:6" x14ac:dyDescent="0.3">
      <c r="A1589" s="2">
        <v>44364</v>
      </c>
      <c r="B1589" s="1">
        <v>-2.7128726030652084</v>
      </c>
      <c r="C1589" s="1">
        <f>IRS_returns_2015_25[[#This Row],[IRSrtn]]-AVERAGE($B$2:$B$2600)</f>
        <v>-2.718649097131824</v>
      </c>
      <c r="D1589" s="1">
        <f>w+a*C1588^2+b*D1588</f>
        <v>8.950427371491692</v>
      </c>
      <c r="E1589" s="1">
        <f t="shared" si="24"/>
        <v>-2.4276774424359795</v>
      </c>
      <c r="F1589" s="7">
        <f>SQRT(IRS_returns_2015_25[[#This Row],[  σ2]])</f>
        <v>2.9917264867450184</v>
      </c>
    </row>
    <row r="1590" spans="1:6" x14ac:dyDescent="0.3">
      <c r="A1590" s="2">
        <v>44365</v>
      </c>
      <c r="B1590" s="1">
        <v>2.4692753537887135</v>
      </c>
      <c r="C1590" s="1">
        <f>IRS_returns_2015_25[[#This Row],[IRSrtn]]-AVERAGE($B$2:$B$2600)</f>
        <v>2.4634988597220979</v>
      </c>
      <c r="D1590" s="1">
        <f>w+a*C1589^2+b*D1589</f>
        <v>9.1045418805736062</v>
      </c>
      <c r="E1590" s="1">
        <f t="shared" si="24"/>
        <v>-2.3566108988651644</v>
      </c>
      <c r="F1590" s="7">
        <f>SQRT(IRS_returns_2015_25[[#This Row],[  σ2]])</f>
        <v>3.0173733412644856</v>
      </c>
    </row>
    <row r="1591" spans="1:6" x14ac:dyDescent="0.3">
      <c r="A1591" s="2">
        <v>44368</v>
      </c>
      <c r="B1591" s="1">
        <v>2.6475727550774319</v>
      </c>
      <c r="C1591" s="1">
        <f>IRS_returns_2015_25[[#This Row],[IRSrtn]]-AVERAGE($B$2:$B$2600)</f>
        <v>2.6417962610108163</v>
      </c>
      <c r="D1591" s="1">
        <f>w+a*C1590^2+b*D1590</f>
        <v>8.884978357315056</v>
      </c>
      <c r="E1591" s="1">
        <f t="shared" si="24"/>
        <v>-2.4038659999199075</v>
      </c>
      <c r="F1591" s="7">
        <f>SQRT(IRS_returns_2015_25[[#This Row],[  σ2]])</f>
        <v>2.9807680817727258</v>
      </c>
    </row>
    <row r="1592" spans="1:6" x14ac:dyDescent="0.3">
      <c r="A1592" s="2">
        <v>44369</v>
      </c>
      <c r="B1592" s="1">
        <v>-4.1217995332779367</v>
      </c>
      <c r="C1592" s="1">
        <f>IRS_returns_2015_25[[#This Row],[IRSrtn]]-AVERAGE($B$2:$B$2600)</f>
        <v>-4.1275760273445528</v>
      </c>
      <c r="D1592" s="1">
        <f>w+a*C1591^2+b*D1591</f>
        <v>8.9605960965429503</v>
      </c>
      <c r="E1592" s="1">
        <f t="shared" si="24"/>
        <v>-2.9660126295691009</v>
      </c>
      <c r="F1592" s="7">
        <f>SQRT(IRS_returns_2015_25[[#This Row],[  σ2]])</f>
        <v>2.9934254787021088</v>
      </c>
    </row>
    <row r="1593" spans="1:6" x14ac:dyDescent="0.3">
      <c r="A1593" s="2">
        <v>44370</v>
      </c>
      <c r="B1593" s="1">
        <v>-1.2453531546789742</v>
      </c>
      <c r="C1593" s="1">
        <f>IRS_returns_2015_25[[#This Row],[IRSrtn]]-AVERAGE($B$2:$B$2600)</f>
        <v>-1.2511296487455901</v>
      </c>
      <c r="D1593" s="1">
        <f>w+a*C1592^2+b*D1592</f>
        <v>11.46151585072716</v>
      </c>
      <c r="E1593" s="1">
        <f t="shared" si="24"/>
        <v>-2.2067221630738434</v>
      </c>
      <c r="F1593" s="7">
        <f>SQRT(IRS_returns_2015_25[[#This Row],[  σ2]])</f>
        <v>3.3854860582680235</v>
      </c>
    </row>
    <row r="1594" spans="1:6" x14ac:dyDescent="0.3">
      <c r="A1594" s="2">
        <v>44371</v>
      </c>
      <c r="B1594" s="1">
        <v>0.25030457909076542</v>
      </c>
      <c r="C1594" s="1">
        <f>IRS_returns_2015_25[[#This Row],[IRSrtn]]-AVERAGE($B$2:$B$2600)</f>
        <v>0.24452808502414963</v>
      </c>
      <c r="D1594" s="1">
        <f>w+a*C1593^2+b*D1593</f>
        <v>9.3567782879087211</v>
      </c>
      <c r="E1594" s="1">
        <f t="shared" si="24"/>
        <v>-2.0401842717115395</v>
      </c>
      <c r="F1594" s="7">
        <f>SQRT(IRS_returns_2015_25[[#This Row],[  σ2]])</f>
        <v>3.0588851380705226</v>
      </c>
    </row>
    <row r="1595" spans="1:6" x14ac:dyDescent="0.3">
      <c r="A1595" s="2">
        <v>44372</v>
      </c>
      <c r="B1595" s="1">
        <v>-4.3429461140919834</v>
      </c>
      <c r="C1595" s="1">
        <f>IRS_returns_2015_25[[#This Row],[IRSrtn]]-AVERAGE($B$2:$B$2600)</f>
        <v>-4.3487226081585995</v>
      </c>
      <c r="D1595" s="1">
        <f>w+a*C1594^2+b*D1594</f>
        <v>7.5887969344093484</v>
      </c>
      <c r="E1595" s="1">
        <f t="shared" si="24"/>
        <v>-3.1782820771347748</v>
      </c>
      <c r="F1595" s="7">
        <f>SQRT(IRS_returns_2015_25[[#This Row],[  σ2]])</f>
        <v>2.7547771115662605</v>
      </c>
    </row>
    <row r="1596" spans="1:6" x14ac:dyDescent="0.3">
      <c r="A1596" s="2">
        <v>44375</v>
      </c>
      <c r="B1596" s="1">
        <v>-1.049879944002674</v>
      </c>
      <c r="C1596" s="1">
        <f>IRS_returns_2015_25[[#This Row],[IRSrtn]]-AVERAGE($B$2:$B$2600)</f>
        <v>-1.0556564380692899</v>
      </c>
      <c r="D1596" s="1">
        <f>w+a*C1595^2+b*D1595</f>
        <v>11.005008799666317</v>
      </c>
      <c r="E1596" s="1">
        <f t="shared" si="24"/>
        <v>-2.1687457588815762</v>
      </c>
      <c r="F1596" s="7">
        <f>SQRT(IRS_returns_2015_25[[#This Row],[  σ2]])</f>
        <v>3.3173798093776234</v>
      </c>
    </row>
    <row r="1597" spans="1:6" x14ac:dyDescent="0.3">
      <c r="A1597" s="2">
        <v>44377</v>
      </c>
      <c r="B1597" s="1">
        <v>-2.133409816858145</v>
      </c>
      <c r="C1597" s="1">
        <f>IRS_returns_2015_25[[#This Row],[IRSrtn]]-AVERAGE($B$2:$B$2600)</f>
        <v>-2.1391863109247606</v>
      </c>
      <c r="D1597" s="1">
        <f>w+a*C1596^2+b*D1596</f>
        <v>8.9430086073633532</v>
      </c>
      <c r="E1597" s="1">
        <f t="shared" si="24"/>
        <v>-2.2702234797115843</v>
      </c>
      <c r="F1597" s="7">
        <f>SQRT(IRS_returns_2015_25[[#This Row],[  σ2]])</f>
        <v>2.9904863496366865</v>
      </c>
    </row>
    <row r="1598" spans="1:6" x14ac:dyDescent="0.3">
      <c r="A1598" s="2">
        <v>44378</v>
      </c>
      <c r="B1598" s="1">
        <v>2.6597460894498992</v>
      </c>
      <c r="C1598" s="1">
        <f>IRS_returns_2015_25[[#This Row],[IRSrtn]]-AVERAGE($B$2:$B$2600)</f>
        <v>2.6539695953832836</v>
      </c>
      <c r="D1598" s="1">
        <f>w+a*C1597^2+b*D1597</f>
        <v>8.4137448623671958</v>
      </c>
      <c r="E1598" s="1">
        <f t="shared" si="24"/>
        <v>-2.4024461569884008</v>
      </c>
      <c r="F1598" s="7">
        <f>SQRT(IRS_returns_2015_25[[#This Row],[  σ2]])</f>
        <v>2.9006455940647413</v>
      </c>
    </row>
    <row r="1599" spans="1:6" x14ac:dyDescent="0.3">
      <c r="A1599" s="2">
        <v>44379</v>
      </c>
      <c r="B1599" s="1">
        <v>0.26210707833351776</v>
      </c>
      <c r="C1599" s="1">
        <f>IRS_returns_2015_25[[#This Row],[IRSrtn]]-AVERAGE($B$2:$B$2600)</f>
        <v>0.25633058426690197</v>
      </c>
      <c r="D1599" s="1">
        <f>w+a*C1598^2+b*D1598</f>
        <v>8.6625954840364194</v>
      </c>
      <c r="E1599" s="1">
        <f t="shared" si="24"/>
        <v>-2.0022382026314558</v>
      </c>
      <c r="F1599" s="7">
        <f>SQRT(IRS_returns_2015_25[[#This Row],[  σ2]])</f>
        <v>2.9432287515645839</v>
      </c>
    </row>
    <row r="1600" spans="1:6" x14ac:dyDescent="0.3">
      <c r="A1600" s="2">
        <v>44383</v>
      </c>
      <c r="B1600" s="1">
        <v>1.5584716942487864</v>
      </c>
      <c r="C1600" s="1">
        <f>IRS_returns_2015_25[[#This Row],[IRSrtn]]-AVERAGE($B$2:$B$2600)</f>
        <v>1.5526952001821706</v>
      </c>
      <c r="D1600" s="1">
        <f>w+a*C1599^2+b*D1599</f>
        <v>7.1281081471304875</v>
      </c>
      <c r="E1600" s="1">
        <f t="shared" si="24"/>
        <v>-2.0700710186896525</v>
      </c>
      <c r="F1600" s="7">
        <f>SQRT(IRS_returns_2015_25[[#This Row],[  σ2]])</f>
        <v>2.6698517088277556</v>
      </c>
    </row>
    <row r="1601" spans="1:6" x14ac:dyDescent="0.3">
      <c r="A1601" s="2">
        <v>44384</v>
      </c>
      <c r="B1601" s="1">
        <v>-0.25804864557443796</v>
      </c>
      <c r="C1601" s="1">
        <f>IRS_returns_2015_25[[#This Row],[IRSrtn]]-AVERAGE($B$2:$B$2600)</f>
        <v>-0.26382513964105375</v>
      </c>
      <c r="D1601" s="1">
        <f>w+a*C1600^2+b*D1600</f>
        <v>6.6779712452607045</v>
      </c>
      <c r="E1601" s="1">
        <f t="shared" si="24"/>
        <v>-1.8735570918669213</v>
      </c>
      <c r="F1601" s="7">
        <f>SQRT(IRS_returns_2015_25[[#This Row],[  σ2]])</f>
        <v>2.584177092472709</v>
      </c>
    </row>
    <row r="1602" spans="1:6" x14ac:dyDescent="0.3">
      <c r="A1602" s="2">
        <v>44385</v>
      </c>
      <c r="B1602" s="1">
        <v>10.303212249445926</v>
      </c>
      <c r="C1602" s="1">
        <f>IRS_returns_2015_25[[#This Row],[IRSrtn]]-AVERAGE($B$2:$B$2600)</f>
        <v>10.297435755379309</v>
      </c>
      <c r="D1602" s="1">
        <f>w+a*C1601^2+b*D1601</f>
        <v>5.8078604503459994</v>
      </c>
      <c r="E1602" s="1">
        <f t="shared" ref="E1602:E1665" si="25">-0.5*(LN(2*PI())+LN(D1602)+C1602^2/D1602)</f>
        <v>-10.927309376575899</v>
      </c>
      <c r="F1602" s="7">
        <f>SQRT(IRS_returns_2015_25[[#This Row],[  σ2]])</f>
        <v>2.4099503003892009</v>
      </c>
    </row>
    <row r="1603" spans="1:6" x14ac:dyDescent="0.3">
      <c r="A1603" s="2">
        <v>44386</v>
      </c>
      <c r="B1603" s="1">
        <v>8.9145848397413232</v>
      </c>
      <c r="C1603" s="1">
        <f>IRS_returns_2015_25[[#This Row],[IRSrtn]]-AVERAGE($B$2:$B$2600)</f>
        <v>8.9088083456747071</v>
      </c>
      <c r="D1603" s="1">
        <f>w+a*C1602^2+b*D1602</f>
        <v>31.047589375403398</v>
      </c>
      <c r="E1603" s="1">
        <f t="shared" si="25"/>
        <v>-3.9148477231386858</v>
      </c>
      <c r="F1603" s="7">
        <f>SQRT(IRS_returns_2015_25[[#This Row],[  σ2]])</f>
        <v>5.5720363759942737</v>
      </c>
    </row>
    <row r="1604" spans="1:6" x14ac:dyDescent="0.3">
      <c r="A1604" s="2">
        <v>44389</v>
      </c>
      <c r="B1604" s="1">
        <v>-1.720493314625493</v>
      </c>
      <c r="C1604" s="1">
        <f>IRS_returns_2015_25[[#This Row],[IRSrtn]]-AVERAGE($B$2:$B$2600)</f>
        <v>-1.7262698086921089</v>
      </c>
      <c r="D1604" s="1">
        <f>w+a*C1603^2+b*D1603</f>
        <v>41.351882191919252</v>
      </c>
      <c r="E1604" s="1">
        <f t="shared" si="25"/>
        <v>-2.8160298099860754</v>
      </c>
      <c r="F1604" s="7">
        <f>SQRT(IRS_returns_2015_25[[#This Row],[  σ2]])</f>
        <v>6.4305429157979539</v>
      </c>
    </row>
    <row r="1605" spans="1:6" x14ac:dyDescent="0.3">
      <c r="A1605" s="2">
        <v>44390</v>
      </c>
      <c r="B1605" s="1">
        <v>4.0388256580802917</v>
      </c>
      <c r="C1605" s="1">
        <f>IRS_returns_2015_25[[#This Row],[IRSrtn]]-AVERAGE($B$2:$B$2600)</f>
        <v>4.0330491640136756</v>
      </c>
      <c r="D1605" s="1">
        <f>w+a*C1604^2+b*D1604</f>
        <v>29.599981684009936</v>
      </c>
      <c r="E1605" s="1">
        <f t="shared" si="25"/>
        <v>-2.887580398129395</v>
      </c>
      <c r="F1605" s="7">
        <f>SQRT(IRS_returns_2015_25[[#This Row],[  σ2]])</f>
        <v>5.4405865202209531</v>
      </c>
    </row>
    <row r="1606" spans="1:6" x14ac:dyDescent="0.3">
      <c r="A1606" s="2">
        <v>44391</v>
      </c>
      <c r="B1606" s="1">
        <v>-0.20856124223462835</v>
      </c>
      <c r="C1606" s="1">
        <f>IRS_returns_2015_25[[#This Row],[IRSrtn]]-AVERAGE($B$2:$B$2600)</f>
        <v>-0.21433773630124414</v>
      </c>
      <c r="D1606" s="1">
        <f>w+a*C1605^2+b*D1605</f>
        <v>25.013548771088786</v>
      </c>
      <c r="E1606" s="1">
        <f t="shared" si="25"/>
        <v>-2.5295656632815171</v>
      </c>
      <c r="F1606" s="7">
        <f>SQRT(IRS_returns_2015_25[[#This Row],[  σ2]])</f>
        <v>5.0013546935894064</v>
      </c>
    </row>
    <row r="1607" spans="1:6" x14ac:dyDescent="0.3">
      <c r="A1607" s="2">
        <v>44392</v>
      </c>
      <c r="B1607" s="1">
        <v>-1.0493217361732032</v>
      </c>
      <c r="C1607" s="1">
        <f>IRS_returns_2015_25[[#This Row],[IRSrtn]]-AVERAGE($B$2:$B$2600)</f>
        <v>-1.0550982302398191</v>
      </c>
      <c r="D1607" s="1">
        <f>w+a*C1606^2+b*D1606</f>
        <v>18.008395363716144</v>
      </c>
      <c r="E1607" s="1">
        <f t="shared" si="25"/>
        <v>-2.3952662649955658</v>
      </c>
      <c r="F1607" s="7">
        <f>SQRT(IRS_returns_2015_25[[#This Row],[  σ2]])</f>
        <v>4.2436299748818982</v>
      </c>
    </row>
    <row r="1608" spans="1:6" x14ac:dyDescent="0.3">
      <c r="A1608" s="2">
        <v>44393</v>
      </c>
      <c r="B1608" s="1">
        <v>-3.2157174604382277</v>
      </c>
      <c r="C1608" s="1">
        <f>IRS_returns_2015_25[[#This Row],[IRSrtn]]-AVERAGE($B$2:$B$2600)</f>
        <v>-3.2214939545048433</v>
      </c>
      <c r="D1608" s="1">
        <f>w+a*C1607^2+b*D1607</f>
        <v>13.604993015063581</v>
      </c>
      <c r="E1608" s="1">
        <f t="shared" si="25"/>
        <v>-2.6055619103238086</v>
      </c>
      <c r="F1608" s="7">
        <f>SQRT(IRS_returns_2015_25[[#This Row],[  σ2]])</f>
        <v>3.6884946814471049</v>
      </c>
    </row>
    <row r="1609" spans="1:6" x14ac:dyDescent="0.3">
      <c r="A1609" s="2">
        <v>44396</v>
      </c>
      <c r="B1609" s="1">
        <v>-4.6831227752785587</v>
      </c>
      <c r="C1609" s="1">
        <f>IRS_returns_2015_25[[#This Row],[IRSrtn]]-AVERAGE($B$2:$B$2600)</f>
        <v>-4.6888992693451748</v>
      </c>
      <c r="D1609" s="1">
        <f>w+a*C1608^2+b*D1608</f>
        <v>12.930938666470617</v>
      </c>
      <c r="E1609" s="1">
        <f t="shared" si="25"/>
        <v>-3.0488729113669448</v>
      </c>
      <c r="F1609" s="7">
        <f>SQRT(IRS_returns_2015_25[[#This Row],[  σ2]])</f>
        <v>3.5959614384015044</v>
      </c>
    </row>
    <row r="1610" spans="1:6" x14ac:dyDescent="0.3">
      <c r="A1610" s="2">
        <v>44397</v>
      </c>
      <c r="B1610" s="1">
        <v>-0.45767706522681362</v>
      </c>
      <c r="C1610" s="1">
        <f>IRS_returns_2015_25[[#This Row],[IRSrtn]]-AVERAGE($B$2:$B$2600)</f>
        <v>-0.46345355929342941</v>
      </c>
      <c r="D1610" s="1">
        <f>w+a*C1609^2+b*D1609</f>
        <v>15.310435769505803</v>
      </c>
      <c r="E1610" s="1">
        <f t="shared" si="25"/>
        <v>-2.2902203399186742</v>
      </c>
      <c r="F1610" s="7">
        <f>SQRT(IRS_returns_2015_25[[#This Row],[  σ2]])</f>
        <v>3.9128551940374439</v>
      </c>
    </row>
    <row r="1611" spans="1:6" x14ac:dyDescent="0.3">
      <c r="A1611" s="2">
        <v>44398</v>
      </c>
      <c r="B1611" s="1">
        <v>3.8249862580552518</v>
      </c>
      <c r="C1611" s="1">
        <f>IRS_returns_2015_25[[#This Row],[IRSrtn]]-AVERAGE($B$2:$B$2600)</f>
        <v>3.8192097639886362</v>
      </c>
      <c r="D1611" s="1">
        <f>w+a*C1610^2+b*D1610</f>
        <v>11.590010774151807</v>
      </c>
      <c r="E1611" s="1">
        <f t="shared" si="25"/>
        <v>-2.7732747642062918</v>
      </c>
      <c r="F1611" s="7">
        <f>SQRT(IRS_returns_2015_25[[#This Row],[  σ2]])</f>
        <v>3.4044104884916284</v>
      </c>
    </row>
    <row r="1612" spans="1:6" x14ac:dyDescent="0.3">
      <c r="A1612" s="2">
        <v>44399</v>
      </c>
      <c r="B1612" s="1">
        <v>0.44053313520731052</v>
      </c>
      <c r="C1612" s="1">
        <f>IRS_returns_2015_25[[#This Row],[IRSrtn]]-AVERAGE($B$2:$B$2600)</f>
        <v>0.43475664114069473</v>
      </c>
      <c r="D1612" s="1">
        <f>w+a*C1611^2+b*D1611</f>
        <v>12.614892360573197</v>
      </c>
      <c r="E1612" s="1">
        <f t="shared" si="25"/>
        <v>-2.1938692324925237</v>
      </c>
      <c r="F1612" s="7">
        <f>SQRT(IRS_returns_2015_25[[#This Row],[  σ2]])</f>
        <v>3.5517449740336366</v>
      </c>
    </row>
    <row r="1613" spans="1:6" x14ac:dyDescent="0.3">
      <c r="A1613" s="2">
        <v>44400</v>
      </c>
      <c r="B1613" s="1">
        <v>-2.4472846890590816</v>
      </c>
      <c r="C1613" s="1">
        <f>IRS_returns_2015_25[[#This Row],[IRSrtn]]-AVERAGE($B$2:$B$2600)</f>
        <v>-2.4530611831256972</v>
      </c>
      <c r="D1613" s="1">
        <f>w+a*C1612^2+b*D1612</f>
        <v>9.7892621918868024</v>
      </c>
      <c r="E1613" s="1">
        <f t="shared" si="25"/>
        <v>-2.3669341167687583</v>
      </c>
      <c r="F1613" s="7">
        <f>SQRT(IRS_returns_2015_25[[#This Row],[  σ2]])</f>
        <v>3.128779664963131</v>
      </c>
    </row>
    <row r="1614" spans="1:6" x14ac:dyDescent="0.3">
      <c r="A1614" s="2">
        <v>44403</v>
      </c>
      <c r="B1614" s="1">
        <v>2.0067515538517711</v>
      </c>
      <c r="C1614" s="1">
        <f>IRS_returns_2015_25[[#This Row],[IRSrtn]]-AVERAGE($B$2:$B$2600)</f>
        <v>2.0009750597851554</v>
      </c>
      <c r="D1614" s="1">
        <f>w+a*C1613^2+b*D1613</f>
        <v>9.3283046243461314</v>
      </c>
      <c r="E1614" s="1">
        <f t="shared" si="25"/>
        <v>-2.2500755127915184</v>
      </c>
      <c r="F1614" s="7">
        <f>SQRT(IRS_returns_2015_25[[#This Row],[  σ2]])</f>
        <v>3.0542273367164618</v>
      </c>
    </row>
    <row r="1615" spans="1:6" x14ac:dyDescent="0.3">
      <c r="A1615" s="2">
        <v>44404</v>
      </c>
      <c r="B1615" s="1">
        <v>4.7422780999346603</v>
      </c>
      <c r="C1615" s="1">
        <f>IRS_returns_2015_25[[#This Row],[IRSrtn]]-AVERAGE($B$2:$B$2600)</f>
        <v>4.7365016058680443</v>
      </c>
      <c r="D1615" s="1">
        <f>w+a*C1614^2+b*D1614</f>
        <v>8.5308223492394593</v>
      </c>
      <c r="E1615" s="1">
        <f t="shared" si="25"/>
        <v>-3.3056867397011969</v>
      </c>
      <c r="F1615" s="7">
        <f>SQRT(IRS_returns_2015_25[[#This Row],[  σ2]])</f>
        <v>2.9207571534174934</v>
      </c>
    </row>
    <row r="1616" spans="1:6" x14ac:dyDescent="0.3">
      <c r="A1616" s="2">
        <v>44405</v>
      </c>
      <c r="B1616" s="1">
        <v>-3.4264645174845398</v>
      </c>
      <c r="C1616" s="1">
        <f>IRS_returns_2015_25[[#This Row],[IRSrtn]]-AVERAGE($B$2:$B$2600)</f>
        <v>-3.4322410115511555</v>
      </c>
      <c r="D1616" s="1">
        <f>w+a*C1615^2+b*D1615</f>
        <v>12.490523407373198</v>
      </c>
      <c r="E1616" s="1">
        <f t="shared" si="25"/>
        <v>-2.6529922914611732</v>
      </c>
      <c r="F1616" s="7">
        <f>SQRT(IRS_returns_2015_25[[#This Row],[  σ2]])</f>
        <v>3.5341934592454325</v>
      </c>
    </row>
    <row r="1617" spans="1:6" x14ac:dyDescent="0.3">
      <c r="A1617" s="2">
        <v>44406</v>
      </c>
      <c r="B1617" s="1">
        <v>-0.87528044724280996</v>
      </c>
      <c r="C1617" s="1">
        <f>IRS_returns_2015_25[[#This Row],[IRSrtn]]-AVERAGE($B$2:$B$2600)</f>
        <v>-0.8810569413094258</v>
      </c>
      <c r="D1617" s="1">
        <f>w+a*C1616^2+b*D1616</f>
        <v>12.530676743839344</v>
      </c>
      <c r="E1617" s="1">
        <f t="shared" si="25"/>
        <v>-2.2140028596328922</v>
      </c>
      <c r="F1617" s="7">
        <f>SQRT(IRS_returns_2015_25[[#This Row],[  σ2]])</f>
        <v>3.539869594185546</v>
      </c>
    </row>
    <row r="1618" spans="1:6" x14ac:dyDescent="0.3">
      <c r="A1618" s="2">
        <v>44407</v>
      </c>
      <c r="B1618" s="1">
        <v>-1.1049837563361864</v>
      </c>
      <c r="C1618" s="1">
        <f>IRS_returns_2015_25[[#This Row],[IRSrtn]]-AVERAGE($B$2:$B$2600)</f>
        <v>-1.1107602504028022</v>
      </c>
      <c r="D1618" s="1">
        <f>w+a*C1617^2+b*D1617</f>
        <v>9.8762812869273731</v>
      </c>
      <c r="E1618" s="1">
        <f t="shared" si="25"/>
        <v>-2.1264687505581814</v>
      </c>
      <c r="F1618" s="7">
        <f>SQRT(IRS_returns_2015_25[[#This Row],[  σ2]])</f>
        <v>3.1426551333112216</v>
      </c>
    </row>
    <row r="1619" spans="1:6" x14ac:dyDescent="0.3">
      <c r="A1619" s="2">
        <v>44410</v>
      </c>
      <c r="B1619" s="1">
        <v>-1.1173365353044362</v>
      </c>
      <c r="C1619" s="1">
        <f>IRS_returns_2015_25[[#This Row],[IRSrtn]]-AVERAGE($B$2:$B$2600)</f>
        <v>-1.1231130293710521</v>
      </c>
      <c r="D1619" s="1">
        <f>w+a*C1618^2+b*D1618</f>
        <v>8.220682215250477</v>
      </c>
      <c r="E1619" s="1">
        <f t="shared" si="25"/>
        <v>-2.0489852183020361</v>
      </c>
      <c r="F1619" s="7">
        <f>SQRT(IRS_returns_2015_25[[#This Row],[  σ2]])</f>
        <v>2.867173209844581</v>
      </c>
    </row>
    <row r="1620" spans="1:6" x14ac:dyDescent="0.3">
      <c r="A1620" s="2">
        <v>44411</v>
      </c>
      <c r="B1620" s="1">
        <v>-2.5029415128158483</v>
      </c>
      <c r="C1620" s="1">
        <f>IRS_returns_2015_25[[#This Row],[IRSrtn]]-AVERAGE($B$2:$B$2600)</f>
        <v>-2.5087180068824639</v>
      </c>
      <c r="D1620" s="1">
        <f>w+a*C1619^2+b*D1619</f>
        <v>7.1252456466615151</v>
      </c>
      <c r="E1620" s="1">
        <f t="shared" si="25"/>
        <v>-2.3424061824556759</v>
      </c>
      <c r="F1620" s="7">
        <f>SQRT(IRS_returns_2015_25[[#This Row],[  σ2]])</f>
        <v>2.6693155764468006</v>
      </c>
    </row>
    <row r="1621" spans="1:6" x14ac:dyDescent="0.3">
      <c r="A1621" s="2">
        <v>44412</v>
      </c>
      <c r="B1621" s="1">
        <v>0.23012892887479541</v>
      </c>
      <c r="C1621" s="1">
        <f>IRS_returns_2015_25[[#This Row],[IRSrtn]]-AVERAGE($B$2:$B$2600)</f>
        <v>0.22435243480817962</v>
      </c>
      <c r="D1621" s="1">
        <f>w+a*C1620^2+b*D1620</f>
        <v>7.6221098431100218</v>
      </c>
      <c r="E1621" s="1">
        <f t="shared" si="25"/>
        <v>-1.9377669827087516</v>
      </c>
      <c r="F1621" s="7">
        <f>SQRT(IRS_returns_2015_25[[#This Row],[  σ2]])</f>
        <v>2.7608168796771042</v>
      </c>
    </row>
    <row r="1622" spans="1:6" x14ac:dyDescent="0.3">
      <c r="A1622" s="2">
        <v>44413</v>
      </c>
      <c r="B1622" s="1">
        <v>-1.156095426858017</v>
      </c>
      <c r="C1622" s="1">
        <f>IRS_returns_2015_25[[#This Row],[IRSrtn]]-AVERAGE($B$2:$B$2600)</f>
        <v>-1.1618719209246329</v>
      </c>
      <c r="D1622" s="1">
        <f>w+a*C1621^2+b*D1621</f>
        <v>6.4316942392853571</v>
      </c>
      <c r="E1622" s="1">
        <f t="shared" si="25"/>
        <v>-1.954502378797444</v>
      </c>
      <c r="F1622" s="7">
        <f>SQRT(IRS_returns_2015_25[[#This Row],[  σ2]])</f>
        <v>2.5360785159938084</v>
      </c>
    </row>
    <row r="1623" spans="1:6" x14ac:dyDescent="0.3">
      <c r="A1623" s="2">
        <v>44414</v>
      </c>
      <c r="B1623" s="1">
        <v>-0.70010912126243774</v>
      </c>
      <c r="C1623" s="1">
        <f>IRS_returns_2015_25[[#This Row],[IRSrtn]]-AVERAGE($B$2:$B$2600)</f>
        <v>-0.70588561532905358</v>
      </c>
      <c r="D1623" s="1">
        <f>w+a*C1622^2+b*D1622</f>
        <v>5.9558649234970131</v>
      </c>
      <c r="E1623" s="1">
        <f t="shared" si="25"/>
        <v>-1.8529573253829472</v>
      </c>
      <c r="F1623" s="7">
        <f>SQRT(IRS_returns_2015_25[[#This Row],[  σ2]])</f>
        <v>2.4404640795342623</v>
      </c>
    </row>
    <row r="1624" spans="1:6" x14ac:dyDescent="0.3">
      <c r="A1624" s="2">
        <v>44418</v>
      </c>
      <c r="B1624" s="1">
        <v>-1.4151033554898662</v>
      </c>
      <c r="C1624" s="1">
        <f>IRS_returns_2015_25[[#This Row],[IRSrtn]]-AVERAGE($B$2:$B$2600)</f>
        <v>-1.4208798495564821</v>
      </c>
      <c r="D1624" s="1">
        <f>w+a*C1623^2+b*D1623</f>
        <v>5.4315877438624893</v>
      </c>
      <c r="E1624" s="1">
        <f t="shared" si="25"/>
        <v>-1.9509022899178312</v>
      </c>
      <c r="F1624" s="7">
        <f>SQRT(IRS_returns_2015_25[[#This Row],[  σ2]])</f>
        <v>2.3305766977000539</v>
      </c>
    </row>
    <row r="1625" spans="1:6" x14ac:dyDescent="0.3">
      <c r="A1625" s="2">
        <v>44419</v>
      </c>
      <c r="B1625" s="1">
        <v>3.271307903610321</v>
      </c>
      <c r="C1625" s="1">
        <f>IRS_returns_2015_25[[#This Row],[IRSrtn]]-AVERAGE($B$2:$B$2600)</f>
        <v>3.2655314095437054</v>
      </c>
      <c r="D1625" s="1">
        <f>w+a*C1624^2+b*D1624</f>
        <v>5.453067603524226</v>
      </c>
      <c r="E1625" s="1">
        <f t="shared" si="25"/>
        <v>-2.744798016793883</v>
      </c>
      <c r="F1625" s="7">
        <f>SQRT(IRS_returns_2015_25[[#This Row],[  σ2]])</f>
        <v>2.3351804220497026</v>
      </c>
    </row>
    <row r="1626" spans="1:6" x14ac:dyDescent="0.3">
      <c r="A1626" s="2">
        <v>44420</v>
      </c>
      <c r="B1626" s="1">
        <v>-1.156095426858017</v>
      </c>
      <c r="C1626" s="1">
        <f>IRS_returns_2015_25[[#This Row],[IRSrtn]]-AVERAGE($B$2:$B$2600)</f>
        <v>-1.1618719209246329</v>
      </c>
      <c r="D1626" s="1">
        <f>w+a*C1625^2+b*D1625</f>
        <v>7.5736696123776808</v>
      </c>
      <c r="E1626" s="1">
        <f t="shared" si="25"/>
        <v>-2.0203984093763516</v>
      </c>
      <c r="F1626" s="7">
        <f>SQRT(IRS_returns_2015_25[[#This Row],[  σ2]])</f>
        <v>2.7520300892936618</v>
      </c>
    </row>
    <row r="1627" spans="1:6" x14ac:dyDescent="0.3">
      <c r="A1627" s="2">
        <v>44421</v>
      </c>
      <c r="B1627" s="1">
        <v>-3.7919160754392278</v>
      </c>
      <c r="C1627" s="1">
        <f>IRS_returns_2015_25[[#This Row],[IRSrtn]]-AVERAGE($B$2:$B$2600)</f>
        <v>-3.7976925695058434</v>
      </c>
      <c r="D1627" s="1">
        <f>w+a*C1626^2+b*D1626</f>
        <v>6.7160970155679918</v>
      </c>
      <c r="E1627" s="1">
        <f t="shared" si="25"/>
        <v>-2.9449161067628378</v>
      </c>
      <c r="F1627" s="7">
        <f>SQRT(IRS_returns_2015_25[[#This Row],[  σ2]])</f>
        <v>2.5915433655580591</v>
      </c>
    </row>
    <row r="1628" spans="1:6" x14ac:dyDescent="0.3">
      <c r="A1628" s="2">
        <v>44424</v>
      </c>
      <c r="B1628" s="1">
        <v>-0.97086915639050808</v>
      </c>
      <c r="C1628" s="1">
        <f>IRS_returns_2015_25[[#This Row],[IRSrtn]]-AVERAGE($B$2:$B$2600)</f>
        <v>-0.97664565045712393</v>
      </c>
      <c r="D1628" s="1">
        <f>w+a*C1627^2+b*D1627</f>
        <v>9.3303136871145398</v>
      </c>
      <c r="E1628" s="1">
        <f t="shared" si="25"/>
        <v>-2.0866877844824345</v>
      </c>
      <c r="F1628" s="7">
        <f>SQRT(IRS_returns_2015_25[[#This Row],[  σ2]])</f>
        <v>3.0545562177040613</v>
      </c>
    </row>
    <row r="1629" spans="1:6" x14ac:dyDescent="0.3">
      <c r="A1629" s="2">
        <v>44425</v>
      </c>
      <c r="B1629" s="1">
        <v>-1.2270162195523238</v>
      </c>
      <c r="C1629" s="1">
        <f>IRS_returns_2015_25[[#This Row],[IRSrtn]]-AVERAGE($B$2:$B$2600)</f>
        <v>-1.2327927136189396</v>
      </c>
      <c r="D1629" s="1">
        <f>w+a*C1628^2+b*D1628</f>
        <v>7.78901231473764</v>
      </c>
      <c r="E1629" s="1">
        <f t="shared" si="25"/>
        <v>-2.0428546526336318</v>
      </c>
      <c r="F1629" s="7">
        <f>SQRT(IRS_returns_2015_25[[#This Row],[  σ2]])</f>
        <v>2.7908802042971388</v>
      </c>
    </row>
    <row r="1630" spans="1:6" x14ac:dyDescent="0.3">
      <c r="A1630" s="2">
        <v>44426</v>
      </c>
      <c r="B1630" s="1">
        <v>-2.2472729299864325</v>
      </c>
      <c r="C1630" s="1">
        <f>IRS_returns_2015_25[[#This Row],[IRSrtn]]-AVERAGE($B$2:$B$2600)</f>
        <v>-2.2530494240530481</v>
      </c>
      <c r="D1630" s="1">
        <f>w+a*C1629^2+b*D1629</f>
        <v>6.9008336607628742</v>
      </c>
      <c r="E1630" s="1">
        <f t="shared" si="25"/>
        <v>-2.2525580853378235</v>
      </c>
      <c r="F1630" s="7">
        <f>SQRT(IRS_returns_2015_25[[#This Row],[  σ2]])</f>
        <v>2.6269437871341812</v>
      </c>
    </row>
    <row r="1631" spans="1:6" x14ac:dyDescent="0.3">
      <c r="A1631" s="2">
        <v>44427</v>
      </c>
      <c r="B1631" s="1">
        <v>6.5957870858203149</v>
      </c>
      <c r="C1631" s="1">
        <f>IRS_returns_2015_25[[#This Row],[IRSrtn]]-AVERAGE($B$2:$B$2600)</f>
        <v>6.5900105917536989</v>
      </c>
      <c r="D1631" s="1">
        <f>w+a*C1630^2+b*D1630</f>
        <v>7.1760874402508739</v>
      </c>
      <c r="E1631" s="1">
        <f t="shared" si="25"/>
        <v>-4.9302152441553471</v>
      </c>
      <c r="F1631" s="7">
        <f>SQRT(IRS_returns_2015_25[[#This Row],[  σ2]])</f>
        <v>2.6788220247435017</v>
      </c>
    </row>
    <row r="1632" spans="1:6" x14ac:dyDescent="0.3">
      <c r="A1632" s="2">
        <v>44428</v>
      </c>
      <c r="B1632" s="1">
        <v>0.47169635350075012</v>
      </c>
      <c r="C1632" s="1">
        <f>IRS_returns_2015_25[[#This Row],[IRSrtn]]-AVERAGE($B$2:$B$2600)</f>
        <v>0.46591985943413433</v>
      </c>
      <c r="D1632" s="1">
        <f>w+a*C1631^2+b*D1631</f>
        <v>16.703786335732367</v>
      </c>
      <c r="E1632" s="1">
        <f t="shared" si="25"/>
        <v>-2.3332542107306677</v>
      </c>
      <c r="F1632" s="7">
        <f>SQRT(IRS_returns_2015_25[[#This Row],[  σ2]])</f>
        <v>4.0870265885766353</v>
      </c>
    </row>
    <row r="1633" spans="1:6" x14ac:dyDescent="0.3">
      <c r="A1633" s="2">
        <v>44431</v>
      </c>
      <c r="B1633" s="1">
        <v>2.0955574400306487</v>
      </c>
      <c r="C1633" s="1">
        <f>IRS_returns_2015_25[[#This Row],[IRSrtn]]-AVERAGE($B$2:$B$2600)</f>
        <v>2.0897809459640331</v>
      </c>
      <c r="D1633" s="1">
        <f>w+a*C1632^2+b*D1632</f>
        <v>12.518146006602787</v>
      </c>
      <c r="E1633" s="1">
        <f t="shared" si="25"/>
        <v>-2.3569623227087368</v>
      </c>
      <c r="F1633" s="7">
        <f>SQRT(IRS_returns_2015_25[[#This Row],[  σ2]])</f>
        <v>3.5380992081346148</v>
      </c>
    </row>
    <row r="1634" spans="1:6" x14ac:dyDescent="0.3">
      <c r="A1634" s="2">
        <v>44432</v>
      </c>
      <c r="B1634" s="1">
        <v>2.5029415128158483</v>
      </c>
      <c r="C1634" s="1">
        <f>IRS_returns_2015_25[[#This Row],[IRSrtn]]-AVERAGE($B$2:$B$2600)</f>
        <v>2.4971650187492327</v>
      </c>
      <c r="D1634" s="1">
        <f>w+a*C1633^2+b*D1633</f>
        <v>10.74286694090895</v>
      </c>
      <c r="E1634" s="1">
        <f t="shared" si="25"/>
        <v>-2.3962908606613147</v>
      </c>
      <c r="F1634" s="7">
        <f>SQRT(IRS_returns_2015_25[[#This Row],[  σ2]])</f>
        <v>3.2776313003309188</v>
      </c>
    </row>
    <row r="1635" spans="1:6" x14ac:dyDescent="0.3">
      <c r="A1635" s="2">
        <v>44433</v>
      </c>
      <c r="B1635" s="1">
        <v>-1.5855220363951261</v>
      </c>
      <c r="C1635" s="1">
        <f>IRS_returns_2015_25[[#This Row],[IRSrtn]]-AVERAGE($B$2:$B$2600)</f>
        <v>-1.591298530461742</v>
      </c>
      <c r="D1635" s="1">
        <f>w+a*C1634^2+b*D1634</f>
        <v>10.016329826700801</v>
      </c>
      <c r="E1635" s="1">
        <f t="shared" si="25"/>
        <v>-2.19745203836397</v>
      </c>
      <c r="F1635" s="7">
        <f>SQRT(IRS_returns_2015_25[[#This Row],[  σ2]])</f>
        <v>3.164858579257658</v>
      </c>
    </row>
    <row r="1636" spans="1:6" x14ac:dyDescent="0.3">
      <c r="A1636" s="2">
        <v>44434</v>
      </c>
      <c r="B1636" s="1">
        <v>-3.0129769164513709</v>
      </c>
      <c r="C1636" s="1">
        <f>IRS_returns_2015_25[[#This Row],[IRSrtn]]-AVERAGE($B$2:$B$2600)</f>
        <v>-3.0187534105179865</v>
      </c>
      <c r="D1636" s="1">
        <f>w+a*C1635^2+b*D1635</f>
        <v>8.6302801273715133</v>
      </c>
      <c r="E1636" s="1">
        <f t="shared" si="25"/>
        <v>-2.5245362483638552</v>
      </c>
      <c r="F1636" s="7">
        <f>SQRT(IRS_returns_2015_25[[#This Row],[  σ2]])</f>
        <v>2.9377338421598909</v>
      </c>
    </row>
    <row r="1637" spans="1:6" x14ac:dyDescent="0.3">
      <c r="A1637" s="2">
        <v>44435</v>
      </c>
      <c r="B1637" s="1">
        <v>3.9220690193504826</v>
      </c>
      <c r="C1637" s="1">
        <f>IRS_returns_2015_25[[#This Row],[IRSrtn]]-AVERAGE($B$2:$B$2600)</f>
        <v>3.916292525283867</v>
      </c>
      <c r="D1637" s="1">
        <f>w+a*C1636^2+b*D1636</f>
        <v>9.3109353691389209</v>
      </c>
      <c r="E1637" s="1">
        <f t="shared" si="25"/>
        <v>-2.8581534165554174</v>
      </c>
      <c r="F1637" s="7">
        <f>SQRT(IRS_returns_2015_25[[#This Row],[  σ2]])</f>
        <v>3.051382534055493</v>
      </c>
    </row>
    <row r="1638" spans="1:6" x14ac:dyDescent="0.3">
      <c r="A1638" s="2">
        <v>44438</v>
      </c>
      <c r="B1638" s="1">
        <v>3.9916696693459208</v>
      </c>
      <c r="C1638" s="1">
        <f>IRS_returns_2015_25[[#This Row],[IRSrtn]]-AVERAGE($B$2:$B$2600)</f>
        <v>3.9858931752793052</v>
      </c>
      <c r="D1638" s="1">
        <f>w+a*C1637^2+b*D1637</f>
        <v>11.280650831523914</v>
      </c>
      <c r="E1638" s="1">
        <f t="shared" si="25"/>
        <v>-2.8346686334149305</v>
      </c>
      <c r="F1638" s="7">
        <f>SQRT(IRS_returns_2015_25[[#This Row],[  σ2]])</f>
        <v>3.3586680144848962</v>
      </c>
    </row>
    <row r="1639" spans="1:6" x14ac:dyDescent="0.3">
      <c r="A1639" s="2">
        <v>44439</v>
      </c>
      <c r="B1639" s="1">
        <v>0.21713578379929377</v>
      </c>
      <c r="C1639" s="1">
        <f>IRS_returns_2015_25[[#This Row],[IRSrtn]]-AVERAGE($B$2:$B$2600)</f>
        <v>0.21135928973267798</v>
      </c>
      <c r="D1639" s="1">
        <f>w+a*C1638^2+b*D1638</f>
        <v>12.725930040815985</v>
      </c>
      <c r="E1639" s="1">
        <f t="shared" si="25"/>
        <v>-2.1925145429651027</v>
      </c>
      <c r="F1639" s="7">
        <f>SQRT(IRS_returns_2015_25[[#This Row],[  σ2]])</f>
        <v>3.5673421535950243</v>
      </c>
    </row>
    <row r="1640" spans="1:6" x14ac:dyDescent="0.3">
      <c r="A1640" s="2">
        <v>44440</v>
      </c>
      <c r="B1640" s="1">
        <v>0.21671413865782529</v>
      </c>
      <c r="C1640" s="1">
        <f>IRS_returns_2015_25[[#This Row],[IRSrtn]]-AVERAGE($B$2:$B$2600)</f>
        <v>0.21093764459120951</v>
      </c>
      <c r="D1640" s="1">
        <f>w+a*C1639^2+b*D1639</f>
        <v>9.8280132806284008</v>
      </c>
      <c r="E1640" s="1">
        <f t="shared" si="25"/>
        <v>-2.0638206027400448</v>
      </c>
      <c r="F1640" s="7">
        <f>SQRT(IRS_returns_2015_25[[#This Row],[  σ2]])</f>
        <v>3.1349662327732335</v>
      </c>
    </row>
    <row r="1641" spans="1:6" x14ac:dyDescent="0.3">
      <c r="A1641" s="2">
        <v>44441</v>
      </c>
      <c r="B1641" s="1">
        <v>4.237910194911132</v>
      </c>
      <c r="C1641" s="1">
        <f>IRS_returns_2015_25[[#This Row],[IRSrtn]]-AVERAGE($B$2:$B$2600)</f>
        <v>4.2321337008445159</v>
      </c>
      <c r="D1641" s="1">
        <f>w+a*C1640^2+b*D1640</f>
        <v>7.898778275408338</v>
      </c>
      <c r="E1641" s="1">
        <f t="shared" si="25"/>
        <v>-3.0860727089460456</v>
      </c>
      <c r="F1641" s="7">
        <f>SQRT(IRS_returns_2015_25[[#This Row],[  σ2]])</f>
        <v>2.8104765210562315</v>
      </c>
    </row>
    <row r="1642" spans="1:6" x14ac:dyDescent="0.3">
      <c r="A1642" s="2">
        <v>44442</v>
      </c>
      <c r="B1642" s="1">
        <v>-3.3758529122170033</v>
      </c>
      <c r="C1642" s="1">
        <f>IRS_returns_2015_25[[#This Row],[IRSrtn]]-AVERAGE($B$2:$B$2600)</f>
        <v>-3.381629406283619</v>
      </c>
      <c r="D1642" s="1">
        <f>w+a*C1641^2+b*D1641</f>
        <v>10.967613372711885</v>
      </c>
      <c r="E1642" s="1">
        <f t="shared" si="25"/>
        <v>-2.6377384907281796</v>
      </c>
      <c r="F1642" s="7">
        <f>SQRT(IRS_returns_2015_25[[#This Row],[  σ2]])</f>
        <v>3.3117387234973541</v>
      </c>
    </row>
    <row r="1643" spans="1:6" x14ac:dyDescent="0.3">
      <c r="A1643" s="2">
        <v>44446</v>
      </c>
      <c r="B1643" s="1">
        <v>3.1681579637830692</v>
      </c>
      <c r="C1643" s="1">
        <f>IRS_returns_2015_25[[#This Row],[IRSrtn]]-AVERAGE($B$2:$B$2600)</f>
        <v>3.1623814697164536</v>
      </c>
      <c r="D1643" s="1">
        <f>w+a*C1642^2+b*D1642</f>
        <v>11.432824797485207</v>
      </c>
      <c r="E1643" s="1">
        <f t="shared" si="25"/>
        <v>-2.5745487763957868</v>
      </c>
      <c r="F1643" s="7">
        <f>SQRT(IRS_returns_2015_25[[#This Row],[  σ2]])</f>
        <v>3.3812460421396735</v>
      </c>
    </row>
    <row r="1644" spans="1:6" x14ac:dyDescent="0.3">
      <c r="A1644" s="2">
        <v>44447</v>
      </c>
      <c r="B1644" s="1">
        <v>-2.7398821161246811</v>
      </c>
      <c r="C1644" s="1">
        <f>IRS_returns_2015_25[[#This Row],[IRSrtn]]-AVERAGE($B$2:$B$2600)</f>
        <v>-2.7456586101912968</v>
      </c>
      <c r="D1644" s="1">
        <f>w+a*C1643^2+b*D1643</f>
        <v>11.392944661210791</v>
      </c>
      <c r="E1644" s="1">
        <f t="shared" si="25"/>
        <v>-2.466282586121797</v>
      </c>
      <c r="F1644" s="7">
        <f>SQRT(IRS_returns_2015_25[[#This Row],[  σ2]])</f>
        <v>3.3753436360185298</v>
      </c>
    </row>
    <row r="1645" spans="1:6" x14ac:dyDescent="0.3">
      <c r="A1645" s="2">
        <v>44449</v>
      </c>
      <c r="B1645" s="1">
        <v>-3.7000993009446148</v>
      </c>
      <c r="C1645" s="1">
        <f>IRS_returns_2015_25[[#This Row],[IRSrtn]]-AVERAGE($B$2:$B$2600)</f>
        <v>-3.7058757950112304</v>
      </c>
      <c r="D1645" s="1">
        <f>w+a*C1644^2+b*D1644</f>
        <v>10.76652631574224</v>
      </c>
      <c r="E1645" s="1">
        <f t="shared" si="25"/>
        <v>-2.7449471534147198</v>
      </c>
      <c r="F1645" s="7">
        <f>SQRT(IRS_returns_2015_25[[#This Row],[  σ2]])</f>
        <v>3.2812385338073549</v>
      </c>
    </row>
    <row r="1646" spans="1:6" x14ac:dyDescent="0.3">
      <c r="A1646" s="2">
        <v>44452</v>
      </c>
      <c r="B1646" s="1">
        <v>4.9739947116067329</v>
      </c>
      <c r="C1646" s="1">
        <f>IRS_returns_2015_25[[#This Row],[IRSrtn]]-AVERAGE($B$2:$B$2600)</f>
        <v>4.9682182175401168</v>
      </c>
      <c r="D1646" s="1">
        <f>w+a*C1645^2+b*D1645</f>
        <v>11.858888820958736</v>
      </c>
      <c r="E1646" s="1">
        <f t="shared" si="25"/>
        <v>-3.1961816432915438</v>
      </c>
      <c r="F1646" s="7">
        <f>SQRT(IRS_returns_2015_25[[#This Row],[  σ2]])</f>
        <v>3.4436737390407264</v>
      </c>
    </row>
    <row r="1647" spans="1:6" x14ac:dyDescent="0.3">
      <c r="A1647" s="2">
        <v>44453</v>
      </c>
      <c r="B1647" s="1">
        <v>-3.4338250031421547</v>
      </c>
      <c r="C1647" s="1">
        <f>IRS_returns_2015_25[[#This Row],[IRSrtn]]-AVERAGE($B$2:$B$2600)</f>
        <v>-3.4396014972087703</v>
      </c>
      <c r="D1647" s="1">
        <f>w+a*C1646^2+b*D1646</f>
        <v>15.253979029857419</v>
      </c>
      <c r="E1647" s="1">
        <f t="shared" si="25"/>
        <v>-2.6691545427048715</v>
      </c>
      <c r="F1647" s="7">
        <f>SQRT(IRS_returns_2015_25[[#This Row],[  σ2]])</f>
        <v>3.9056342672935238</v>
      </c>
    </row>
    <row r="1648" spans="1:6" x14ac:dyDescent="0.3">
      <c r="A1648" s="2">
        <v>44454</v>
      </c>
      <c r="B1648" s="1">
        <v>-1.5401697084645782</v>
      </c>
      <c r="C1648" s="1">
        <f>IRS_returns_2015_25[[#This Row],[IRSrtn]]-AVERAGE($B$2:$B$2600)</f>
        <v>-1.5459462025311941</v>
      </c>
      <c r="D1648" s="1">
        <f>w+a*C1647^2+b*D1647</f>
        <v>14.382679167490307</v>
      </c>
      <c r="E1648" s="1">
        <f t="shared" si="25"/>
        <v>-2.3350351566929293</v>
      </c>
      <c r="F1648" s="7">
        <f>SQRT(IRS_returns_2015_25[[#This Row],[  σ2]])</f>
        <v>3.7924502854342479</v>
      </c>
    </row>
    <row r="1649" spans="1:6" x14ac:dyDescent="0.3">
      <c r="A1649" s="2">
        <v>44455</v>
      </c>
      <c r="B1649" s="1">
        <v>0.44246366871838472</v>
      </c>
      <c r="C1649" s="1">
        <f>IRS_returns_2015_25[[#This Row],[IRSrtn]]-AVERAGE($B$2:$B$2600)</f>
        <v>0.43668717465176893</v>
      </c>
      <c r="D1649" s="1">
        <f>w+a*C1648^2+b*D1648</f>
        <v>11.502365041247426</v>
      </c>
      <c r="E1649" s="1">
        <f t="shared" si="25"/>
        <v>-2.1485042803236549</v>
      </c>
      <c r="F1649" s="7">
        <f>SQRT(IRS_returns_2015_25[[#This Row],[  σ2]])</f>
        <v>3.3915136799440195</v>
      </c>
    </row>
    <row r="1650" spans="1:6" x14ac:dyDescent="0.3">
      <c r="A1650" s="2">
        <v>44456</v>
      </c>
      <c r="B1650" s="1">
        <v>-2.2322168190565206</v>
      </c>
      <c r="C1650" s="1">
        <f>IRS_returns_2015_25[[#This Row],[IRSrtn]]-AVERAGE($B$2:$B$2600)</f>
        <v>-2.2379933131231362</v>
      </c>
      <c r="D1650" s="1">
        <f>w+a*C1649^2+b*D1649</f>
        <v>9.0490440659344067</v>
      </c>
      <c r="E1650" s="1">
        <f t="shared" si="25"/>
        <v>-2.2970163369872063</v>
      </c>
      <c r="F1650" s="7">
        <f>SQRT(IRS_returns_2015_25[[#This Row],[  σ2]])</f>
        <v>3.0081629054847423</v>
      </c>
    </row>
    <row r="1651" spans="1:6" x14ac:dyDescent="0.3">
      <c r="A1651" s="2">
        <v>44459</v>
      </c>
      <c r="B1651" s="1">
        <v>-7.4976663307291025</v>
      </c>
      <c r="C1651" s="1">
        <f>IRS_returns_2015_25[[#This Row],[IRSrtn]]-AVERAGE($B$2:$B$2600)</f>
        <v>-7.5034428247957186</v>
      </c>
      <c r="D1651" s="1">
        <f>w+a*C1650^2+b*D1650</f>
        <v>8.5897119889332814</v>
      </c>
      <c r="E1651" s="1">
        <f t="shared" si="25"/>
        <v>-5.2714936631699159</v>
      </c>
      <c r="F1651" s="7">
        <f>SQRT(IRS_returns_2015_25[[#This Row],[  σ2]])</f>
        <v>2.9308210434847912</v>
      </c>
    </row>
    <row r="1652" spans="1:6" x14ac:dyDescent="0.3">
      <c r="A1652" s="2">
        <v>44460</v>
      </c>
      <c r="B1652" s="1">
        <v>0.72727190711401324</v>
      </c>
      <c r="C1652" s="1">
        <f>IRS_returns_2015_25[[#This Row],[IRSrtn]]-AVERAGE($B$2:$B$2600)</f>
        <v>0.72149541304739739</v>
      </c>
      <c r="D1652" s="1">
        <f>w+a*C1651^2+b*D1651</f>
        <v>20.781464320705663</v>
      </c>
      <c r="E1652" s="1">
        <f t="shared" si="25"/>
        <v>-2.4484937762890562</v>
      </c>
      <c r="F1652" s="7">
        <f>SQRT(IRS_returns_2015_25[[#This Row],[  σ2]])</f>
        <v>4.5586691392012275</v>
      </c>
    </row>
    <row r="1653" spans="1:6" x14ac:dyDescent="0.3">
      <c r="A1653" s="2">
        <v>44461</v>
      </c>
      <c r="B1653" s="1">
        <v>0.48193276831327569</v>
      </c>
      <c r="C1653" s="1">
        <f>IRS_returns_2015_25[[#This Row],[IRSrtn]]-AVERAGE($B$2:$B$2600)</f>
        <v>0.47615627424665991</v>
      </c>
      <c r="D1653" s="1">
        <f>w+a*C1652^2+b*D1652</f>
        <v>15.306665839575222</v>
      </c>
      <c r="E1653" s="1">
        <f t="shared" si="25"/>
        <v>-2.2904888183169532</v>
      </c>
      <c r="F1653" s="7">
        <f>SQRT(IRS_returns_2015_25[[#This Row],[  σ2]])</f>
        <v>3.9123734279303175</v>
      </c>
    </row>
    <row r="1654" spans="1:6" x14ac:dyDescent="0.3">
      <c r="A1654" s="2">
        <v>44462</v>
      </c>
      <c r="B1654" s="1">
        <v>-0.96617201220803306</v>
      </c>
      <c r="C1654" s="1">
        <f>IRS_returns_2015_25[[#This Row],[IRSrtn]]-AVERAGE($B$2:$B$2600)</f>
        <v>-0.9719485062746489</v>
      </c>
      <c r="D1654" s="1">
        <f>w+a*C1653^2+b*D1653</f>
        <v>11.590409173965693</v>
      </c>
      <c r="E1654" s="1">
        <f t="shared" si="25"/>
        <v>-2.1847803414145961</v>
      </c>
      <c r="F1654" s="7">
        <f>SQRT(IRS_returns_2015_25[[#This Row],[  σ2]])</f>
        <v>3.4044690002944207</v>
      </c>
    </row>
    <row r="1655" spans="1:6" x14ac:dyDescent="0.3">
      <c r="A1655" s="2">
        <v>44463</v>
      </c>
      <c r="B1655" s="1">
        <v>-3.7087277544945563</v>
      </c>
      <c r="C1655" s="1">
        <f>IRS_returns_2015_25[[#This Row],[IRSrtn]]-AVERAGE($B$2:$B$2600)</f>
        <v>-3.7145042485611719</v>
      </c>
      <c r="D1655" s="1">
        <f>w+a*C1654^2+b*D1654</f>
        <v>9.2913655696863326</v>
      </c>
      <c r="E1655" s="1">
        <f t="shared" si="25"/>
        <v>-2.7759739792043487</v>
      </c>
      <c r="F1655" s="7">
        <f>SQRT(IRS_returns_2015_25[[#This Row],[  σ2]])</f>
        <v>3.0481741370345516</v>
      </c>
    </row>
    <row r="1656" spans="1:6" x14ac:dyDescent="0.3">
      <c r="A1656" s="2">
        <v>44466</v>
      </c>
      <c r="B1656" s="1">
        <v>3.7087277544945563</v>
      </c>
      <c r="C1656" s="1">
        <f>IRS_returns_2015_25[[#This Row],[IRSrtn]]-AVERAGE($B$2:$B$2600)</f>
        <v>3.7029512604279406</v>
      </c>
      <c r="D1656" s="1">
        <f>w+a*C1655^2+b*D1655</f>
        <v>10.892449676128516</v>
      </c>
      <c r="E1656" s="1">
        <f t="shared" si="25"/>
        <v>-2.742393310593461</v>
      </c>
      <c r="F1656" s="7">
        <f>SQRT(IRS_returns_2015_25[[#This Row],[  σ2]])</f>
        <v>3.3003711421790909</v>
      </c>
    </row>
    <row r="1657" spans="1:6" x14ac:dyDescent="0.3">
      <c r="A1657" s="2">
        <v>44467</v>
      </c>
      <c r="B1657" s="1">
        <v>-3.7087277544945563</v>
      </c>
      <c r="C1657" s="1">
        <f>IRS_returns_2015_25[[#This Row],[IRSrtn]]-AVERAGE($B$2:$B$2600)</f>
        <v>-3.7145042485611719</v>
      </c>
      <c r="D1657" s="1">
        <f>w+a*C1656^2+b*D1656</f>
        <v>11.937438856645439</v>
      </c>
      <c r="E1657" s="1">
        <f t="shared" si="25"/>
        <v>-2.7366887956300845</v>
      </c>
      <c r="F1657" s="7">
        <f>SQRT(IRS_returns_2015_25[[#This Row],[  σ2]])</f>
        <v>3.4550598919042548</v>
      </c>
    </row>
    <row r="1658" spans="1:6" x14ac:dyDescent="0.3">
      <c r="A1658" s="2">
        <v>44468</v>
      </c>
      <c r="B1658" s="1">
        <v>0.75282248821009201</v>
      </c>
      <c r="C1658" s="1">
        <f>IRS_returns_2015_25[[#This Row],[IRSrtn]]-AVERAGE($B$2:$B$2600)</f>
        <v>0.74704599414347617</v>
      </c>
      <c r="D1658" s="1">
        <f>w+a*C1657^2+b*D1657</f>
        <v>12.653984887935067</v>
      </c>
      <c r="E1658" s="1">
        <f t="shared" si="25"/>
        <v>-2.2099760827909041</v>
      </c>
      <c r="F1658" s="7">
        <f>SQRT(IRS_returns_2015_25[[#This Row],[  σ2]])</f>
        <v>3.5572440017427911</v>
      </c>
    </row>
    <row r="1659" spans="1:6" x14ac:dyDescent="0.3">
      <c r="A1659" s="2">
        <v>44469</v>
      </c>
      <c r="B1659" s="1">
        <v>2.2250901512891996</v>
      </c>
      <c r="C1659" s="1">
        <f>IRS_returns_2015_25[[#This Row],[IRSrtn]]-AVERAGE($B$2:$B$2600)</f>
        <v>2.219313657222584</v>
      </c>
      <c r="D1659" s="1">
        <f>w+a*C1658^2+b*D1658</f>
        <v>9.9052091916441167</v>
      </c>
      <c r="E1659" s="1">
        <f t="shared" si="25"/>
        <v>-2.3140933191800608</v>
      </c>
      <c r="F1659" s="7">
        <f>SQRT(IRS_returns_2015_25[[#This Row],[  σ2]])</f>
        <v>3.147254230538759</v>
      </c>
    </row>
    <row r="1660" spans="1:6" x14ac:dyDescent="0.3">
      <c r="A1660" s="2">
        <v>44470</v>
      </c>
      <c r="B1660" s="1">
        <v>12.184968103435345</v>
      </c>
      <c r="C1660" s="1">
        <f>IRS_returns_2015_25[[#This Row],[IRSrtn]]-AVERAGE($B$2:$B$2600)</f>
        <v>12.179191609368729</v>
      </c>
      <c r="D1660" s="1">
        <f>w+a*C1659^2+b*D1659</f>
        <v>9.1393889087232054</v>
      </c>
      <c r="E1660" s="1">
        <f t="shared" si="25"/>
        <v>-10.14025861575913</v>
      </c>
      <c r="F1660" s="7">
        <f>SQRT(IRS_returns_2015_25[[#This Row],[  σ2]])</f>
        <v>3.0231422243624606</v>
      </c>
    </row>
    <row r="1661" spans="1:6" x14ac:dyDescent="0.3">
      <c r="A1661" s="2">
        <v>44473</v>
      </c>
      <c r="B1661" s="1">
        <v>0.43194541627140648</v>
      </c>
      <c r="C1661" s="1">
        <f>IRS_returns_2015_25[[#This Row],[IRSrtn]]-AVERAGE($B$2:$B$2600)</f>
        <v>0.42616892220479069</v>
      </c>
      <c r="D1661" s="1">
        <f>w+a*C1660^2+b*D1660</f>
        <v>43.570738466125221</v>
      </c>
      <c r="E1661" s="1">
        <f t="shared" si="25"/>
        <v>-2.8082156240508898</v>
      </c>
      <c r="F1661" s="7">
        <f>SQRT(IRS_returns_2015_25[[#This Row],[  σ2]])</f>
        <v>6.600813470029677</v>
      </c>
    </row>
    <row r="1662" spans="1:6" x14ac:dyDescent="0.3">
      <c r="A1662" s="2">
        <v>44474</v>
      </c>
      <c r="B1662" s="1">
        <v>0.85838771408111025</v>
      </c>
      <c r="C1662" s="1">
        <f>IRS_returns_2015_25[[#This Row],[IRSrtn]]-AVERAGE($B$2:$B$2600)</f>
        <v>0.85261122001449441</v>
      </c>
      <c r="D1662" s="1">
        <f>w+a*C1661^2+b*D1661</f>
        <v>30.395284922436531</v>
      </c>
      <c r="E1662" s="1">
        <f t="shared" si="25"/>
        <v>-2.6380404824261019</v>
      </c>
      <c r="F1662" s="7">
        <f>SQRT(IRS_returns_2015_25[[#This Row],[  σ2]])</f>
        <v>5.5131918996563627</v>
      </c>
    </row>
    <row r="1663" spans="1:6" x14ac:dyDescent="0.3">
      <c r="A1663" s="2">
        <v>44475</v>
      </c>
      <c r="B1663" s="1">
        <v>-5.0394227886595422</v>
      </c>
      <c r="C1663" s="1">
        <f>IRS_returns_2015_25[[#This Row],[IRSrtn]]-AVERAGE($B$2:$B$2600)</f>
        <v>-5.0451992827261583</v>
      </c>
      <c r="D1663" s="1">
        <f>w+a*C1662^2+b*D1662</f>
        <v>21.757033832511524</v>
      </c>
      <c r="E1663" s="1">
        <f t="shared" si="25"/>
        <v>-3.0438681582104046</v>
      </c>
      <c r="F1663" s="7">
        <f>SQRT(IRS_returns_2015_25[[#This Row],[  σ2]])</f>
        <v>4.6644435715861681</v>
      </c>
    </row>
    <row r="1664" spans="1:6" x14ac:dyDescent="0.3">
      <c r="A1664" s="2">
        <v>44476</v>
      </c>
      <c r="B1664" s="1">
        <v>-0.67642993349601443</v>
      </c>
      <c r="C1664" s="1">
        <f>IRS_returns_2015_25[[#This Row],[IRSrtn]]-AVERAGE($B$2:$B$2600)</f>
        <v>-0.68220642756263028</v>
      </c>
      <c r="D1664" s="1">
        <f>w+a*C1663^2+b*D1663</f>
        <v>22.031155446505252</v>
      </c>
      <c r="E1664" s="1">
        <f t="shared" si="25"/>
        <v>-2.4757297794615365</v>
      </c>
      <c r="F1664" s="7">
        <f>SQRT(IRS_returns_2015_25[[#This Row],[  σ2]])</f>
        <v>4.6937357665835062</v>
      </c>
    </row>
    <row r="1665" spans="1:6" x14ac:dyDescent="0.3">
      <c r="A1665" s="2">
        <v>44477</v>
      </c>
      <c r="B1665" s="1">
        <v>0.22600027087280594</v>
      </c>
      <c r="C1665" s="1">
        <f>IRS_returns_2015_25[[#This Row],[IRSrtn]]-AVERAGE($B$2:$B$2600)</f>
        <v>0.22022377680619015</v>
      </c>
      <c r="D1665" s="1">
        <f>w+a*C1664^2+b*D1664</f>
        <v>16.12516881858971</v>
      </c>
      <c r="E1665" s="1">
        <f t="shared" si="25"/>
        <v>-2.3106330132846065</v>
      </c>
      <c r="F1665" s="7">
        <f>SQRT(IRS_returns_2015_25[[#This Row],[  σ2]])</f>
        <v>4.0156156213698679</v>
      </c>
    </row>
    <row r="1666" spans="1:6" x14ac:dyDescent="0.3">
      <c r="A1666" s="2">
        <v>44480</v>
      </c>
      <c r="B1666" s="1">
        <v>0.22546526520474952</v>
      </c>
      <c r="C1666" s="1">
        <f>IRS_returns_2015_25[[#This Row],[IRSrtn]]-AVERAGE($B$2:$B$2600)</f>
        <v>0.21968877113813373</v>
      </c>
      <c r="D1666" s="1">
        <f>w+a*C1665^2+b*D1665</f>
        <v>12.091875493720412</v>
      </c>
      <c r="E1666" s="1">
        <f t="shared" ref="E1666:E1729" si="26">-0.5*(LN(2*PI())+LN(D1666)+C1666^2/D1666)</f>
        <v>-2.1672011086379022</v>
      </c>
      <c r="F1666" s="7">
        <f>SQRT(IRS_returns_2015_25[[#This Row],[  σ2]])</f>
        <v>3.4773374144193157</v>
      </c>
    </row>
    <row r="1667" spans="1:6" x14ac:dyDescent="0.3">
      <c r="A1667" s="2">
        <v>44482</v>
      </c>
      <c r="B1667" s="1">
        <v>0.89688094337252444</v>
      </c>
      <c r="C1667" s="1">
        <f>IRS_returns_2015_25[[#This Row],[IRSrtn]]-AVERAGE($B$2:$B$2600)</f>
        <v>0.8911044493059086</v>
      </c>
      <c r="D1667" s="1">
        <f>w+a*C1666^2+b*D1666</f>
        <v>9.4067873732568117</v>
      </c>
      <c r="E1667" s="1">
        <f t="shared" si="26"/>
        <v>-2.0818614157343944</v>
      </c>
      <c r="F1667" s="7">
        <f>SQRT(IRS_returns_2015_25[[#This Row],[  σ2]])</f>
        <v>3.0670486421406511</v>
      </c>
    </row>
    <row r="1668" spans="1:6" x14ac:dyDescent="0.3">
      <c r="A1668" s="2">
        <v>44484</v>
      </c>
      <c r="B1668" s="1">
        <v>2.6433231898958409</v>
      </c>
      <c r="C1668" s="1">
        <f>IRS_returns_2015_25[[#This Row],[IRSrtn]]-AVERAGE($B$2:$B$2600)</f>
        <v>2.6375466958292253</v>
      </c>
      <c r="D1668" s="1">
        <f>w+a*C1667^2+b*D1667</f>
        <v>7.800994302809876</v>
      </c>
      <c r="E1668" s="1">
        <f t="shared" si="26"/>
        <v>-2.3919465620920062</v>
      </c>
      <c r="F1668" s="7">
        <f>SQRT(IRS_returns_2015_25[[#This Row],[  σ2]])</f>
        <v>2.7930260118391086</v>
      </c>
    </row>
    <row r="1669" spans="1:6" x14ac:dyDescent="0.3">
      <c r="A1669" s="2">
        <v>44487</v>
      </c>
      <c r="B1669" s="1">
        <v>1.5102502588708822</v>
      </c>
      <c r="C1669" s="1">
        <f>IRS_returns_2015_25[[#This Row],[IRSrtn]]-AVERAGE($B$2:$B$2600)</f>
        <v>1.5044737648042663</v>
      </c>
      <c r="D1669" s="1">
        <f>w+a*C1668^2+b*D1668</f>
        <v>8.2335035333596345</v>
      </c>
      <c r="E1669" s="1">
        <f t="shared" si="26"/>
        <v>-2.1104974551130549</v>
      </c>
      <c r="F1669" s="7">
        <f>SQRT(IRS_returns_2015_25[[#This Row],[  σ2]])</f>
        <v>2.869408220062045</v>
      </c>
    </row>
    <row r="1670" spans="1:6" x14ac:dyDescent="0.3">
      <c r="A1670" s="2">
        <v>44488</v>
      </c>
      <c r="B1670" s="1">
        <v>3.7819840742949307</v>
      </c>
      <c r="C1670" s="1">
        <f>IRS_returns_2015_25[[#This Row],[IRSrtn]]-AVERAGE($B$2:$B$2600)</f>
        <v>3.776207580228315</v>
      </c>
      <c r="D1670" s="1">
        <f>w+a*C1669^2+b*D1669</f>
        <v>7.3779323177041922</v>
      </c>
      <c r="E1670" s="1">
        <f t="shared" si="26"/>
        <v>-2.8845632957722338</v>
      </c>
      <c r="F1670" s="7">
        <f>SQRT(IRS_returns_2015_25[[#This Row],[  σ2]])</f>
        <v>2.7162349525959995</v>
      </c>
    </row>
    <row r="1671" spans="1:6" x14ac:dyDescent="0.3">
      <c r="A1671" s="2">
        <v>44489</v>
      </c>
      <c r="B1671" s="1">
        <v>0.6166480613750247</v>
      </c>
      <c r="C1671" s="1">
        <f>IRS_returns_2015_25[[#This Row],[IRSrtn]]-AVERAGE($B$2:$B$2600)</f>
        <v>0.61087156730840886</v>
      </c>
      <c r="D1671" s="1">
        <f>w+a*C1670^2+b*D1670</f>
        <v>9.7312605607556399</v>
      </c>
      <c r="E1671" s="1">
        <f t="shared" si="26"/>
        <v>-2.0757837244796113</v>
      </c>
      <c r="F1671" s="7">
        <f>SQRT(IRS_returns_2015_25[[#This Row],[  σ2]])</f>
        <v>3.1194968441650395</v>
      </c>
    </row>
    <row r="1672" spans="1:6" x14ac:dyDescent="0.3">
      <c r="A1672" s="2">
        <v>44490</v>
      </c>
      <c r="B1672" s="1">
        <v>-3.3336351732401681</v>
      </c>
      <c r="C1672" s="1">
        <f>IRS_returns_2015_25[[#This Row],[IRSrtn]]-AVERAGE($B$2:$B$2600)</f>
        <v>-3.3394116673067837</v>
      </c>
      <c r="D1672" s="1">
        <f>w+a*C1671^2+b*D1671</f>
        <v>7.9144485916104541</v>
      </c>
      <c r="E1672" s="1">
        <f t="shared" si="26"/>
        <v>-2.6577969525403518</v>
      </c>
      <c r="F1672" s="7">
        <f>SQRT(IRS_returns_2015_25[[#This Row],[  σ2]])</f>
        <v>2.8132629794618302</v>
      </c>
    </row>
    <row r="1673" spans="1:6" x14ac:dyDescent="0.3">
      <c r="A1673" s="2">
        <v>44491</v>
      </c>
      <c r="B1673" s="1">
        <v>2.9229592600637622</v>
      </c>
      <c r="C1673" s="1">
        <f>IRS_returns_2015_25[[#This Row],[IRSrtn]]-AVERAGE($B$2:$B$2600)</f>
        <v>2.9171827659971465</v>
      </c>
      <c r="D1673" s="1">
        <f>w+a*C1672^2+b*D1672</f>
        <v>9.3311470448196943</v>
      </c>
      <c r="E1673" s="1">
        <f t="shared" si="26"/>
        <v>-2.4916147847885002</v>
      </c>
      <c r="F1673" s="7">
        <f>SQRT(IRS_returns_2015_25[[#This Row],[  σ2]])</f>
        <v>3.0546926268971308</v>
      </c>
    </row>
    <row r="1674" spans="1:6" x14ac:dyDescent="0.3">
      <c r="A1674" s="2">
        <v>44494</v>
      </c>
      <c r="B1674" s="1">
        <v>2.2381278954143546</v>
      </c>
      <c r="C1674" s="1">
        <f>IRS_returns_2015_25[[#This Row],[IRSrtn]]-AVERAGE($B$2:$B$2600)</f>
        <v>2.232351401347739</v>
      </c>
      <c r="D1674" s="1">
        <f>w+a*C1673^2+b*D1673</f>
        <v>9.6306136355844085</v>
      </c>
      <c r="E1674" s="1">
        <f t="shared" si="26"/>
        <v>-2.3101386542808866</v>
      </c>
      <c r="F1674" s="7">
        <f>SQRT(IRS_returns_2015_25[[#This Row],[  σ2]])</f>
        <v>3.1033229989133275</v>
      </c>
    </row>
    <row r="1675" spans="1:6" x14ac:dyDescent="0.3">
      <c r="A1675" s="2">
        <v>44495</v>
      </c>
      <c r="B1675" s="1">
        <v>1.3986390075199306</v>
      </c>
      <c r="C1675" s="1">
        <f>IRS_returns_2015_25[[#This Row],[IRSrtn]]-AVERAGE($B$2:$B$2600)</f>
        <v>1.3928625134533148</v>
      </c>
      <c r="D1675" s="1">
        <f>w+a*C1674^2+b*D1674</f>
        <v>8.9707274098152414</v>
      </c>
      <c r="E1675" s="1">
        <f t="shared" si="26"/>
        <v>-2.1240550639646849</v>
      </c>
      <c r="F1675" s="7">
        <f>SQRT(IRS_returns_2015_25[[#This Row],[  σ2]])</f>
        <v>2.9951172614465769</v>
      </c>
    </row>
    <row r="1676" spans="1:6" x14ac:dyDescent="0.3">
      <c r="A1676" s="2">
        <v>44496</v>
      </c>
      <c r="B1676" s="1">
        <v>-1.8018631602913393</v>
      </c>
      <c r="C1676" s="1">
        <f>IRS_returns_2015_25[[#This Row],[IRSrtn]]-AVERAGE($B$2:$B$2600)</f>
        <v>-1.8076396543579552</v>
      </c>
      <c r="D1676" s="1">
        <f>w+a*C1675^2+b*D1675</f>
        <v>7.7899242499318362</v>
      </c>
      <c r="E1676" s="1">
        <f t="shared" si="26"/>
        <v>-2.1550840686459729</v>
      </c>
      <c r="F1676" s="7">
        <f>SQRT(IRS_returns_2015_25[[#This Row],[  σ2]])</f>
        <v>2.7910435772183559</v>
      </c>
    </row>
    <row r="1677" spans="1:6" x14ac:dyDescent="0.3">
      <c r="A1677" s="2">
        <v>44497</v>
      </c>
      <c r="B1677" s="1">
        <v>-1.0152200618542162</v>
      </c>
      <c r="C1677" s="1">
        <f>IRS_returns_2015_25[[#This Row],[IRSrtn]]-AVERAGE($B$2:$B$2600)</f>
        <v>-1.020996555920832</v>
      </c>
      <c r="D1677" s="1">
        <f>w+a*C1676^2+b*D1676</f>
        <v>7.3272877347964638</v>
      </c>
      <c r="E1677" s="1">
        <f t="shared" si="26"/>
        <v>-1.9858749314620625</v>
      </c>
      <c r="F1677" s="7">
        <f>SQRT(IRS_returns_2015_25[[#This Row],[  σ2]])</f>
        <v>2.7068963287862475</v>
      </c>
    </row>
    <row r="1678" spans="1:6" x14ac:dyDescent="0.3">
      <c r="A1678" s="2">
        <v>44498</v>
      </c>
      <c r="B1678" s="1">
        <v>-4.3802610637283745</v>
      </c>
      <c r="C1678" s="1">
        <f>IRS_returns_2015_25[[#This Row],[IRSrtn]]-AVERAGE($B$2:$B$2600)</f>
        <v>-4.3860375577949906</v>
      </c>
      <c r="D1678" s="1">
        <f>w+a*C1677^2+b*D1677</f>
        <v>6.4771511582547374</v>
      </c>
      <c r="E1678" s="1">
        <f t="shared" si="26"/>
        <v>-3.3380933201963541</v>
      </c>
      <c r="F1678" s="7">
        <f>SQRT(IRS_returns_2015_25[[#This Row],[  σ2]])</f>
        <v>2.5450247853910457</v>
      </c>
    </row>
    <row r="1679" spans="1:6" x14ac:dyDescent="0.3">
      <c r="A1679" s="2">
        <v>44501</v>
      </c>
      <c r="B1679" s="1">
        <v>4.9906473626619929</v>
      </c>
      <c r="C1679" s="1">
        <f>IRS_returns_2015_25[[#This Row],[IRSrtn]]-AVERAGE($B$2:$B$2600)</f>
        <v>4.9848708685953769</v>
      </c>
      <c r="D1679" s="1">
        <f>w+a*C1678^2+b*D1678</f>
        <v>10.34438213492056</v>
      </c>
      <c r="E1679" s="1">
        <f t="shared" si="26"/>
        <v>-3.2882440268117925</v>
      </c>
      <c r="F1679" s="7">
        <f>SQRT(IRS_returns_2015_25[[#This Row],[  σ2]])</f>
        <v>3.2162683555512839</v>
      </c>
    </row>
    <row r="1680" spans="1:6" x14ac:dyDescent="0.3">
      <c r="A1680" s="2">
        <v>44502</v>
      </c>
      <c r="B1680" s="1">
        <v>-1.0193940665459422</v>
      </c>
      <c r="C1680" s="1">
        <f>IRS_returns_2015_25[[#This Row],[IRSrtn]]-AVERAGE($B$2:$B$2600)</f>
        <v>-1.0251705606125581</v>
      </c>
      <c r="D1680" s="1">
        <f>w+a*C1679^2+b*D1679</f>
        <v>14.286130425283414</v>
      </c>
      <c r="E1680" s="1">
        <f t="shared" si="26"/>
        <v>-2.2853661586044276</v>
      </c>
      <c r="F1680" s="7">
        <f>SQRT(IRS_returns_2015_25[[#This Row],[  σ2]])</f>
        <v>3.7796997797819092</v>
      </c>
    </row>
    <row r="1681" spans="1:6" x14ac:dyDescent="0.3">
      <c r="A1681" s="2">
        <v>44503</v>
      </c>
      <c r="B1681" s="1">
        <v>0.81632655539880528</v>
      </c>
      <c r="C1681" s="1">
        <f>IRS_returns_2015_25[[#This Row],[IRSrtn]]-AVERAGE($B$2:$B$2600)</f>
        <v>0.81055006133218943</v>
      </c>
      <c r="D1681" s="1">
        <f>w+a*C1680^2+b*D1680</f>
        <v>11.111849984993729</v>
      </c>
      <c r="E1681" s="1">
        <f t="shared" si="26"/>
        <v>-2.1525072329603976</v>
      </c>
      <c r="F1681" s="7">
        <f>SQRT(IRS_returns_2015_25[[#This Row],[  σ2]])</f>
        <v>3.333444162573258</v>
      </c>
    </row>
    <row r="1682" spans="1:6" x14ac:dyDescent="0.3">
      <c r="A1682" s="2">
        <v>44504</v>
      </c>
      <c r="B1682" s="1">
        <v>-2.0534488325713918</v>
      </c>
      <c r="C1682" s="1">
        <f>IRS_returns_2015_25[[#This Row],[IRSrtn]]-AVERAGE($B$2:$B$2600)</f>
        <v>-2.0592253266380074</v>
      </c>
      <c r="D1682" s="1">
        <f>w+a*C1681^2+b*D1681</f>
        <v>8.9026845089264253</v>
      </c>
      <c r="E1682" s="1">
        <f t="shared" si="26"/>
        <v>-2.2502683513614699</v>
      </c>
      <c r="F1682" s="7">
        <f>SQRT(IRS_returns_2015_25[[#This Row],[  σ2]])</f>
        <v>2.9837366688309519</v>
      </c>
    </row>
    <row r="1683" spans="1:6" x14ac:dyDescent="0.3">
      <c r="A1683" s="2">
        <v>44505</v>
      </c>
      <c r="B1683" s="1">
        <v>-0.62435991772329391</v>
      </c>
      <c r="C1683" s="1">
        <f>IRS_returns_2015_25[[#This Row],[IRSrtn]]-AVERAGE($B$2:$B$2600)</f>
        <v>-0.63013641178990976</v>
      </c>
      <c r="D1683" s="1">
        <f>w+a*C1682^2+b*D1682</f>
        <v>8.3051049849316527</v>
      </c>
      <c r="E1683" s="1">
        <f t="shared" si="26"/>
        <v>-2.0012790159559013</v>
      </c>
      <c r="F1683" s="7">
        <f>SQRT(IRS_returns_2015_25[[#This Row],[  σ2]])</f>
        <v>2.881857905055635</v>
      </c>
    </row>
    <row r="1684" spans="1:6" x14ac:dyDescent="0.3">
      <c r="A1684" s="2">
        <v>44508</v>
      </c>
      <c r="B1684" s="1">
        <v>0.41666496928935981</v>
      </c>
      <c r="C1684" s="1">
        <f>IRS_returns_2015_25[[#This Row],[IRSrtn]]-AVERAGE($B$2:$B$2600)</f>
        <v>0.41088847522274402</v>
      </c>
      <c r="D1684" s="1">
        <f>w+a*C1683^2+b*D1683</f>
        <v>6.9708581251928905</v>
      </c>
      <c r="E1684" s="1">
        <f t="shared" si="26"/>
        <v>-1.9019173527822402</v>
      </c>
      <c r="F1684" s="7">
        <f>SQRT(IRS_returns_2015_25[[#This Row],[  σ2]])</f>
        <v>2.6402382705340992</v>
      </c>
    </row>
    <row r="1685" spans="1:6" x14ac:dyDescent="0.3">
      <c r="A1685" s="2">
        <v>44509</v>
      </c>
      <c r="B1685" s="1">
        <v>-1.0449239563752322</v>
      </c>
      <c r="C1685" s="1">
        <f>IRS_returns_2015_25[[#This Row],[IRSrtn]]-AVERAGE($B$2:$B$2600)</f>
        <v>-1.050700450441848</v>
      </c>
      <c r="D1685" s="1">
        <f>w+a*C1684^2+b*D1684</f>
        <v>6.0270164443944019</v>
      </c>
      <c r="E1685" s="1">
        <f t="shared" si="26"/>
        <v>-1.9086498198248967</v>
      </c>
      <c r="F1685" s="7">
        <f>SQRT(IRS_returns_2015_25[[#This Row],[  σ2]])</f>
        <v>2.4549982575135165</v>
      </c>
    </row>
    <row r="1686" spans="1:6" x14ac:dyDescent="0.3">
      <c r="A1686" s="2">
        <v>44510</v>
      </c>
      <c r="B1686" s="1">
        <v>-1.2685266882290991</v>
      </c>
      <c r="C1686" s="1">
        <f>IRS_returns_2015_25[[#This Row],[IRSrtn]]-AVERAGE($B$2:$B$2600)</f>
        <v>-1.2743031822957149</v>
      </c>
      <c r="D1686" s="1">
        <f>w+a*C1685^2+b*D1685</f>
        <v>5.6265324185580834</v>
      </c>
      <c r="E1686" s="1">
        <f t="shared" si="26"/>
        <v>-1.9269879890929289</v>
      </c>
      <c r="F1686" s="7">
        <f>SQRT(IRS_returns_2015_25[[#This Row],[  σ2]])</f>
        <v>2.3720312853244754</v>
      </c>
    </row>
    <row r="1687" spans="1:6" x14ac:dyDescent="0.3">
      <c r="A1687" s="2">
        <v>44511</v>
      </c>
      <c r="B1687" s="1">
        <v>0.21255670205488908</v>
      </c>
      <c r="C1687" s="1">
        <f>IRS_returns_2015_25[[#This Row],[IRSrtn]]-AVERAGE($B$2:$B$2600)</f>
        <v>0.20678020798827329</v>
      </c>
      <c r="D1687" s="1">
        <f>w+a*C1686^2+b*D1686</f>
        <v>5.4865914598909589</v>
      </c>
      <c r="E1687" s="1">
        <f t="shared" si="26"/>
        <v>-1.773988728283532</v>
      </c>
      <c r="F1687" s="7">
        <f>SQRT(IRS_returns_2015_25[[#This Row],[  σ2]])</f>
        <v>2.3423474251039189</v>
      </c>
    </row>
    <row r="1688" spans="1:6" x14ac:dyDescent="0.3">
      <c r="A1688" s="2">
        <v>44512</v>
      </c>
      <c r="B1688" s="1">
        <v>-0.21255670205488908</v>
      </c>
      <c r="C1688" s="1">
        <f>IRS_returns_2015_25[[#This Row],[IRSrtn]]-AVERAGE($B$2:$B$2600)</f>
        <v>-0.21833319612150487</v>
      </c>
      <c r="D1688" s="1">
        <f>w+a*C1687^2+b*D1687</f>
        <v>5.0081980789221348</v>
      </c>
      <c r="E1688" s="1">
        <f t="shared" si="26"/>
        <v>-1.7292357612622005</v>
      </c>
      <c r="F1688" s="7">
        <f>SQRT(IRS_returns_2015_25[[#This Row],[  σ2]])</f>
        <v>2.237900372876803</v>
      </c>
    </row>
    <row r="1689" spans="1:6" x14ac:dyDescent="0.3">
      <c r="A1689" s="2">
        <v>44515</v>
      </c>
      <c r="B1689" s="1">
        <v>0.63625988126201349</v>
      </c>
      <c r="C1689" s="1">
        <f>IRS_returns_2015_25[[#This Row],[IRSrtn]]-AVERAGE($B$2:$B$2600)</f>
        <v>0.63048338719539765</v>
      </c>
      <c r="D1689" s="1">
        <f>w+a*C1688^2+b*D1688</f>
        <v>4.6909202541143102</v>
      </c>
      <c r="E1689" s="1">
        <f t="shared" si="26"/>
        <v>-1.7341229995826331</v>
      </c>
      <c r="F1689" s="7">
        <f>SQRT(IRS_returns_2015_25[[#This Row],[  σ2]])</f>
        <v>2.16585323928338</v>
      </c>
    </row>
    <row r="1690" spans="1:6" x14ac:dyDescent="0.3">
      <c r="A1690" s="2">
        <v>44516</v>
      </c>
      <c r="B1690" s="1">
        <v>-3.2226209452623999</v>
      </c>
      <c r="C1690" s="1">
        <f>IRS_returns_2015_25[[#This Row],[IRSrtn]]-AVERAGE($B$2:$B$2600)</f>
        <v>-3.2283974393290156</v>
      </c>
      <c r="D1690" s="1">
        <f>w+a*C1689^2+b*D1689</f>
        <v>4.5649415182500341</v>
      </c>
      <c r="E1690" s="1">
        <f t="shared" si="26"/>
        <v>-2.8197277538731313</v>
      </c>
      <c r="F1690" s="7">
        <f>SQRT(IRS_returns_2015_25[[#This Row],[  σ2]])</f>
        <v>2.1365723760851245</v>
      </c>
    </row>
    <row r="1691" spans="1:6" x14ac:dyDescent="0.3">
      <c r="A1691" s="2">
        <v>44517</v>
      </c>
      <c r="B1691" s="1">
        <v>-0.43762887549509966</v>
      </c>
      <c r="C1691" s="1">
        <f>IRS_returns_2015_25[[#This Row],[IRSrtn]]-AVERAGE($B$2:$B$2600)</f>
        <v>-0.44340536956171545</v>
      </c>
      <c r="D1691" s="1">
        <f>w+a*C1690^2+b*D1690</f>
        <v>6.9236742225633021</v>
      </c>
      <c r="E1691" s="1">
        <f t="shared" si="26"/>
        <v>-1.9006100910011645</v>
      </c>
      <c r="F1691" s="7">
        <f>SQRT(IRS_returns_2015_25[[#This Row],[  σ2]])</f>
        <v>2.6312875598389662</v>
      </c>
    </row>
    <row r="1692" spans="1:6" x14ac:dyDescent="0.3">
      <c r="A1692" s="2">
        <v>44518</v>
      </c>
      <c r="B1692" s="1">
        <v>-4.4850634223063457</v>
      </c>
      <c r="C1692" s="1">
        <f>IRS_returns_2015_25[[#This Row],[IRSrtn]]-AVERAGE($B$2:$B$2600)</f>
        <v>-4.4908399163729618</v>
      </c>
      <c r="D1692" s="1">
        <f>w+a*C1691^2+b*D1691</f>
        <v>6.0023736745214817</v>
      </c>
      <c r="E1692" s="1">
        <f t="shared" si="26"/>
        <v>-3.4949883465404179</v>
      </c>
      <c r="F1692" s="7">
        <f>SQRT(IRS_returns_2015_25[[#This Row],[  σ2]])</f>
        <v>2.4499742191544551</v>
      </c>
    </row>
    <row r="1693" spans="1:6" x14ac:dyDescent="0.3">
      <c r="A1693" s="2">
        <v>44519</v>
      </c>
      <c r="B1693" s="1">
        <v>-3.2636880592086692</v>
      </c>
      <c r="C1693" s="1">
        <f>IRS_returns_2015_25[[#This Row],[IRSrtn]]-AVERAGE($B$2:$B$2600)</f>
        <v>-3.2694645532752848</v>
      </c>
      <c r="D1693" s="1">
        <f>w+a*C1692^2+b*D1692</f>
        <v>10.254986520409668</v>
      </c>
      <c r="E1693" s="1">
        <f t="shared" si="26"/>
        <v>-2.6040010942093716</v>
      </c>
      <c r="F1693" s="7">
        <f>SQRT(IRS_returns_2015_25[[#This Row],[  σ2]])</f>
        <v>3.2023407876754262</v>
      </c>
    </row>
    <row r="1694" spans="1:6" x14ac:dyDescent="0.3">
      <c r="A1694" s="2">
        <v>44523</v>
      </c>
      <c r="B1694" s="1">
        <v>-2.8848060817981969</v>
      </c>
      <c r="C1694" s="1">
        <f>IRS_returns_2015_25[[#This Row],[IRSrtn]]-AVERAGE($B$2:$B$2600)</f>
        <v>-2.8905825758648125</v>
      </c>
      <c r="D1694" s="1">
        <f>w+a*C1693^2+b*D1693</f>
        <v>10.7766498404809</v>
      </c>
      <c r="E1694" s="1">
        <f t="shared" si="26"/>
        <v>-2.4952947616440055</v>
      </c>
      <c r="F1694" s="7">
        <f>SQRT(IRS_returns_2015_25[[#This Row],[  σ2]])</f>
        <v>3.2827808090825834</v>
      </c>
    </row>
    <row r="1695" spans="1:6" x14ac:dyDescent="0.3">
      <c r="A1695" s="2">
        <v>44524</v>
      </c>
      <c r="B1695" s="1">
        <v>0.48662991249575072</v>
      </c>
      <c r="C1695" s="1">
        <f>IRS_returns_2015_25[[#This Row],[IRSrtn]]-AVERAGE($B$2:$B$2600)</f>
        <v>0.48085341842913493</v>
      </c>
      <c r="D1695" s="1">
        <f>w+a*C1694^2+b*D1694</f>
        <v>10.55526812260797</v>
      </c>
      <c r="E1695" s="1">
        <f t="shared" si="26"/>
        <v>-2.1082038999475436</v>
      </c>
      <c r="F1695" s="7">
        <f>SQRT(IRS_returns_2015_25[[#This Row],[  σ2]])</f>
        <v>3.2488872129712307</v>
      </c>
    </row>
    <row r="1696" spans="1:6" x14ac:dyDescent="0.3">
      <c r="A1696" s="2">
        <v>44526</v>
      </c>
      <c r="B1696" s="1">
        <v>-1.7136461320480745</v>
      </c>
      <c r="C1696" s="1">
        <f>IRS_returns_2015_25[[#This Row],[IRSrtn]]-AVERAGE($B$2:$B$2600)</f>
        <v>-1.7194226261146903</v>
      </c>
      <c r="D1696" s="1">
        <f>w+a*C1695^2+b*D1695</f>
        <v>8.4284195596238956</v>
      </c>
      <c r="E1696" s="1">
        <f t="shared" si="26"/>
        <v>-2.1601268329417822</v>
      </c>
      <c r="F1696" s="7">
        <f>SQRT(IRS_returns_2015_25[[#This Row],[  σ2]])</f>
        <v>2.9031740491441251</v>
      </c>
    </row>
    <row r="1697" spans="1:6" x14ac:dyDescent="0.3">
      <c r="A1697" s="2">
        <v>44529</v>
      </c>
      <c r="B1697" s="1">
        <v>1.2270162195523238</v>
      </c>
      <c r="C1697" s="1">
        <f>IRS_returns_2015_25[[#This Row],[IRSrtn]]-AVERAGE($B$2:$B$2600)</f>
        <v>1.2212397254857079</v>
      </c>
      <c r="D1697" s="1">
        <f>w+a*C1696^2+b*D1696</f>
        <v>7.6765338507366243</v>
      </c>
      <c r="E1697" s="1">
        <f t="shared" si="26"/>
        <v>-2.0351645146111128</v>
      </c>
      <c r="F1697" s="7">
        <f>SQRT(IRS_returns_2015_25[[#This Row],[  σ2]])</f>
        <v>2.7706558520928981</v>
      </c>
    </row>
    <row r="1698" spans="1:6" x14ac:dyDescent="0.3">
      <c r="A1698" s="2">
        <v>44530</v>
      </c>
      <c r="B1698" s="1">
        <v>3.5931942897823088</v>
      </c>
      <c r="C1698" s="1">
        <f>IRS_returns_2015_25[[#This Row],[IRSrtn]]-AVERAGE($B$2:$B$2600)</f>
        <v>3.5874177957156932</v>
      </c>
      <c r="D1698" s="1">
        <f>w+a*C1697^2+b*D1697</f>
        <v>6.8190470534713956</v>
      </c>
      <c r="E1698" s="1">
        <f t="shared" si="26"/>
        <v>-2.8224468557119766</v>
      </c>
      <c r="F1698" s="7">
        <f>SQRT(IRS_returns_2015_25[[#This Row],[  σ2]])</f>
        <v>2.611330514023722</v>
      </c>
    </row>
    <row r="1699" spans="1:6" x14ac:dyDescent="0.3">
      <c r="A1699" s="2">
        <v>44531</v>
      </c>
      <c r="B1699" s="1">
        <v>12.585498806064654</v>
      </c>
      <c r="C1699" s="1">
        <f>IRS_returns_2015_25[[#This Row],[IRSrtn]]-AVERAGE($B$2:$B$2600)</f>
        <v>12.579722311998038</v>
      </c>
      <c r="D1699" s="1">
        <f>w+a*C1698^2+b*D1698</f>
        <v>9.020484934538441</v>
      </c>
      <c r="E1699" s="1">
        <f t="shared" si="26"/>
        <v>-10.790356431844661</v>
      </c>
      <c r="F1699" s="7">
        <f>SQRT(IRS_returns_2015_25[[#This Row],[  σ2]])</f>
        <v>3.0034122152209544</v>
      </c>
    </row>
    <row r="1700" spans="1:6" x14ac:dyDescent="0.3">
      <c r="A1700" s="2">
        <v>44532</v>
      </c>
      <c r="B1700" s="1">
        <v>-3.3758529122170033</v>
      </c>
      <c r="C1700" s="1">
        <f>IRS_returns_2015_25[[#This Row],[IRSrtn]]-AVERAGE($B$2:$B$2600)</f>
        <v>-3.381629406283619</v>
      </c>
      <c r="D1700" s="1">
        <f>w+a*C1699^2+b*D1699</f>
        <v>45.907785029365769</v>
      </c>
      <c r="E1700" s="1">
        <f t="shared" si="26"/>
        <v>-2.9568035818880589</v>
      </c>
      <c r="F1700" s="7">
        <f>SQRT(IRS_returns_2015_25[[#This Row],[  σ2]])</f>
        <v>6.7755283948461003</v>
      </c>
    </row>
    <row r="1701" spans="1:6" x14ac:dyDescent="0.3">
      <c r="A1701" s="2">
        <v>44533</v>
      </c>
      <c r="B1701" s="1">
        <v>-1.2959072051512477</v>
      </c>
      <c r="C1701" s="1">
        <f>IRS_returns_2015_25[[#This Row],[IRSrtn]]-AVERAGE($B$2:$B$2600)</f>
        <v>-1.3016836992178635</v>
      </c>
      <c r="D1701" s="1">
        <f>w+a*C1700^2+b*D1700</f>
        <v>34.693081035698874</v>
      </c>
      <c r="E1701" s="1">
        <f t="shared" si="26"/>
        <v>-2.7166282428903834</v>
      </c>
      <c r="F1701" s="7">
        <f>SQRT(IRS_returns_2015_25[[#This Row],[  σ2]])</f>
        <v>5.8900832791819573</v>
      </c>
    </row>
    <row r="1702" spans="1:6" x14ac:dyDescent="0.3">
      <c r="A1702" s="2">
        <v>44536</v>
      </c>
      <c r="B1702" s="1">
        <v>-1.0929194442092838</v>
      </c>
      <c r="C1702" s="1">
        <f>IRS_returns_2015_25[[#This Row],[IRSrtn]]-AVERAGE($B$2:$B$2600)</f>
        <v>-1.0986959382758996</v>
      </c>
      <c r="D1702" s="1">
        <f>w+a*C1701^2+b*D1701</f>
        <v>24.853863742467912</v>
      </c>
      <c r="E1702" s="1">
        <f t="shared" si="26"/>
        <v>-2.5497297545052557</v>
      </c>
      <c r="F1702" s="7">
        <f>SQRT(IRS_returns_2015_25[[#This Row],[  σ2]])</f>
        <v>4.9853649557949025</v>
      </c>
    </row>
    <row r="1703" spans="1:6" x14ac:dyDescent="0.3">
      <c r="A1703" s="2">
        <v>44537</v>
      </c>
      <c r="B1703" s="1">
        <v>2.8171024970189196</v>
      </c>
      <c r="C1703" s="1">
        <f>IRS_returns_2015_25[[#This Row],[IRSrtn]]-AVERAGE($B$2:$B$2600)</f>
        <v>2.8113260029523039</v>
      </c>
      <c r="D1703" s="1">
        <f>w+a*C1702^2+b*D1702</f>
        <v>18.185014557834194</v>
      </c>
      <c r="E1703" s="1">
        <f t="shared" si="26"/>
        <v>-2.5865470016403149</v>
      </c>
      <c r="F1703" s="7">
        <f>SQRT(IRS_returns_2015_25[[#This Row],[  σ2]])</f>
        <v>4.2643891189517626</v>
      </c>
    </row>
    <row r="1704" spans="1:6" x14ac:dyDescent="0.3">
      <c r="A1704" s="2">
        <v>44538</v>
      </c>
      <c r="B1704" s="1">
        <v>-3.2576356322262301</v>
      </c>
      <c r="C1704" s="1">
        <f>IRS_returns_2015_25[[#This Row],[IRSrtn]]-AVERAGE($B$2:$B$2600)</f>
        <v>-3.2634121262928457</v>
      </c>
      <c r="D1704" s="1">
        <f>w+a*C1703^2+b*D1703</f>
        <v>15.377031656798348</v>
      </c>
      <c r="E1704" s="1">
        <f t="shared" si="26"/>
        <v>-2.6316671153107984</v>
      </c>
      <c r="F1704" s="7">
        <f>SQRT(IRS_returns_2015_25[[#This Row],[  σ2]])</f>
        <v>3.9213558441944985</v>
      </c>
    </row>
    <row r="1705" spans="1:6" x14ac:dyDescent="0.3">
      <c r="A1705" s="2">
        <v>44539</v>
      </c>
      <c r="B1705" s="1">
        <v>-2.4582170899293265</v>
      </c>
      <c r="C1705" s="1">
        <f>IRS_returns_2015_25[[#This Row],[IRSrtn]]-AVERAGE($B$2:$B$2600)</f>
        <v>-2.4639935839959421</v>
      </c>
      <c r="D1705" s="1">
        <f>w+a*C1704^2+b*D1704</f>
        <v>14.176847041011953</v>
      </c>
      <c r="E1705" s="1">
        <f t="shared" si="26"/>
        <v>-2.4588696503743224</v>
      </c>
      <c r="F1705" s="7">
        <f>SQRT(IRS_returns_2015_25[[#This Row],[  σ2]])</f>
        <v>3.7652154043310659</v>
      </c>
    </row>
    <row r="1706" spans="1:6" x14ac:dyDescent="0.3">
      <c r="A1706" s="2">
        <v>44540</v>
      </c>
      <c r="B1706" s="1">
        <v>3.55592312967552</v>
      </c>
      <c r="C1706" s="1">
        <f>IRS_returns_2015_25[[#This Row],[IRSrtn]]-AVERAGE($B$2:$B$2600)</f>
        <v>3.5501466356089044</v>
      </c>
      <c r="D1706" s="1">
        <f>w+a*C1705^2+b*D1705</f>
        <v>12.262290634947309</v>
      </c>
      <c r="E1706" s="1">
        <f t="shared" si="26"/>
        <v>-2.6861175397997634</v>
      </c>
      <c r="F1706" s="7">
        <f>SQRT(IRS_returns_2015_25[[#This Row],[  σ2]])</f>
        <v>3.5017553648059581</v>
      </c>
    </row>
    <row r="1707" spans="1:6" x14ac:dyDescent="0.3">
      <c r="A1707" s="2">
        <v>44543</v>
      </c>
      <c r="B1707" s="1">
        <v>-2.2075766502254401</v>
      </c>
      <c r="C1707" s="1">
        <f>IRS_returns_2015_25[[#This Row],[IRSrtn]]-AVERAGE($B$2:$B$2600)</f>
        <v>-2.2133531442920558</v>
      </c>
      <c r="D1707" s="1">
        <f>w+a*C1706^2+b*D1706</f>
        <v>12.579326156958299</v>
      </c>
      <c r="E1707" s="1">
        <f t="shared" si="26"/>
        <v>-2.3796874403909323</v>
      </c>
      <c r="F1707" s="7">
        <f>SQRT(IRS_returns_2015_25[[#This Row],[  σ2]])</f>
        <v>3.54673457661527</v>
      </c>
    </row>
    <row r="1708" spans="1:6" x14ac:dyDescent="0.3">
      <c r="A1708" s="2">
        <v>44544</v>
      </c>
      <c r="B1708" s="1">
        <v>-4.8009336780155731</v>
      </c>
      <c r="C1708" s="1">
        <f>IRS_returns_2015_25[[#This Row],[IRSrtn]]-AVERAGE($B$2:$B$2600)</f>
        <v>-4.8067101720821892</v>
      </c>
      <c r="D1708" s="1">
        <f>w+a*C1707^2+b*D1707</f>
        <v>10.913155803222272</v>
      </c>
      <c r="E1708" s="1">
        <f t="shared" si="26"/>
        <v>-3.1724831448831434</v>
      </c>
      <c r="F1708" s="7">
        <f>SQRT(IRS_returns_2015_25[[#This Row],[  σ2]])</f>
        <v>3.3035065919749989</v>
      </c>
    </row>
    <row r="1709" spans="1:6" x14ac:dyDescent="0.3">
      <c r="A1709" s="2">
        <v>44545</v>
      </c>
      <c r="B1709" s="1">
        <v>-1.4151033554898662</v>
      </c>
      <c r="C1709" s="1">
        <f>IRS_returns_2015_25[[#This Row],[IRSrtn]]-AVERAGE($B$2:$B$2600)</f>
        <v>-1.4208798495564821</v>
      </c>
      <c r="D1709" s="1">
        <f>w+a*C1708^2+b*D1708</f>
        <v>14.239731656838337</v>
      </c>
      <c r="E1709" s="1">
        <f t="shared" si="26"/>
        <v>-2.3178462266003095</v>
      </c>
      <c r="F1709" s="7">
        <f>SQRT(IRS_returns_2015_25[[#This Row],[  σ2]])</f>
        <v>3.7735568972573259</v>
      </c>
    </row>
    <row r="1710" spans="1:6" x14ac:dyDescent="0.3">
      <c r="A1710" s="2">
        <v>44546</v>
      </c>
      <c r="B1710" s="1">
        <v>-1.9185335241366452</v>
      </c>
      <c r="C1710" s="1">
        <f>IRS_returns_2015_25[[#This Row],[IRSrtn]]-AVERAGE($B$2:$B$2600)</f>
        <v>-1.9243100182032611</v>
      </c>
      <c r="D1710" s="1">
        <f>w+a*C1709^2+b*D1709</f>
        <v>11.316796219747658</v>
      </c>
      <c r="E1710" s="1">
        <f t="shared" si="26"/>
        <v>-2.2956875466873208</v>
      </c>
      <c r="F1710" s="7">
        <f>SQRT(IRS_returns_2015_25[[#This Row],[  σ2]])</f>
        <v>3.3640446221397924</v>
      </c>
    </row>
    <row r="1711" spans="1:6" x14ac:dyDescent="0.3">
      <c r="A1711" s="2">
        <v>44547</v>
      </c>
      <c r="B1711" s="1">
        <v>1.4423314091938311</v>
      </c>
      <c r="C1711" s="1">
        <f>IRS_returns_2015_25[[#This Row],[IRSrtn]]-AVERAGE($B$2:$B$2600)</f>
        <v>1.4365549151272152</v>
      </c>
      <c r="D1711" s="1">
        <f>w+a*C1710^2+b*D1710</f>
        <v>9.7812723913725517</v>
      </c>
      <c r="E1711" s="1">
        <f t="shared" si="26"/>
        <v>-2.1646652219978866</v>
      </c>
      <c r="F1711" s="7">
        <f>SQRT(IRS_returns_2015_25[[#This Row],[  σ2]])</f>
        <v>3.1275025805540997</v>
      </c>
    </row>
    <row r="1712" spans="1:6" x14ac:dyDescent="0.3">
      <c r="A1712" s="2">
        <v>44550</v>
      </c>
      <c r="B1712" s="1">
        <v>-4.6406459939233313</v>
      </c>
      <c r="C1712" s="1">
        <f>IRS_returns_2015_25[[#This Row],[IRSrtn]]-AVERAGE($B$2:$B$2600)</f>
        <v>-4.6464224879899474</v>
      </c>
      <c r="D1712" s="1">
        <f>w+a*C1711^2+b*D1711</f>
        <v>8.3596385604932255</v>
      </c>
      <c r="E1712" s="1">
        <f t="shared" si="26"/>
        <v>-3.2719245606080722</v>
      </c>
      <c r="F1712" s="7">
        <f>SQRT(IRS_returns_2015_25[[#This Row],[  σ2]])</f>
        <v>2.891303955050943</v>
      </c>
    </row>
    <row r="1713" spans="1:6" x14ac:dyDescent="0.3">
      <c r="A1713" s="2">
        <v>44551</v>
      </c>
      <c r="B1713" s="1">
        <v>4.8790170881219064</v>
      </c>
      <c r="C1713" s="1">
        <f>IRS_returns_2015_25[[#This Row],[IRSrtn]]-AVERAGE($B$2:$B$2600)</f>
        <v>4.8732405940552903</v>
      </c>
      <c r="D1713" s="1">
        <f>w+a*C1712^2+b*D1712</f>
        <v>12.170629367321695</v>
      </c>
      <c r="E1713" s="1">
        <f t="shared" si="26"/>
        <v>-3.1440982540844487</v>
      </c>
      <c r="F1713" s="7">
        <f>SQRT(IRS_returns_2015_25[[#This Row],[  σ2]])</f>
        <v>3.4886429119819207</v>
      </c>
    </row>
    <row r="1714" spans="1:6" x14ac:dyDescent="0.3">
      <c r="A1714" s="2">
        <v>44552</v>
      </c>
      <c r="B1714" s="1">
        <v>-0.47730501023366401</v>
      </c>
      <c r="C1714" s="1">
        <f>IRS_returns_2015_25[[#This Row],[IRSrtn]]-AVERAGE($B$2:$B$2600)</f>
        <v>-0.4830815043002798</v>
      </c>
      <c r="D1714" s="1">
        <f>w+a*C1713^2+b*D1713</f>
        <v>15.233766007203769</v>
      </c>
      <c r="E1714" s="1">
        <f t="shared" si="26"/>
        <v>-2.2883552942543162</v>
      </c>
      <c r="F1714" s="7">
        <f>SQRT(IRS_returns_2015_25[[#This Row],[  σ2]])</f>
        <v>3.9030457347056244</v>
      </c>
    </row>
    <row r="1715" spans="1:6" x14ac:dyDescent="0.3">
      <c r="A1715" s="2">
        <v>44553</v>
      </c>
      <c r="B1715" s="1">
        <v>3.0626419273663608</v>
      </c>
      <c r="C1715" s="1">
        <f>IRS_returns_2015_25[[#This Row],[IRSrtn]]-AVERAGE($B$2:$B$2600)</f>
        <v>3.0568654332997451</v>
      </c>
      <c r="D1715" s="1">
        <f>w+a*C1714^2+b*D1714</f>
        <v>11.54349708851097</v>
      </c>
      <c r="E1715" s="1">
        <f t="shared" si="26"/>
        <v>-2.5467481617246381</v>
      </c>
      <c r="F1715" s="7">
        <f>SQRT(IRS_returns_2015_25[[#This Row],[  σ2]])</f>
        <v>3.3975722344802279</v>
      </c>
    </row>
    <row r="1716" spans="1:6" x14ac:dyDescent="0.3">
      <c r="A1716" s="2">
        <v>44557</v>
      </c>
      <c r="B1716" s="1">
        <v>-1.4018843616835808</v>
      </c>
      <c r="C1716" s="1">
        <f>IRS_returns_2015_25[[#This Row],[IRSrtn]]-AVERAGE($B$2:$B$2600)</f>
        <v>-1.4076608557501966</v>
      </c>
      <c r="D1716" s="1">
        <f>w+a*C1715^2+b*D1715</f>
        <v>11.306730698420377</v>
      </c>
      <c r="E1716" s="1">
        <f t="shared" si="26"/>
        <v>-2.2192628262366534</v>
      </c>
      <c r="F1716" s="7">
        <f>SQRT(IRS_returns_2015_25[[#This Row],[  σ2]])</f>
        <v>3.3625482447721664</v>
      </c>
    </row>
    <row r="1717" spans="1:6" x14ac:dyDescent="0.3">
      <c r="A1717" s="2">
        <v>44558</v>
      </c>
      <c r="B1717" s="1">
        <v>-4.8202105093346326</v>
      </c>
      <c r="C1717" s="1">
        <f>IRS_returns_2015_25[[#This Row],[IRSrtn]]-AVERAGE($B$2:$B$2600)</f>
        <v>-4.8259870034012486</v>
      </c>
      <c r="D1717" s="1">
        <f>w+a*C1716^2+b*D1716</f>
        <v>9.3551382841006046</v>
      </c>
      <c r="E1717" s="1">
        <f t="shared" si="26"/>
        <v>-3.2816799336405191</v>
      </c>
      <c r="F1717" s="7">
        <f>SQRT(IRS_returns_2015_25[[#This Row],[  σ2]])</f>
        <v>3.0586170541767084</v>
      </c>
    </row>
    <row r="1718" spans="1:6" x14ac:dyDescent="0.3">
      <c r="A1718" s="2">
        <v>44559</v>
      </c>
      <c r="B1718" s="1">
        <v>-0.24721055864818098</v>
      </c>
      <c r="C1718" s="1">
        <f>IRS_returns_2015_25[[#This Row],[IRSrtn]]-AVERAGE($B$2:$B$2600)</f>
        <v>-0.25298705271479677</v>
      </c>
      <c r="D1718" s="1">
        <f>w+a*C1717^2+b*D1717</f>
        <v>13.2477761633894</v>
      </c>
      <c r="E1718" s="1">
        <f t="shared" si="26"/>
        <v>-2.2132689761888535</v>
      </c>
      <c r="F1718" s="7">
        <f>SQRT(IRS_returns_2015_25[[#This Row],[  σ2]])</f>
        <v>3.6397494643710573</v>
      </c>
    </row>
    <row r="1719" spans="1:6" x14ac:dyDescent="0.3">
      <c r="A1719" s="2">
        <v>44560</v>
      </c>
      <c r="B1719" s="1">
        <v>4.5957247144820634</v>
      </c>
      <c r="C1719" s="1">
        <f>IRS_returns_2015_25[[#This Row],[IRSrtn]]-AVERAGE($B$2:$B$2600)</f>
        <v>4.5899482204154474</v>
      </c>
      <c r="D1719" s="1">
        <f>w+a*C1718^2+b*D1718</f>
        <v>10.180124643017946</v>
      </c>
      <c r="E1719" s="1">
        <f t="shared" si="26"/>
        <v>-3.1139001233129391</v>
      </c>
      <c r="F1719" s="7">
        <f>SQRT(IRS_returns_2015_25[[#This Row],[  σ2]])</f>
        <v>3.1906307594295433</v>
      </c>
    </row>
    <row r="1720" spans="1:6" x14ac:dyDescent="0.3">
      <c r="A1720" s="2">
        <v>44561</v>
      </c>
      <c r="B1720" s="1">
        <v>0.70672601462300477</v>
      </c>
      <c r="C1720" s="1">
        <f>IRS_returns_2015_25[[#This Row],[IRSrtn]]-AVERAGE($B$2:$B$2600)</f>
        <v>0.70094952055638893</v>
      </c>
      <c r="D1720" s="1">
        <f>w+a*C1719^2+b*D1719</f>
        <v>13.255465451422694</v>
      </c>
      <c r="E1720" s="1">
        <f t="shared" si="26"/>
        <v>-2.2296766290874626</v>
      </c>
      <c r="F1720" s="7">
        <f>SQRT(IRS_returns_2015_25[[#This Row],[  σ2]])</f>
        <v>3.6408056047285324</v>
      </c>
    </row>
    <row r="1721" spans="1:6" x14ac:dyDescent="0.3">
      <c r="A1721" s="2">
        <v>44565</v>
      </c>
      <c r="B1721" s="1">
        <v>-2.6160811050194521</v>
      </c>
      <c r="C1721" s="1">
        <f>IRS_returns_2015_25[[#This Row],[IRSrtn]]-AVERAGE($B$2:$B$2600)</f>
        <v>-2.6218575990860677</v>
      </c>
      <c r="D1721" s="1">
        <f>w+a*C1720^2+b*D1720</f>
        <v>10.289361845725173</v>
      </c>
      <c r="E1721" s="1">
        <f t="shared" si="26"/>
        <v>-2.4185347904014698</v>
      </c>
      <c r="F1721" s="7">
        <f>SQRT(IRS_returns_2015_25[[#This Row],[  σ2]])</f>
        <v>3.2077035158700644</v>
      </c>
    </row>
    <row r="1722" spans="1:6" x14ac:dyDescent="0.3">
      <c r="A1722" s="2">
        <v>44566</v>
      </c>
      <c r="B1722" s="1">
        <v>-2.1925581306474928</v>
      </c>
      <c r="C1722" s="1">
        <f>IRS_returns_2015_25[[#This Row],[IRSrtn]]-AVERAGE($B$2:$B$2600)</f>
        <v>-2.1983346247141085</v>
      </c>
      <c r="D1722" s="1">
        <f>w+a*C1721^2+b*D1721</f>
        <v>9.8699465611249124</v>
      </c>
      <c r="E1722" s="1">
        <f t="shared" si="26"/>
        <v>-2.308503447199989</v>
      </c>
      <c r="F1722" s="7">
        <f>SQRT(IRS_returns_2015_25[[#This Row],[  σ2]])</f>
        <v>3.1416471095788134</v>
      </c>
    </row>
    <row r="1723" spans="1:6" x14ac:dyDescent="0.3">
      <c r="A1723" s="2">
        <v>44567</v>
      </c>
      <c r="B1723" s="1">
        <v>-0.24660093478994227</v>
      </c>
      <c r="C1723" s="1">
        <f>IRS_returns_2015_25[[#This Row],[IRSrtn]]-AVERAGE($B$2:$B$2600)</f>
        <v>-0.25237742885655806</v>
      </c>
      <c r="D1723" s="1">
        <f>w+a*C1722^2+b*D1722</f>
        <v>9.0933330161500123</v>
      </c>
      <c r="E1723" s="1">
        <f t="shared" si="26"/>
        <v>-2.0262115442677779</v>
      </c>
      <c r="F1723" s="7">
        <f>SQRT(IRS_returns_2015_25[[#This Row],[  σ2]])</f>
        <v>3.0155153815144122</v>
      </c>
    </row>
    <row r="1724" spans="1:6" x14ac:dyDescent="0.3">
      <c r="A1724" s="2">
        <v>44568</v>
      </c>
      <c r="B1724" s="1">
        <v>-1.7434963887236199</v>
      </c>
      <c r="C1724" s="1">
        <f>IRS_returns_2015_25[[#This Row],[IRSrtn]]-AVERAGE($B$2:$B$2600)</f>
        <v>-1.7492728827902357</v>
      </c>
      <c r="D1724" s="1">
        <f>w+a*C1723^2+b*D1723</f>
        <v>7.4143673411821647</v>
      </c>
      <c r="E1724" s="1">
        <f t="shared" si="26"/>
        <v>-2.1270014751394677</v>
      </c>
      <c r="F1724" s="7">
        <f>SQRT(IRS_returns_2015_25[[#This Row],[  σ2]])</f>
        <v>2.7229335910341561</v>
      </c>
    </row>
    <row r="1725" spans="1:6" x14ac:dyDescent="0.3">
      <c r="A1725" s="2">
        <v>44571</v>
      </c>
      <c r="B1725" s="1">
        <v>1.9900973235135622</v>
      </c>
      <c r="C1725" s="1">
        <f>IRS_returns_2015_25[[#This Row],[IRSrtn]]-AVERAGE($B$2:$B$2600)</f>
        <v>1.9843208294469463</v>
      </c>
      <c r="D1725" s="1">
        <f>w+a*C1724^2+b*D1724</f>
        <v>7.026690191395673</v>
      </c>
      <c r="E1725" s="1">
        <f t="shared" si="26"/>
        <v>-2.1739801987412544</v>
      </c>
      <c r="F1725" s="7">
        <f>SQRT(IRS_returns_2015_25[[#This Row],[  σ2]])</f>
        <v>2.6507904842510039</v>
      </c>
    </row>
    <row r="1726" spans="1:6" x14ac:dyDescent="0.3">
      <c r="A1726" s="2">
        <v>44572</v>
      </c>
      <c r="B1726" s="1">
        <v>0.49140570063626043</v>
      </c>
      <c r="C1726" s="1">
        <f>IRS_returns_2015_25[[#This Row],[IRSrtn]]-AVERAGE($B$2:$B$2600)</f>
        <v>0.48562920656964464</v>
      </c>
      <c r="D1726" s="1">
        <f>w+a*C1725^2+b*D1725</f>
        <v>6.9824276224474939</v>
      </c>
      <c r="E1726" s="1">
        <f t="shared" si="26"/>
        <v>-1.9075246629556404</v>
      </c>
      <c r="F1726" s="7">
        <f>SQRT(IRS_returns_2015_25[[#This Row],[  σ2]])</f>
        <v>2.6424283571078129</v>
      </c>
    </row>
    <row r="1727" spans="1:6" x14ac:dyDescent="0.3">
      <c r="A1727" s="2">
        <v>44573</v>
      </c>
      <c r="B1727" s="1">
        <v>0.24482438162660713</v>
      </c>
      <c r="C1727" s="1">
        <f>IRS_returns_2015_25[[#This Row],[IRSrtn]]-AVERAGE($B$2:$B$2600)</f>
        <v>0.23904788755999135</v>
      </c>
      <c r="D1727" s="1">
        <f>w+a*C1726^2+b*D1726</f>
        <v>6.0510445428282882</v>
      </c>
      <c r="E1727" s="1">
        <f t="shared" si="26"/>
        <v>-1.8237758081456341</v>
      </c>
      <c r="F1727" s="7">
        <f>SQRT(IRS_returns_2015_25[[#This Row],[  σ2]])</f>
        <v>2.4598870996101199</v>
      </c>
    </row>
    <row r="1728" spans="1:6" x14ac:dyDescent="0.3">
      <c r="A1728" s="2">
        <v>44574</v>
      </c>
      <c r="B1728" s="1">
        <v>-1.2300415757009908</v>
      </c>
      <c r="C1728" s="1">
        <f>IRS_returns_2015_25[[#This Row],[IRSrtn]]-AVERAGE($B$2:$B$2600)</f>
        <v>-1.2358180697676067</v>
      </c>
      <c r="D1728" s="1">
        <f>w+a*C1727^2+b*D1727</f>
        <v>5.3874690362542443</v>
      </c>
      <c r="E1728" s="1">
        <f t="shared" si="26"/>
        <v>-1.9027169978448826</v>
      </c>
      <c r="F1728" s="7">
        <f>SQRT(IRS_returns_2015_25[[#This Row],[  σ2]])</f>
        <v>2.321092207615683</v>
      </c>
    </row>
    <row r="1729" spans="1:6" x14ac:dyDescent="0.3">
      <c r="A1729" s="2">
        <v>44575</v>
      </c>
      <c r="B1729" s="1">
        <v>0.7398265821576766</v>
      </c>
      <c r="C1729" s="1">
        <f>IRS_returns_2015_25[[#This Row],[IRSrtn]]-AVERAGE($B$2:$B$2600)</f>
        <v>0.73405008809106076</v>
      </c>
      <c r="D1729" s="1">
        <f>w+a*C1728^2+b*D1728</f>
        <v>5.3039058429733732</v>
      </c>
      <c r="E1729" s="1">
        <f t="shared" si="26"/>
        <v>-1.8039558243785709</v>
      </c>
      <c r="F1729" s="7">
        <f>SQRT(IRS_returns_2015_25[[#This Row],[  σ2]])</f>
        <v>2.3030210252998935</v>
      </c>
    </row>
    <row r="1730" spans="1:6" x14ac:dyDescent="0.3">
      <c r="A1730" s="2">
        <v>44579</v>
      </c>
      <c r="B1730" s="1">
        <v>-0.7398265821576766</v>
      </c>
      <c r="C1730" s="1">
        <f>IRS_returns_2015_25[[#This Row],[IRSrtn]]-AVERAGE($B$2:$B$2600)</f>
        <v>-0.74560307622429245</v>
      </c>
      <c r="D1730" s="1">
        <f>w+a*C1729^2+b*D1729</f>
        <v>5.0074489112114628</v>
      </c>
      <c r="E1730" s="1">
        <f t="shared" ref="E1730:E1793" si="27">-0.5*(LN(2*PI())+LN(D1730)+C1730^2/D1730)</f>
        <v>-1.7799115235966567</v>
      </c>
      <c r="F1730" s="7">
        <f>SQRT(IRS_returns_2015_25[[#This Row],[  σ2]])</f>
        <v>2.2377329847887264</v>
      </c>
    </row>
    <row r="1731" spans="1:6" x14ac:dyDescent="0.3">
      <c r="A1731" s="2">
        <v>44580</v>
      </c>
      <c r="B1731" s="1">
        <v>1.2300415757009908</v>
      </c>
      <c r="C1731" s="1">
        <f>IRS_returns_2015_25[[#This Row],[IRSrtn]]-AVERAGE($B$2:$B$2600)</f>
        <v>1.224265081634375</v>
      </c>
      <c r="D1731" s="1">
        <f>w+a*C1730^2+b*D1730</f>
        <v>4.8142576273280566</v>
      </c>
      <c r="E1731" s="1">
        <f t="shared" si="27"/>
        <v>-1.8603946849491038</v>
      </c>
      <c r="F1731" s="7">
        <f>SQRT(IRS_returns_2015_25[[#This Row],[  σ2]])</f>
        <v>2.194141660724771</v>
      </c>
    </row>
    <row r="1732" spans="1:6" x14ac:dyDescent="0.3">
      <c r="A1732" s="2">
        <v>44581</v>
      </c>
      <c r="B1732" s="1">
        <v>2.4155558426341317</v>
      </c>
      <c r="C1732" s="1">
        <f>IRS_returns_2015_25[[#This Row],[IRSrtn]]-AVERAGE($B$2:$B$2600)</f>
        <v>2.4097793485675161</v>
      </c>
      <c r="D1732" s="1">
        <f>w+a*C1731^2+b*D1731</f>
        <v>4.9153845818201205</v>
      </c>
      <c r="E1732" s="1">
        <f t="shared" si="27"/>
        <v>-2.3058236501368863</v>
      </c>
      <c r="F1732" s="7">
        <f>SQRT(IRS_returns_2015_25[[#This Row],[  σ2]])</f>
        <v>2.2170666615643566</v>
      </c>
    </row>
    <row r="1733" spans="1:6" x14ac:dyDescent="0.3">
      <c r="A1733" s="2">
        <v>44585</v>
      </c>
      <c r="B1733" s="1">
        <v>-5.1418832484105614</v>
      </c>
      <c r="C1733" s="1">
        <f>IRS_returns_2015_25[[#This Row],[IRSrtn]]-AVERAGE($B$2:$B$2600)</f>
        <v>-5.1476597424771775</v>
      </c>
      <c r="D1733" s="1">
        <f>w+a*C1732^2+b*D1732</f>
        <v>6.0324012258480746</v>
      </c>
      <c r="E1733" s="1">
        <f t="shared" si="27"/>
        <v>-4.0138504928345409</v>
      </c>
      <c r="F1733" s="7">
        <f>SQRT(IRS_returns_2015_25[[#This Row],[  σ2]])</f>
        <v>2.4560947102764734</v>
      </c>
    </row>
    <row r="1734" spans="1:6" x14ac:dyDescent="0.3">
      <c r="A1734" s="2">
        <v>44586</v>
      </c>
      <c r="B1734" s="1">
        <v>0.75093796313734362</v>
      </c>
      <c r="C1734" s="1">
        <f>IRS_returns_2015_25[[#This Row],[IRSrtn]]-AVERAGE($B$2:$B$2600)</f>
        <v>0.74516146907072778</v>
      </c>
      <c r="D1734" s="1">
        <f>w+a*C1733^2+b*D1733</f>
        <v>11.817464005460991</v>
      </c>
      <c r="E1734" s="1">
        <f t="shared" si="27"/>
        <v>-2.1772211858433423</v>
      </c>
      <c r="F1734" s="7">
        <f>SQRT(IRS_returns_2015_25[[#This Row],[  σ2]])</f>
        <v>3.4376538518968123</v>
      </c>
    </row>
    <row r="1735" spans="1:6" x14ac:dyDescent="0.3">
      <c r="A1735" s="2">
        <v>44587</v>
      </c>
      <c r="B1735" s="1">
        <v>-0.24970070865011351</v>
      </c>
      <c r="C1735" s="1">
        <f>IRS_returns_2015_25[[#This Row],[IRSrtn]]-AVERAGE($B$2:$B$2600)</f>
        <v>-0.2554772027167293</v>
      </c>
      <c r="D1735" s="1">
        <f>w+a*C1734^2+b*D1734</f>
        <v>9.347638091043164</v>
      </c>
      <c r="E1735" s="1">
        <f t="shared" si="27"/>
        <v>-2.039991565041317</v>
      </c>
      <c r="F1735" s="7">
        <f>SQRT(IRS_returns_2015_25[[#This Row],[  σ2]])</f>
        <v>3.0573907324781313</v>
      </c>
    </row>
    <row r="1736" spans="1:6" x14ac:dyDescent="0.3">
      <c r="A1736" s="2">
        <v>44588</v>
      </c>
      <c r="B1736" s="1">
        <v>0.99504857558820881</v>
      </c>
      <c r="C1736" s="1">
        <f>IRS_returns_2015_25[[#This Row],[IRSrtn]]-AVERAGE($B$2:$B$2600)</f>
        <v>0.98927208152159296</v>
      </c>
      <c r="D1736" s="1">
        <f>w+a*C1735^2+b*D1735</f>
        <v>7.5840460416961664</v>
      </c>
      <c r="E1736" s="1">
        <f t="shared" si="27"/>
        <v>-1.9964828708187778</v>
      </c>
      <c r="F1736" s="7">
        <f>SQRT(IRS_returns_2015_25[[#This Row],[  σ2]])</f>
        <v>2.7539146758198894</v>
      </c>
    </row>
    <row r="1737" spans="1:6" x14ac:dyDescent="0.3">
      <c r="A1737" s="2">
        <v>44589</v>
      </c>
      <c r="B1737" s="1">
        <v>6.2370120100302406</v>
      </c>
      <c r="C1737" s="1">
        <f>IRS_returns_2015_25[[#This Row],[IRSrtn]]-AVERAGE($B$2:$B$2600)</f>
        <v>6.2312355159636246</v>
      </c>
      <c r="D1737" s="1">
        <f>w+a*C1736^2+b*D1736</f>
        <v>6.6325407596553436</v>
      </c>
      <c r="E1737" s="1">
        <f t="shared" si="27"/>
        <v>-4.7920382342540835</v>
      </c>
      <c r="F1737" s="7">
        <f>SQRT(IRS_returns_2015_25[[#This Row],[  σ2]])</f>
        <v>2.5753719653004192</v>
      </c>
    </row>
    <row r="1738" spans="1:6" x14ac:dyDescent="0.3">
      <c r="A1738" s="2">
        <v>44592</v>
      </c>
      <c r="B1738" s="1">
        <v>2.9784783481758614</v>
      </c>
      <c r="C1738" s="1">
        <f>IRS_returns_2015_25[[#This Row],[IRSrtn]]-AVERAGE($B$2:$B$2600)</f>
        <v>2.9727018541092458</v>
      </c>
      <c r="D1738" s="1">
        <f>w+a*C1737^2+b*D1737</f>
        <v>15.221163045220628</v>
      </c>
      <c r="E1738" s="1">
        <f t="shared" si="27"/>
        <v>-2.5705671024770265</v>
      </c>
      <c r="F1738" s="7">
        <f>SQRT(IRS_returns_2015_25[[#This Row],[  σ2]])</f>
        <v>3.9014308971479461</v>
      </c>
    </row>
    <row r="1739" spans="1:6" x14ac:dyDescent="0.3">
      <c r="A1739" s="2">
        <v>44593</v>
      </c>
      <c r="B1739" s="1">
        <v>1.5677661979276447</v>
      </c>
      <c r="C1739" s="1">
        <f>IRS_returns_2015_25[[#This Row],[IRSrtn]]-AVERAGE($B$2:$B$2600)</f>
        <v>1.5619897038610289</v>
      </c>
      <c r="D1739" s="1">
        <f>w+a*C1738^2+b*D1738</f>
        <v>13.63136945247448</v>
      </c>
      <c r="E1739" s="1">
        <f t="shared" si="27"/>
        <v>-2.3146179332812391</v>
      </c>
      <c r="F1739" s="7">
        <f>SQRT(IRS_returns_2015_25[[#This Row],[  σ2]])</f>
        <v>3.6920684517590514</v>
      </c>
    </row>
    <row r="1740" spans="1:6" x14ac:dyDescent="0.3">
      <c r="A1740" s="2">
        <v>44594</v>
      </c>
      <c r="B1740" s="1">
        <v>-3.6202780481202845</v>
      </c>
      <c r="C1740" s="1">
        <f>IRS_returns_2015_25[[#This Row],[IRSrtn]]-AVERAGE($B$2:$B$2600)</f>
        <v>-3.6260545421869002</v>
      </c>
      <c r="D1740" s="1">
        <f>w+a*C1739^2+b*D1739</f>
        <v>11.014354514206655</v>
      </c>
      <c r="E1740" s="1">
        <f t="shared" si="27"/>
        <v>-2.7154080399084437</v>
      </c>
      <c r="F1740" s="7">
        <f>SQRT(IRS_returns_2015_25[[#This Row],[  σ2]])</f>
        <v>3.3187881092661904</v>
      </c>
    </row>
    <row r="1741" spans="1:6" x14ac:dyDescent="0.3">
      <c r="A1741" s="2">
        <v>44595</v>
      </c>
      <c r="B1741" s="1">
        <v>-1.6260756192456594</v>
      </c>
      <c r="C1741" s="1">
        <f>IRS_returns_2015_25[[#This Row],[IRSrtn]]-AVERAGE($B$2:$B$2600)</f>
        <v>-1.6318521133122752</v>
      </c>
      <c r="D1741" s="1">
        <f>w+a*C1740^2+b*D1740</f>
        <v>11.881277662305962</v>
      </c>
      <c r="E1741" s="1">
        <f t="shared" si="27"/>
        <v>-2.2684850635680012</v>
      </c>
      <c r="F1741" s="7">
        <f>SQRT(IRS_returns_2015_25[[#This Row],[  σ2]])</f>
        <v>3.4469229266558834</v>
      </c>
    </row>
    <row r="1742" spans="1:6" x14ac:dyDescent="0.3">
      <c r="A1742" s="2">
        <v>44596</v>
      </c>
      <c r="B1742" s="1">
        <v>-1.1778700287691013</v>
      </c>
      <c r="C1742" s="1">
        <f>IRS_returns_2015_25[[#This Row],[IRSrtn]]-AVERAGE($B$2:$B$2600)</f>
        <v>-1.1836465228357171</v>
      </c>
      <c r="D1742" s="1">
        <f>w+a*C1741^2+b*D1741</f>
        <v>9.9036546070036842</v>
      </c>
      <c r="E1742" s="1">
        <f t="shared" si="27"/>
        <v>-2.1361228827434986</v>
      </c>
      <c r="F1742" s="7">
        <f>SQRT(IRS_returns_2015_25[[#This Row],[  σ2]])</f>
        <v>3.1470072460996472</v>
      </c>
    </row>
    <row r="1743" spans="1:6" x14ac:dyDescent="0.3">
      <c r="A1743" s="2">
        <v>44599</v>
      </c>
      <c r="B1743" s="1">
        <v>3.2636880592086692</v>
      </c>
      <c r="C1743" s="1">
        <f>IRS_returns_2015_25[[#This Row],[IRSrtn]]-AVERAGE($B$2:$B$2600)</f>
        <v>3.2579115651420536</v>
      </c>
      <c r="D1743" s="1">
        <f>w+a*C1742^2+b*D1742</f>
        <v>8.2796508272311442</v>
      </c>
      <c r="E1743" s="1">
        <f t="shared" si="27"/>
        <v>-2.6168072519154029</v>
      </c>
      <c r="F1743" s="7">
        <f>SQRT(IRS_returns_2015_25[[#This Row],[  σ2]])</f>
        <v>2.8774382403852119</v>
      </c>
    </row>
    <row r="1744" spans="1:6" x14ac:dyDescent="0.3">
      <c r="A1744" s="2">
        <v>44600</v>
      </c>
      <c r="B1744" s="1">
        <v>-1.6185169038446912</v>
      </c>
      <c r="C1744" s="1">
        <f>IRS_returns_2015_25[[#This Row],[IRSrtn]]-AVERAGE($B$2:$B$2600)</f>
        <v>-1.624293397911307</v>
      </c>
      <c r="D1744" s="1">
        <f>w+a*C1743^2+b*D1743</f>
        <v>9.4432620557751843</v>
      </c>
      <c r="E1744" s="1">
        <f t="shared" si="27"/>
        <v>-2.1812830040724882</v>
      </c>
      <c r="F1744" s="7">
        <f>SQRT(IRS_returns_2015_25[[#This Row],[  σ2]])</f>
        <v>3.0729891076564497</v>
      </c>
    </row>
    <row r="1745" spans="1:6" x14ac:dyDescent="0.3">
      <c r="A1745" s="2">
        <v>44602</v>
      </c>
      <c r="B1745" s="1">
        <v>-3.3178343912770636</v>
      </c>
      <c r="C1745" s="1">
        <f>IRS_returns_2015_25[[#This Row],[IRSrtn]]-AVERAGE($B$2:$B$2600)</f>
        <v>-3.3236108853436792</v>
      </c>
      <c r="D1745" s="1">
        <f>w+a*C1744^2+b*D1744</f>
        <v>8.2746300947395763</v>
      </c>
      <c r="E1745" s="1">
        <f t="shared" si="27"/>
        <v>-2.6430210280572242</v>
      </c>
      <c r="F1745" s="7">
        <f>SQRT(IRS_returns_2015_25[[#This Row],[  σ2]])</f>
        <v>2.8765656771121315</v>
      </c>
    </row>
    <row r="1746" spans="1:6" x14ac:dyDescent="0.3">
      <c r="A1746" s="2">
        <v>44603</v>
      </c>
      <c r="B1746" s="1">
        <v>4.7067378128026416</v>
      </c>
      <c r="C1746" s="1">
        <f>IRS_returns_2015_25[[#This Row],[IRSrtn]]-AVERAGE($B$2:$B$2600)</f>
        <v>4.7009613187360255</v>
      </c>
      <c r="D1746" s="1">
        <f>w+a*C1745^2+b*D1745</f>
        <v>9.5452742081240132</v>
      </c>
      <c r="E1746" s="1">
        <f t="shared" si="27"/>
        <v>-3.2045521168487268</v>
      </c>
      <c r="F1746" s="7">
        <f>SQRT(IRS_returns_2015_25[[#This Row],[  σ2]])</f>
        <v>3.0895427182876132</v>
      </c>
    </row>
    <row r="1747" spans="1:6" x14ac:dyDescent="0.3">
      <c r="A1747" s="2">
        <v>44606</v>
      </c>
      <c r="B1747" s="1">
        <v>2.0478481865225939</v>
      </c>
      <c r="C1747" s="1">
        <f>IRS_returns_2015_25[[#This Row],[IRSrtn]]-AVERAGE($B$2:$B$2600)</f>
        <v>2.0420716924559783</v>
      </c>
      <c r="D1747" s="1">
        <f>w+a*C1746^2+b*D1746</f>
        <v>13.084138361125651</v>
      </c>
      <c r="E1747" s="1">
        <f t="shared" si="27"/>
        <v>-2.3639942980829738</v>
      </c>
      <c r="F1747" s="7">
        <f>SQRT(IRS_returns_2015_25[[#This Row],[  σ2]])</f>
        <v>3.6172003484913096</v>
      </c>
    </row>
    <row r="1748" spans="1:6" x14ac:dyDescent="0.3">
      <c r="A1748" s="2">
        <v>44607</v>
      </c>
      <c r="B1748" s="1">
        <v>1.3423009327228952</v>
      </c>
      <c r="C1748" s="1">
        <f>IRS_returns_2015_25[[#This Row],[IRSrtn]]-AVERAGE($B$2:$B$2600)</f>
        <v>1.3365244386562793</v>
      </c>
      <c r="D1748" s="1">
        <f>w+a*C1747^2+b*D1747</f>
        <v>11.071627415559071</v>
      </c>
      <c r="E1748" s="1">
        <f t="shared" si="27"/>
        <v>-2.2018014613828387</v>
      </c>
      <c r="F1748" s="7">
        <f>SQRT(IRS_returns_2015_25[[#This Row],[  σ2]])</f>
        <v>3.3274055081337877</v>
      </c>
    </row>
    <row r="1749" spans="1:6" x14ac:dyDescent="0.3">
      <c r="A1749" s="2">
        <v>44608</v>
      </c>
      <c r="B1749" s="1">
        <v>1.7621566608750694</v>
      </c>
      <c r="C1749" s="1">
        <f>IRS_returns_2015_25[[#This Row],[IRSrtn]]-AVERAGE($B$2:$B$2600)</f>
        <v>1.7563801668084535</v>
      </c>
      <c r="D1749" s="1">
        <f>w+a*C1748^2+b*D1748</f>
        <v>9.1510628601501942</v>
      </c>
      <c r="E1749" s="1">
        <f t="shared" si="27"/>
        <v>-2.1944261719221969</v>
      </c>
      <c r="F1749" s="7">
        <f>SQRT(IRS_returns_2015_25[[#This Row],[  σ2]])</f>
        <v>3.0250723727127911</v>
      </c>
    </row>
    <row r="1750" spans="1:6" x14ac:dyDescent="0.3">
      <c r="A1750" s="2">
        <v>44609</v>
      </c>
      <c r="B1750" s="1">
        <v>-0.21855961819468028</v>
      </c>
      <c r="C1750" s="1">
        <f>IRS_returns_2015_25[[#This Row],[IRSrtn]]-AVERAGE($B$2:$B$2600)</f>
        <v>-0.22433611226129607</v>
      </c>
      <c r="D1750" s="1">
        <f>w+a*C1749^2+b*D1749</f>
        <v>8.1889081220210436</v>
      </c>
      <c r="E1750" s="1">
        <f t="shared" si="27"/>
        <v>-1.9734016757187043</v>
      </c>
      <c r="F1750" s="7">
        <f>SQRT(IRS_returns_2015_25[[#This Row],[  σ2]])</f>
        <v>2.8616268313707578</v>
      </c>
    </row>
    <row r="1751" spans="1:6" x14ac:dyDescent="0.3">
      <c r="A1751" s="2">
        <v>44610</v>
      </c>
      <c r="B1751" s="1">
        <v>-0.21906925730041937</v>
      </c>
      <c r="C1751" s="1">
        <f>IRS_returns_2015_25[[#This Row],[IRSrtn]]-AVERAGE($B$2:$B$2600)</f>
        <v>-0.22484575136703516</v>
      </c>
      <c r="D1751" s="1">
        <f>w+a*C1750^2+b*D1750</f>
        <v>6.8090195422116908</v>
      </c>
      <c r="E1751" s="1">
        <f t="shared" si="27"/>
        <v>-1.8817750017462043</v>
      </c>
      <c r="F1751" s="7">
        <f>SQRT(IRS_returns_2015_25[[#This Row],[  σ2]])</f>
        <v>2.6094098072575131</v>
      </c>
    </row>
    <row r="1752" spans="1:6" x14ac:dyDescent="0.3">
      <c r="A1752" s="2">
        <v>44614</v>
      </c>
      <c r="B1752" s="1">
        <v>4.0822009356835665</v>
      </c>
      <c r="C1752" s="1">
        <f>IRS_returns_2015_25[[#This Row],[IRSrtn]]-AVERAGE($B$2:$B$2600)</f>
        <v>4.0764244416169504</v>
      </c>
      <c r="D1752" s="1">
        <f>w+a*C1751^2+b*D1751</f>
        <v>5.8904604285706847</v>
      </c>
      <c r="E1752" s="1">
        <f t="shared" si="27"/>
        <v>-3.2161266127201884</v>
      </c>
      <c r="F1752" s="7">
        <f>SQRT(IRS_returns_2015_25[[#This Row],[  σ2]])</f>
        <v>2.4270270761923287</v>
      </c>
    </row>
    <row r="1753" spans="1:6" x14ac:dyDescent="0.3">
      <c r="A1753" s="2">
        <v>44615</v>
      </c>
      <c r="B1753" s="1">
        <v>-2.3430301817895405</v>
      </c>
      <c r="C1753" s="1">
        <f>IRS_returns_2015_25[[#This Row],[IRSrtn]]-AVERAGE($B$2:$B$2600)</f>
        <v>-2.3488066758561561</v>
      </c>
      <c r="D1753" s="1">
        <f>w+a*C1752^2+b*D1752</f>
        <v>9.315428175578738</v>
      </c>
      <c r="E1753" s="1">
        <f t="shared" si="27"/>
        <v>-2.3308904180597234</v>
      </c>
      <c r="F1753" s="7">
        <f>SQRT(IRS_returns_2015_25[[#This Row],[  σ2]])</f>
        <v>3.0521186372057589</v>
      </c>
    </row>
    <row r="1754" spans="1:6" x14ac:dyDescent="0.3">
      <c r="A1754" s="2">
        <v>44616</v>
      </c>
      <c r="B1754" s="1">
        <v>-0.64865955492923177</v>
      </c>
      <c r="C1754" s="1">
        <f>IRS_returns_2015_25[[#This Row],[IRSrtn]]-AVERAGE($B$2:$B$2600)</f>
        <v>-0.65443604899584762</v>
      </c>
      <c r="D1754" s="1">
        <f>w+a*C1753^2+b*D1753</f>
        <v>8.8908903381472975</v>
      </c>
      <c r="E1754" s="1">
        <f t="shared" si="27"/>
        <v>-2.035537825513468</v>
      </c>
      <c r="F1754" s="7">
        <f>SQRT(IRS_returns_2015_25[[#This Row],[  σ2]])</f>
        <v>2.9817596043523191</v>
      </c>
    </row>
    <row r="1755" spans="1:6" x14ac:dyDescent="0.3">
      <c r="A1755" s="2">
        <v>44617</v>
      </c>
      <c r="B1755" s="1">
        <v>1.720493314625493</v>
      </c>
      <c r="C1755" s="1">
        <f>IRS_returns_2015_25[[#This Row],[IRSrtn]]-AVERAGE($B$2:$B$2600)</f>
        <v>1.7147168205588772</v>
      </c>
      <c r="D1755" s="1">
        <f>w+a*C1754^2+b*D1754</f>
        <v>7.3684306662263044</v>
      </c>
      <c r="E1755" s="1">
        <f t="shared" si="27"/>
        <v>-2.117057867393128</v>
      </c>
      <c r="F1755" s="7">
        <f>SQRT(IRS_returns_2015_25[[#This Row],[  σ2]])</f>
        <v>2.7144853409488703</v>
      </c>
    </row>
    <row r="1756" spans="1:6" x14ac:dyDescent="0.3">
      <c r="A1756" s="2">
        <v>44620</v>
      </c>
      <c r="B1756" s="1">
        <v>1.2711964220932792</v>
      </c>
      <c r="C1756" s="1">
        <f>IRS_returns_2015_25[[#This Row],[IRSrtn]]-AVERAGE($B$2:$B$2600)</f>
        <v>1.2654199280266634</v>
      </c>
      <c r="D1756" s="1">
        <f>w+a*C1755^2+b*D1755</f>
        <v>6.9669440525724289</v>
      </c>
      <c r="E1756" s="1">
        <f t="shared" si="27"/>
        <v>-2.0044472473068242</v>
      </c>
      <c r="F1756" s="7">
        <f>SQRT(IRS_returns_2015_25[[#This Row],[  σ2]])</f>
        <v>2.6394969317224879</v>
      </c>
    </row>
    <row r="1757" spans="1:6" x14ac:dyDescent="0.3">
      <c r="A1757" s="2">
        <v>44621</v>
      </c>
      <c r="B1757" s="1">
        <v>-0.42195111492606685</v>
      </c>
      <c r="C1757" s="1">
        <f>IRS_returns_2015_25[[#This Row],[IRSrtn]]-AVERAGE($B$2:$B$2600)</f>
        <v>-0.42772760899268264</v>
      </c>
      <c r="D1757" s="1">
        <f>w+a*C1756^2+b*D1756</f>
        <v>6.373428903452921</v>
      </c>
      <c r="E1757" s="1">
        <f t="shared" si="27"/>
        <v>-1.8593599682209145</v>
      </c>
      <c r="F1757" s="7">
        <f>SQRT(IRS_returns_2015_25[[#This Row],[  σ2]])</f>
        <v>2.5245650919421587</v>
      </c>
    </row>
    <row r="1758" spans="1:6" x14ac:dyDescent="0.3">
      <c r="A1758" s="2">
        <v>44622</v>
      </c>
      <c r="B1758" s="1">
        <v>-1.4909672004407515</v>
      </c>
      <c r="C1758" s="1">
        <f>IRS_returns_2015_25[[#This Row],[IRSrtn]]-AVERAGE($B$2:$B$2600)</f>
        <v>-1.4967436945073673</v>
      </c>
      <c r="D1758" s="1">
        <f>w+a*C1757^2+b*D1757</f>
        <v>5.6327385433353143</v>
      </c>
      <c r="E1758" s="1">
        <f t="shared" si="27"/>
        <v>-1.9820954209316863</v>
      </c>
      <c r="F1758" s="7">
        <f>SQRT(IRS_returns_2015_25[[#This Row],[  σ2]])</f>
        <v>2.373339112587014</v>
      </c>
    </row>
    <row r="1759" spans="1:6" x14ac:dyDescent="0.3">
      <c r="A1759" s="2">
        <v>44623</v>
      </c>
      <c r="B1759" s="1">
        <v>1.0672640212336271</v>
      </c>
      <c r="C1759" s="1">
        <f>IRS_returns_2015_25[[#This Row],[IRSrtn]]-AVERAGE($B$2:$B$2600)</f>
        <v>1.0614875271670112</v>
      </c>
      <c r="D1759" s="1">
        <f>w+a*C1758^2+b*D1758</f>
        <v>5.6409070138993327</v>
      </c>
      <c r="E1759" s="1">
        <f t="shared" si="27"/>
        <v>-1.8838346029948425</v>
      </c>
      <c r="F1759" s="7">
        <f>SQRT(IRS_returns_2015_25[[#This Row],[  σ2]])</f>
        <v>2.3750593706051504</v>
      </c>
    </row>
    <row r="1760" spans="1:6" x14ac:dyDescent="0.3">
      <c r="A1760" s="2">
        <v>44624</v>
      </c>
      <c r="B1760" s="1">
        <v>2.9290631067809381</v>
      </c>
      <c r="C1760" s="1">
        <f>IRS_returns_2015_25[[#This Row],[IRSrtn]]-AVERAGE($B$2:$B$2600)</f>
        <v>2.9232866127143224</v>
      </c>
      <c r="D1760" s="1">
        <f>w+a*C1759^2+b*D1759</f>
        <v>5.375044315160638</v>
      </c>
      <c r="E1760" s="1">
        <f t="shared" si="27"/>
        <v>-2.5547553532207594</v>
      </c>
      <c r="F1760" s="7">
        <f>SQRT(IRS_returns_2015_25[[#This Row],[  σ2]])</f>
        <v>2.3184141811075598</v>
      </c>
    </row>
    <row r="1761" spans="1:6" x14ac:dyDescent="0.3">
      <c r="A1761" s="2">
        <v>44627</v>
      </c>
      <c r="B1761" s="1">
        <v>-3.9963271280145651</v>
      </c>
      <c r="C1761" s="1">
        <f>IRS_returns_2015_25[[#This Row],[IRSrtn]]-AVERAGE($B$2:$B$2600)</f>
        <v>-4.0021036220811812</v>
      </c>
      <c r="D1761" s="1">
        <f>w+a*C1760^2+b*D1760</f>
        <v>7.0056558797997335</v>
      </c>
      <c r="E1761" s="1">
        <f t="shared" si="27"/>
        <v>-3.0354333305573107</v>
      </c>
      <c r="F1761" s="7">
        <f>SQRT(IRS_returns_2015_25[[#This Row],[  σ2]])</f>
        <v>2.6468199560604293</v>
      </c>
    </row>
    <row r="1762" spans="1:6" x14ac:dyDescent="0.3">
      <c r="A1762" s="2">
        <v>44628</v>
      </c>
      <c r="B1762" s="1">
        <v>-2.1692826203167481</v>
      </c>
      <c r="C1762" s="1">
        <f>IRS_returns_2015_25[[#This Row],[IRSrtn]]-AVERAGE($B$2:$B$2600)</f>
        <v>-2.1750591143833637</v>
      </c>
      <c r="D1762" s="1">
        <f>w+a*C1761^2+b*D1761</f>
        <v>9.9115444162894519</v>
      </c>
      <c r="E1762" s="1">
        <f t="shared" si="27"/>
        <v>-2.3044437689917232</v>
      </c>
      <c r="F1762" s="7">
        <f>SQRT(IRS_returns_2015_25[[#This Row],[  σ2]])</f>
        <v>3.1482605381844513</v>
      </c>
    </row>
    <row r="1763" spans="1:6" x14ac:dyDescent="0.3">
      <c r="A1763" s="2">
        <v>44629</v>
      </c>
      <c r="B1763" s="1">
        <v>2.1692826203167481</v>
      </c>
      <c r="C1763" s="1">
        <f>IRS_returns_2015_25[[#This Row],[IRSrtn]]-AVERAGE($B$2:$B$2600)</f>
        <v>2.1635061262501325</v>
      </c>
      <c r="D1763" s="1">
        <f>w+a*C1762^2+b*D1762</f>
        <v>9.0962235696891032</v>
      </c>
      <c r="E1763" s="1">
        <f t="shared" si="27"/>
        <v>-2.2801595218169899</v>
      </c>
      <c r="F1763" s="7">
        <f>SQRT(IRS_returns_2015_25[[#This Row],[  σ2]])</f>
        <v>3.0159946236174067</v>
      </c>
    </row>
    <row r="1764" spans="1:6" x14ac:dyDescent="0.3">
      <c r="A1764" s="2">
        <v>44630</v>
      </c>
      <c r="B1764" s="1">
        <v>5.8349910002254424</v>
      </c>
      <c r="C1764" s="1">
        <f>IRS_returns_2015_25[[#This Row],[IRSrtn]]-AVERAGE($B$2:$B$2600)</f>
        <v>5.8292145061588263</v>
      </c>
      <c r="D1764" s="1">
        <f>w+a*C1763^2+b*D1763</f>
        <v>8.5412383023362981</v>
      </c>
      <c r="E1764" s="1">
        <f t="shared" si="27"/>
        <v>-3.980549342365606</v>
      </c>
      <c r="F1764" s="7">
        <f>SQRT(IRS_returns_2015_25[[#This Row],[  σ2]])</f>
        <v>2.9225397007288536</v>
      </c>
    </row>
    <row r="1765" spans="1:6" x14ac:dyDescent="0.3">
      <c r="A1765" s="2">
        <v>44631</v>
      </c>
      <c r="B1765" s="1">
        <v>-1.2220158108358525</v>
      </c>
      <c r="C1765" s="1">
        <f>IRS_returns_2015_25[[#This Row],[IRSrtn]]-AVERAGE($B$2:$B$2600)</f>
        <v>-1.2277923049024684</v>
      </c>
      <c r="D1765" s="1">
        <f>w+a*C1764^2+b*D1764</f>
        <v>15.310465766920359</v>
      </c>
      <c r="E1765" s="1">
        <f t="shared" si="27"/>
        <v>-2.3324370281190094</v>
      </c>
      <c r="F1765" s="7">
        <f>SQRT(IRS_returns_2015_25[[#This Row],[  σ2]])</f>
        <v>3.9128590272229791</v>
      </c>
    </row>
    <row r="1766" spans="1:6" x14ac:dyDescent="0.3">
      <c r="A1766" s="2">
        <v>44634</v>
      </c>
      <c r="B1766" s="1">
        <v>-3.5457111681559628</v>
      </c>
      <c r="C1766" s="1">
        <f>IRS_returns_2015_25[[#This Row],[IRSrtn]]-AVERAGE($B$2:$B$2600)</f>
        <v>-3.5514876622225784</v>
      </c>
      <c r="D1766" s="1">
        <f>w+a*C1765^2+b*D1765</f>
        <v>11.904993082475007</v>
      </c>
      <c r="E1766" s="1">
        <f t="shared" si="27"/>
        <v>-2.6871559095180504</v>
      </c>
      <c r="F1766" s="7">
        <f>SQRT(IRS_returns_2015_25[[#This Row],[  σ2]])</f>
        <v>3.4503612973824942</v>
      </c>
    </row>
    <row r="1767" spans="1:6" x14ac:dyDescent="0.3">
      <c r="A1767" s="2">
        <v>44635</v>
      </c>
      <c r="B1767" s="1">
        <v>0.42370317920712441</v>
      </c>
      <c r="C1767" s="1">
        <f>IRS_returns_2015_25[[#This Row],[IRSrtn]]-AVERAGE($B$2:$B$2600)</f>
        <v>0.41792668514050862</v>
      </c>
      <c r="D1767" s="1">
        <f>w+a*C1766^2+b*D1766</f>
        <v>12.343787598492463</v>
      </c>
      <c r="E1767" s="1">
        <f t="shared" si="27"/>
        <v>-2.182589911063463</v>
      </c>
      <c r="F1767" s="7">
        <f>SQRT(IRS_returns_2015_25[[#This Row],[  σ2]])</f>
        <v>3.513372681412045</v>
      </c>
    </row>
    <row r="1768" spans="1:6" x14ac:dyDescent="0.3">
      <c r="A1768" s="2">
        <v>44636</v>
      </c>
      <c r="B1768" s="1">
        <v>3.1220079889488384</v>
      </c>
      <c r="C1768" s="1">
        <f>IRS_returns_2015_25[[#This Row],[IRSrtn]]-AVERAGE($B$2:$B$2600)</f>
        <v>3.1162314948822227</v>
      </c>
      <c r="D1768" s="1">
        <f>w+a*C1767^2+b*D1767</f>
        <v>9.6052866947660629</v>
      </c>
      <c r="E1768" s="1">
        <f t="shared" si="27"/>
        <v>-2.5555929546439997</v>
      </c>
      <c r="F1768" s="7">
        <f>SQRT(IRS_returns_2015_25[[#This Row],[  σ2]])</f>
        <v>3.0992396962426225</v>
      </c>
    </row>
    <row r="1769" spans="1:6" x14ac:dyDescent="0.3">
      <c r="A1769" s="2">
        <v>44637</v>
      </c>
      <c r="B1769" s="1">
        <v>0.61288028834862729</v>
      </c>
      <c r="C1769" s="1">
        <f>IRS_returns_2015_25[[#This Row],[IRSrtn]]-AVERAGE($B$2:$B$2600)</f>
        <v>0.60710379428201144</v>
      </c>
      <c r="D1769" s="1">
        <f>w+a*C1768^2+b*D1768</f>
        <v>10.105722573646965</v>
      </c>
      <c r="E1769" s="1">
        <f t="shared" si="27"/>
        <v>-2.0937254162625241</v>
      </c>
      <c r="F1769" s="7">
        <f>SQRT(IRS_returns_2015_25[[#This Row],[  σ2]])</f>
        <v>3.1789499168195405</v>
      </c>
    </row>
    <row r="1770" spans="1:6" x14ac:dyDescent="0.3">
      <c r="A1770" s="2">
        <v>44638</v>
      </c>
      <c r="B1770" s="1">
        <v>3.403735346290393</v>
      </c>
      <c r="C1770" s="1">
        <f>IRS_returns_2015_25[[#This Row],[IRSrtn]]-AVERAGE($B$2:$B$2600)</f>
        <v>3.3979588522237774</v>
      </c>
      <c r="D1770" s="1">
        <f>w+a*C1769^2+b*D1769</f>
        <v>8.1626160899769253</v>
      </c>
      <c r="E1770" s="1">
        <f t="shared" si="27"/>
        <v>-2.6759772561449831</v>
      </c>
      <c r="F1770" s="7">
        <f>SQRT(IRS_returns_2015_25[[#This Row],[  σ2]])</f>
        <v>2.8570292420584229</v>
      </c>
    </row>
    <row r="1771" spans="1:6" x14ac:dyDescent="0.3">
      <c r="A1771" s="2">
        <v>44641</v>
      </c>
      <c r="B1771" s="1">
        <v>2.3347233379369836</v>
      </c>
      <c r="C1771" s="1">
        <f>IRS_returns_2015_25[[#This Row],[IRSrtn]]-AVERAGE($B$2:$B$2600)</f>
        <v>2.328946843870368</v>
      </c>
      <c r="D1771" s="1">
        <f>w+a*C1770^2+b*D1770</f>
        <v>9.5924649409908973</v>
      </c>
      <c r="E1771" s="1">
        <f t="shared" si="27"/>
        <v>-2.3321490424012845</v>
      </c>
      <c r="F1771" s="7">
        <f>SQRT(IRS_returns_2015_25[[#This Row],[  σ2]])</f>
        <v>3.0971704733499732</v>
      </c>
    </row>
    <row r="1772" spans="1:6" x14ac:dyDescent="0.3">
      <c r="A1772" s="2">
        <v>44642</v>
      </c>
      <c r="B1772" s="1">
        <v>-2.3347233379369836</v>
      </c>
      <c r="C1772" s="1">
        <f>IRS_returns_2015_25[[#This Row],[IRSrtn]]-AVERAGE($B$2:$B$2600)</f>
        <v>-2.3404998320035992</v>
      </c>
      <c r="D1772" s="1">
        <f>w+a*C1771^2+b*D1771</f>
        <v>9.052683426010347</v>
      </c>
      <c r="E1772" s="1">
        <f t="shared" si="27"/>
        <v>-2.3230280227315405</v>
      </c>
      <c r="F1772" s="7">
        <f>SQRT(IRS_returns_2015_25[[#This Row],[  σ2]])</f>
        <v>3.0087677587361821</v>
      </c>
    </row>
    <row r="1773" spans="1:6" x14ac:dyDescent="0.3">
      <c r="A1773" s="2">
        <v>44643</v>
      </c>
      <c r="B1773" s="1">
        <v>-2.5923878051724802</v>
      </c>
      <c r="C1773" s="1">
        <f>IRS_returns_2015_25[[#This Row],[IRSrtn]]-AVERAGE($B$2:$B$2600)</f>
        <v>-2.5981642992390959</v>
      </c>
      <c r="D1773" s="1">
        <f>w+a*C1772^2+b*D1772</f>
        <v>8.7064857954847987</v>
      </c>
      <c r="E1773" s="1">
        <f t="shared" si="27"/>
        <v>-2.388640990280722</v>
      </c>
      <c r="F1773" s="7">
        <f>SQRT(IRS_returns_2015_25[[#This Row],[  σ2]])</f>
        <v>2.9506754812220199</v>
      </c>
    </row>
    <row r="1774" spans="1:6" x14ac:dyDescent="0.3">
      <c r="A1774" s="2">
        <v>44644</v>
      </c>
      <c r="B1774" s="1">
        <v>1.6032432665375129</v>
      </c>
      <c r="C1774" s="1">
        <f>IRS_returns_2015_25[[#This Row],[IRSrtn]]-AVERAGE($B$2:$B$2600)</f>
        <v>1.5974667724708971</v>
      </c>
      <c r="D1774" s="1">
        <f>w+a*C1773^2+b*D1773</f>
        <v>8.7860650270552512</v>
      </c>
      <c r="E1774" s="1">
        <f t="shared" si="27"/>
        <v>-2.1507462953365484</v>
      </c>
      <c r="F1774" s="7">
        <f>SQRT(IRS_returns_2015_25[[#This Row],[  σ2]])</f>
        <v>2.9641297250719734</v>
      </c>
    </row>
    <row r="1775" spans="1:6" x14ac:dyDescent="0.3">
      <c r="A1775" s="2">
        <v>44645</v>
      </c>
      <c r="B1775" s="1">
        <v>-0.59819259663977942</v>
      </c>
      <c r="C1775" s="1">
        <f>IRS_returns_2015_25[[#This Row],[IRSrtn]]-AVERAGE($B$2:$B$2600)</f>
        <v>-0.60396909070639526</v>
      </c>
      <c r="D1775" s="1">
        <f>w+a*C1774^2+b*D1774</f>
        <v>7.8160646542773762</v>
      </c>
      <c r="E1775" s="1">
        <f t="shared" si="27"/>
        <v>-1.970364313700512</v>
      </c>
      <c r="F1775" s="7">
        <f>SQRT(IRS_returns_2015_25[[#This Row],[  σ2]])</f>
        <v>2.7957225638960272</v>
      </c>
    </row>
    <row r="1776" spans="1:6" x14ac:dyDescent="0.3">
      <c r="A1776" s="2">
        <v>44648</v>
      </c>
      <c r="B1776" s="1">
        <v>-1.4098844328183313</v>
      </c>
      <c r="C1776" s="1">
        <f>IRS_returns_2015_25[[#This Row],[IRSrtn]]-AVERAGE($B$2:$B$2600)</f>
        <v>-1.4156609268849472</v>
      </c>
      <c r="D1776" s="1">
        <f>w+a*C1775^2+b*D1775</f>
        <v>6.6374275643631933</v>
      </c>
      <c r="E1776" s="1">
        <f t="shared" si="27"/>
        <v>-2.0162700905184145</v>
      </c>
      <c r="F1776" s="7">
        <f>SQRT(IRS_returns_2015_25[[#This Row],[  σ2]])</f>
        <v>2.5763205476732107</v>
      </c>
    </row>
    <row r="1777" spans="1:6" x14ac:dyDescent="0.3">
      <c r="A1777" s="2">
        <v>44649</v>
      </c>
      <c r="B1777" s="1">
        <v>-1.0193940665459422</v>
      </c>
      <c r="C1777" s="1">
        <f>IRS_returns_2015_25[[#This Row],[IRSrtn]]-AVERAGE($B$2:$B$2600)</f>
        <v>-1.0251705606125581</v>
      </c>
      <c r="D1777" s="1">
        <f>w+a*C1776^2+b*D1776</f>
        <v>6.2522084107159621</v>
      </c>
      <c r="E1777" s="1">
        <f t="shared" si="27"/>
        <v>-1.9194541828996901</v>
      </c>
      <c r="F1777" s="7">
        <f>SQRT(IRS_returns_2015_25[[#This Row],[  σ2]])</f>
        <v>2.5004416431334611</v>
      </c>
    </row>
    <row r="1778" spans="1:6" x14ac:dyDescent="0.3">
      <c r="A1778" s="2">
        <v>44650</v>
      </c>
      <c r="B1778" s="1">
        <v>-0.20510398476074609</v>
      </c>
      <c r="C1778" s="1">
        <f>IRS_returns_2015_25[[#This Row],[IRSrtn]]-AVERAGE($B$2:$B$2600)</f>
        <v>-0.21088047882736188</v>
      </c>
      <c r="D1778" s="1">
        <f>w+a*C1777^2+b*D1777</f>
        <v>5.763533826361531</v>
      </c>
      <c r="E1778" s="1">
        <f t="shared" si="27"/>
        <v>-1.7985718584622987</v>
      </c>
      <c r="F1778" s="7">
        <f>SQRT(IRS_returns_2015_25[[#This Row],[  σ2]])</f>
        <v>2.4007361009410282</v>
      </c>
    </row>
    <row r="1779" spans="1:6" x14ac:dyDescent="0.3">
      <c r="A1779" s="2">
        <v>44651</v>
      </c>
      <c r="B1779" s="1">
        <v>2.233559966416454</v>
      </c>
      <c r="C1779" s="1">
        <f>IRS_returns_2015_25[[#This Row],[IRSrtn]]-AVERAGE($B$2:$B$2600)</f>
        <v>2.2277834723498384</v>
      </c>
      <c r="D1779" s="1">
        <f>w+a*C1778^2+b*D1778</f>
        <v>5.192980496482245</v>
      </c>
      <c r="E1779" s="1">
        <f t="shared" si="27"/>
        <v>-2.2204508856301954</v>
      </c>
      <c r="F1779" s="7">
        <f>SQRT(IRS_returns_2015_25[[#This Row],[  σ2]])</f>
        <v>2.278811202465497</v>
      </c>
    </row>
    <row r="1780" spans="1:6" x14ac:dyDescent="0.3">
      <c r="A1780" s="2">
        <v>44656</v>
      </c>
      <c r="B1780" s="1">
        <v>-3.0583254610547783</v>
      </c>
      <c r="C1780" s="1">
        <f>IRS_returns_2015_25[[#This Row],[IRSrtn]]-AVERAGE($B$2:$B$2600)</f>
        <v>-3.0641019551213939</v>
      </c>
      <c r="D1780" s="1">
        <f>w+a*C1779^2+b*D1779</f>
        <v>6.0115568436030227</v>
      </c>
      <c r="E1780" s="1">
        <f t="shared" si="27"/>
        <v>-2.5966697085065178</v>
      </c>
      <c r="F1780" s="7">
        <f>SQRT(IRS_returns_2015_25[[#This Row],[  σ2]])</f>
        <v>2.4518476387416537</v>
      </c>
    </row>
    <row r="1781" spans="1:6" x14ac:dyDescent="0.3">
      <c r="A1781" s="2">
        <v>44658</v>
      </c>
      <c r="B1781" s="1">
        <v>3.0583254610547783</v>
      </c>
      <c r="C1781" s="1">
        <f>IRS_returns_2015_25[[#This Row],[IRSrtn]]-AVERAGE($B$2:$B$2600)</f>
        <v>3.0525489669881627</v>
      </c>
      <c r="D1781" s="1">
        <f>w+a*C1780^2+b*D1780</f>
        <v>7.6348179683918325</v>
      </c>
      <c r="E1781" s="1">
        <f t="shared" si="27"/>
        <v>-2.5455323552534437</v>
      </c>
      <c r="F1781" s="7">
        <f>SQRT(IRS_returns_2015_25[[#This Row],[  σ2]])</f>
        <v>2.7631174365907492</v>
      </c>
    </row>
    <row r="1782" spans="1:6" x14ac:dyDescent="0.3">
      <c r="A1782" s="2">
        <v>44659</v>
      </c>
      <c r="B1782" s="1">
        <v>0.80002239848688816</v>
      </c>
      <c r="C1782" s="1">
        <f>IRS_returns_2015_25[[#This Row],[IRSrtn]]-AVERAGE($B$2:$B$2600)</f>
        <v>0.79424590442027232</v>
      </c>
      <c r="D1782" s="1">
        <f>w+a*C1781^2+b*D1781</f>
        <v>8.6982323732447764</v>
      </c>
      <c r="E1782" s="1">
        <f t="shared" si="27"/>
        <v>-2.036760215280907</v>
      </c>
      <c r="F1782" s="7">
        <f>SQRT(IRS_returns_2015_25[[#This Row],[  σ2]])</f>
        <v>2.9492765847313773</v>
      </c>
    </row>
    <row r="1783" spans="1:6" x14ac:dyDescent="0.3">
      <c r="A1783" s="2">
        <v>44662</v>
      </c>
      <c r="B1783" s="1">
        <v>-1.4042505506760561</v>
      </c>
      <c r="C1783" s="1">
        <f>IRS_returns_2015_25[[#This Row],[IRSrtn]]-AVERAGE($B$2:$B$2600)</f>
        <v>-1.4100270447426719</v>
      </c>
      <c r="D1783" s="1">
        <f>w+a*C1782^2+b*D1782</f>
        <v>7.2895238667226288</v>
      </c>
      <c r="E1783" s="1">
        <f t="shared" si="27"/>
        <v>-2.0485298110659969</v>
      </c>
      <c r="F1783" s="7">
        <f>SQRT(IRS_returns_2015_25[[#This Row],[  σ2]])</f>
        <v>2.6999118257310974</v>
      </c>
    </row>
    <row r="1784" spans="1:6" x14ac:dyDescent="0.3">
      <c r="A1784" s="2">
        <v>44663</v>
      </c>
      <c r="B1784" s="1">
        <v>-1.0152200618542162</v>
      </c>
      <c r="C1784" s="1">
        <f>IRS_returns_2015_25[[#This Row],[IRSrtn]]-AVERAGE($B$2:$B$2600)</f>
        <v>-1.020996555920832</v>
      </c>
      <c r="D1784" s="1">
        <f>w+a*C1783^2+b*D1783</f>
        <v>6.682441012739063</v>
      </c>
      <c r="E1784" s="1">
        <f t="shared" si="27"/>
        <v>-1.9466781965796085</v>
      </c>
      <c r="F1784" s="7">
        <f>SQRT(IRS_returns_2015_25[[#This Row],[  σ2]])</f>
        <v>2.5850417816234739</v>
      </c>
    </row>
    <row r="1785" spans="1:6" x14ac:dyDescent="0.3">
      <c r="A1785" s="2">
        <v>44664</v>
      </c>
      <c r="B1785" s="1">
        <v>2.0202707317519497</v>
      </c>
      <c r="C1785" s="1">
        <f>IRS_returns_2015_25[[#This Row],[IRSrtn]]-AVERAGE($B$2:$B$2600)</f>
        <v>2.0144942376853341</v>
      </c>
      <c r="D1785" s="1">
        <f>w+a*C1784^2+b*D1784</f>
        <v>6.0478659178494896</v>
      </c>
      <c r="E1785" s="1">
        <f t="shared" si="27"/>
        <v>-2.1542969724087815</v>
      </c>
      <c r="F1785" s="7">
        <f>SQRT(IRS_returns_2015_25[[#This Row],[  σ2]])</f>
        <v>2.4592409230999492</v>
      </c>
    </row>
    <row r="1786" spans="1:6" x14ac:dyDescent="0.3">
      <c r="A1786" s="2">
        <v>44665</v>
      </c>
      <c r="B1786" s="1">
        <v>-0.200187838831134</v>
      </c>
      <c r="C1786" s="1">
        <f>IRS_returns_2015_25[[#This Row],[IRSrtn]]-AVERAGE($B$2:$B$2600)</f>
        <v>-0.20596433289774979</v>
      </c>
      <c r="D1786" s="1">
        <f>w+a*C1785^2+b*D1785</f>
        <v>6.3602062085772477</v>
      </c>
      <c r="E1786" s="1">
        <f t="shared" si="27"/>
        <v>-1.8473038332242686</v>
      </c>
      <c r="F1786" s="7">
        <f>SQRT(IRS_returns_2015_25[[#This Row],[  σ2]])</f>
        <v>2.5219449257621087</v>
      </c>
    </row>
    <row r="1787" spans="1:6" x14ac:dyDescent="0.3">
      <c r="A1787" s="2">
        <v>44669</v>
      </c>
      <c r="B1787" s="1">
        <v>1.1952265062272094</v>
      </c>
      <c r="C1787" s="1">
        <f>IRS_returns_2015_25[[#This Row],[IRSrtn]]-AVERAGE($B$2:$B$2600)</f>
        <v>1.1894500121605935</v>
      </c>
      <c r="D1787" s="1">
        <f>w+a*C1786^2+b*D1786</f>
        <v>5.5896959695583766</v>
      </c>
      <c r="E1787" s="1">
        <f t="shared" si="27"/>
        <v>-1.9059544956576231</v>
      </c>
      <c r="F1787" s="7">
        <f>SQRT(IRS_returns_2015_25[[#This Row],[  σ2]])</f>
        <v>2.3642537870453704</v>
      </c>
    </row>
    <row r="1788" spans="1:6" x14ac:dyDescent="0.3">
      <c r="A1788" s="2">
        <v>44670</v>
      </c>
      <c r="B1788" s="1">
        <v>1.9608470304477432</v>
      </c>
      <c r="C1788" s="1">
        <f>IRS_returns_2015_25[[#This Row],[IRSrtn]]-AVERAGE($B$2:$B$2600)</f>
        <v>1.9550705363811274</v>
      </c>
      <c r="D1788" s="1">
        <f>w+a*C1787^2+b*D1787</f>
        <v>5.4111320648896504</v>
      </c>
      <c r="E1788" s="1">
        <f t="shared" si="27"/>
        <v>-2.1163563406097099</v>
      </c>
      <c r="F1788" s="7">
        <f>SQRT(IRS_returns_2015_25[[#This Row],[  σ2]])</f>
        <v>2.326184013548724</v>
      </c>
    </row>
    <row r="1789" spans="1:6" x14ac:dyDescent="0.3">
      <c r="A1789" s="2">
        <v>44671</v>
      </c>
      <c r="B1789" s="1">
        <v>1.3500610880858188</v>
      </c>
      <c r="C1789" s="1">
        <f>IRS_returns_2015_25[[#This Row],[IRSrtn]]-AVERAGE($B$2:$B$2600)</f>
        <v>1.344284594019203</v>
      </c>
      <c r="D1789" s="1">
        <f>w+a*C1788^2+b*D1788</f>
        <v>5.8788482149809038</v>
      </c>
      <c r="E1789" s="1">
        <f t="shared" si="27"/>
        <v>-1.958314126698143</v>
      </c>
      <c r="F1789" s="7">
        <f>SQRT(IRS_returns_2015_25[[#This Row],[  σ2]])</f>
        <v>2.4246336248969458</v>
      </c>
    </row>
    <row r="1790" spans="1:6" x14ac:dyDescent="0.3">
      <c r="A1790" s="2">
        <v>44672</v>
      </c>
      <c r="B1790" s="1">
        <v>-0.96247681082679559</v>
      </c>
      <c r="C1790" s="1">
        <f>IRS_returns_2015_25[[#This Row],[IRSrtn]]-AVERAGE($B$2:$B$2600)</f>
        <v>-0.96825330489341144</v>
      </c>
      <c r="D1790" s="1">
        <f>w+a*C1789^2+b*D1789</f>
        <v>5.6992117243751048</v>
      </c>
      <c r="E1790" s="1">
        <f t="shared" si="27"/>
        <v>-1.8713519542064274</v>
      </c>
      <c r="F1790" s="7">
        <f>SQRT(IRS_returns_2015_25[[#This Row],[  σ2]])</f>
        <v>2.3873021853915151</v>
      </c>
    </row>
    <row r="1791" spans="1:6" x14ac:dyDescent="0.3">
      <c r="A1791" s="2">
        <v>44673</v>
      </c>
      <c r="B1791" s="1">
        <v>-2.7452773784630624</v>
      </c>
      <c r="C1791" s="1">
        <f>IRS_returns_2015_25[[#This Row],[IRSrtn]]-AVERAGE($B$2:$B$2600)</f>
        <v>-2.751053872529678</v>
      </c>
      <c r="D1791" s="1">
        <f>w+a*C1790^2+b*D1790</f>
        <v>5.3677501344832876</v>
      </c>
      <c r="E1791" s="1">
        <f t="shared" si="27"/>
        <v>-2.4641215085504973</v>
      </c>
      <c r="F1791" s="7">
        <f>SQRT(IRS_returns_2015_25[[#This Row],[  σ2]])</f>
        <v>2.3168405500774729</v>
      </c>
    </row>
    <row r="1792" spans="1:6" x14ac:dyDescent="0.3">
      <c r="A1792" s="2">
        <v>44676</v>
      </c>
      <c r="B1792" s="1">
        <v>-2.2111445406052477</v>
      </c>
      <c r="C1792" s="1">
        <f>IRS_returns_2015_25[[#This Row],[IRSrtn]]-AVERAGE($B$2:$B$2600)</f>
        <v>-2.2169210346718633</v>
      </c>
      <c r="D1792" s="1">
        <f>w+a*C1791^2+b*D1791</f>
        <v>6.7626793459723462</v>
      </c>
      <c r="E1792" s="1">
        <f t="shared" si="27"/>
        <v>-2.2380202807176754</v>
      </c>
      <c r="F1792" s="7">
        <f>SQRT(IRS_returns_2015_25[[#This Row],[  σ2]])</f>
        <v>2.6005152077948606</v>
      </c>
    </row>
    <row r="1793" spans="1:6" x14ac:dyDescent="0.3">
      <c r="A1793" s="2">
        <v>44677</v>
      </c>
      <c r="B1793" s="1">
        <v>-4.1499617286389734</v>
      </c>
      <c r="C1793" s="1">
        <f>IRS_returns_2015_25[[#This Row],[IRSrtn]]-AVERAGE($B$2:$B$2600)</f>
        <v>-4.1557382227055895</v>
      </c>
      <c r="D1793" s="1">
        <f>w+a*C1792^2+b*D1792</f>
        <v>7.0447681123995398</v>
      </c>
      <c r="E1793" s="1">
        <f t="shared" si="27"/>
        <v>-3.1208248417754669</v>
      </c>
      <c r="F1793" s="7">
        <f>SQRT(IRS_returns_2015_25[[#This Row],[  σ2]])</f>
        <v>2.6541982051835427</v>
      </c>
    </row>
    <row r="1794" spans="1:6" x14ac:dyDescent="0.3">
      <c r="A1794" s="2">
        <v>44678</v>
      </c>
      <c r="B1794" s="1">
        <v>-1.0649969624297873</v>
      </c>
      <c r="C1794" s="1">
        <f>IRS_returns_2015_25[[#This Row],[IRSrtn]]-AVERAGE($B$2:$B$2600)</f>
        <v>-1.0707734564964031</v>
      </c>
      <c r="D1794" s="1">
        <f>w+a*C1793^2+b*D1793</f>
        <v>10.242954861827675</v>
      </c>
      <c r="E1794" s="1">
        <f t="shared" ref="E1794:E1857" si="28">-0.5*(LN(2*PI())+LN(D1794)+C1794^2/D1794)</f>
        <v>-2.1382016220723425</v>
      </c>
      <c r="F1794" s="7">
        <f>SQRT(IRS_returns_2015_25[[#This Row],[  σ2]])</f>
        <v>3.2004616638584622</v>
      </c>
    </row>
    <row r="1795" spans="1:6" x14ac:dyDescent="0.3">
      <c r="A1795" s="2">
        <v>44679</v>
      </c>
      <c r="B1795" s="1">
        <v>-0.429152586191206</v>
      </c>
      <c r="C1795" s="1">
        <f>IRS_returns_2015_25[[#This Row],[IRSrtn]]-AVERAGE($B$2:$B$2600)</f>
        <v>-0.43492908025782179</v>
      </c>
      <c r="D1795" s="1">
        <f>w+a*C1794^2+b*D1794</f>
        <v>8.4435287545045608</v>
      </c>
      <c r="E1795" s="1">
        <f t="shared" si="28"/>
        <v>-1.9968403667721204</v>
      </c>
      <c r="F1795" s="7">
        <f>SQRT(IRS_returns_2015_25[[#This Row],[  σ2]])</f>
        <v>2.9057750694960132</v>
      </c>
    </row>
    <row r="1796" spans="1:6" x14ac:dyDescent="0.3">
      <c r="A1796" s="2">
        <v>44680</v>
      </c>
      <c r="B1796" s="1">
        <v>-2.8355248958015222</v>
      </c>
      <c r="C1796" s="1">
        <f>IRS_returns_2015_25[[#This Row],[IRSrtn]]-AVERAGE($B$2:$B$2600)</f>
        <v>-2.8413013898681378</v>
      </c>
      <c r="D1796" s="1">
        <f>w+a*C1795^2+b*D1795</f>
        <v>7.012352261608104</v>
      </c>
      <c r="E1796" s="1">
        <f t="shared" si="28"/>
        <v>-2.4684017778930842</v>
      </c>
      <c r="F1796" s="7">
        <f>SQRT(IRS_returns_2015_25[[#This Row],[  σ2]])</f>
        <v>2.6480846401896039</v>
      </c>
    </row>
    <row r="1797" spans="1:6" x14ac:dyDescent="0.3">
      <c r="A1797" s="2">
        <v>44683</v>
      </c>
      <c r="B1797" s="1">
        <v>-2.2372424462240748</v>
      </c>
      <c r="C1797" s="1">
        <f>IRS_returns_2015_25[[#This Row],[IRSrtn]]-AVERAGE($B$2:$B$2600)</f>
        <v>-2.2430189402906904</v>
      </c>
      <c r="D1797" s="1">
        <f>w+a*C1796^2+b*D1796</f>
        <v>7.9804875759486276</v>
      </c>
      <c r="E1797" s="1">
        <f t="shared" si="28"/>
        <v>-2.2726529861376346</v>
      </c>
      <c r="F1797" s="7">
        <f>SQRT(IRS_returns_2015_25[[#This Row],[  σ2]])</f>
        <v>2.8249756770543399</v>
      </c>
    </row>
    <row r="1798" spans="1:6" x14ac:dyDescent="0.3">
      <c r="A1798" s="2">
        <v>44684</v>
      </c>
      <c r="B1798" s="1">
        <v>4.2088054531452146</v>
      </c>
      <c r="C1798" s="1">
        <f>IRS_returns_2015_25[[#This Row],[IRSrtn]]-AVERAGE($B$2:$B$2600)</f>
        <v>4.2030289590785985</v>
      </c>
      <c r="D1798" s="1">
        <f>w+a*C1797^2+b*D1797</f>
        <v>7.8838430420964336</v>
      </c>
      <c r="E1798" s="1">
        <f t="shared" si="28"/>
        <v>-3.0717042218540298</v>
      </c>
      <c r="F1798" s="7">
        <f>SQRT(IRS_returns_2015_25[[#This Row],[  σ2]])</f>
        <v>2.8078181996162845</v>
      </c>
    </row>
    <row r="1799" spans="1:6" x14ac:dyDescent="0.3">
      <c r="A1799" s="2">
        <v>44685</v>
      </c>
      <c r="B1799" s="1">
        <v>2.3581114375013756</v>
      </c>
      <c r="C1799" s="1">
        <f>IRS_returns_2015_25[[#This Row],[IRSrtn]]-AVERAGE($B$2:$B$2600)</f>
        <v>2.35233494343476</v>
      </c>
      <c r="D1799" s="1">
        <f>w+a*C1798^2+b*D1798</f>
        <v>10.897853932825168</v>
      </c>
      <c r="E1799" s="1">
        <f t="shared" si="28"/>
        <v>-2.3671008035939503</v>
      </c>
      <c r="F1799" s="7">
        <f>SQRT(IRS_returns_2015_25[[#This Row],[  σ2]])</f>
        <v>3.3011897753423942</v>
      </c>
    </row>
    <row r="1800" spans="1:6" x14ac:dyDescent="0.3">
      <c r="A1800" s="2">
        <v>44686</v>
      </c>
      <c r="B1800" s="1">
        <v>-5.4420329244322829</v>
      </c>
      <c r="C1800" s="1">
        <f>IRS_returns_2015_25[[#This Row],[IRSrtn]]-AVERAGE($B$2:$B$2600)</f>
        <v>-5.447809418498899</v>
      </c>
      <c r="D1800" s="1">
        <f>w+a*C1799^2+b*D1799</f>
        <v>9.9483790031697072</v>
      </c>
      <c r="E1800" s="1">
        <f t="shared" si="28"/>
        <v>-3.5592746676186025</v>
      </c>
      <c r="F1800" s="7">
        <f>SQRT(IRS_returns_2015_25[[#This Row],[  σ2]])</f>
        <v>3.1541051033803087</v>
      </c>
    </row>
    <row r="1801" spans="1:6" x14ac:dyDescent="0.3">
      <c r="A1801" s="2">
        <v>44687</v>
      </c>
      <c r="B1801" s="1">
        <v>-1.8059334960035756</v>
      </c>
      <c r="C1801" s="1">
        <f>IRS_returns_2015_25[[#This Row],[IRSrtn]]-AVERAGE($B$2:$B$2600)</f>
        <v>-1.8117099900701914</v>
      </c>
      <c r="D1801" s="1">
        <f>w+a*C1800^2+b*D1800</f>
        <v>15.199257345254631</v>
      </c>
      <c r="E1801" s="1">
        <f t="shared" si="28"/>
        <v>-2.3875372600315017</v>
      </c>
      <c r="F1801" s="7">
        <f>SQRT(IRS_returns_2015_25[[#This Row],[  σ2]])</f>
        <v>3.8986224932987077</v>
      </c>
    </row>
    <row r="1802" spans="1:6" x14ac:dyDescent="0.3">
      <c r="A1802" s="2">
        <v>44690</v>
      </c>
      <c r="B1802" s="1">
        <v>-4.1866410242660912</v>
      </c>
      <c r="C1802" s="1">
        <f>IRS_returns_2015_25[[#This Row],[IRSrtn]]-AVERAGE($B$2:$B$2600)</f>
        <v>-4.1924175183327073</v>
      </c>
      <c r="D1802" s="1">
        <f>w+a*C1801^2+b*D1801</f>
        <v>12.263394051554988</v>
      </c>
      <c r="E1802" s="1">
        <f t="shared" si="28"/>
        <v>-2.888866992160426</v>
      </c>
      <c r="F1802" s="7">
        <f>SQRT(IRS_returns_2015_25[[#This Row],[  σ2]])</f>
        <v>3.5019129131883031</v>
      </c>
    </row>
    <row r="1803" spans="1:6" x14ac:dyDescent="0.3">
      <c r="A1803" s="2">
        <v>44691</v>
      </c>
      <c r="B1803" s="1">
        <v>3.271307903610321</v>
      </c>
      <c r="C1803" s="1">
        <f>IRS_returns_2015_25[[#This Row],[IRSrtn]]-AVERAGE($B$2:$B$2600)</f>
        <v>3.2655314095437054</v>
      </c>
      <c r="D1803" s="1">
        <f>w+a*C1802^2+b*D1802</f>
        <v>13.791688018987767</v>
      </c>
      <c r="E1803" s="1">
        <f t="shared" si="28"/>
        <v>-2.6175702098085933</v>
      </c>
      <c r="F1803" s="7">
        <f>SQRT(IRS_returns_2015_25[[#This Row],[  σ2]])</f>
        <v>3.7137162006523554</v>
      </c>
    </row>
    <row r="1804" spans="1:6" x14ac:dyDescent="0.3">
      <c r="A1804" s="2">
        <v>44693</v>
      </c>
      <c r="B1804" s="1">
        <v>-0.69204041425110496</v>
      </c>
      <c r="C1804" s="1">
        <f>IRS_returns_2015_25[[#This Row],[IRSrtn]]-AVERAGE($B$2:$B$2600)</f>
        <v>-0.69781690831772081</v>
      </c>
      <c r="D1804" s="1">
        <f>w+a*C1803^2+b*D1803</f>
        <v>13.124828589009237</v>
      </c>
      <c r="E1804" s="1">
        <f t="shared" si="28"/>
        <v>-2.2247420663958088</v>
      </c>
      <c r="F1804" s="7">
        <f>SQRT(IRS_returns_2015_25[[#This Row],[  σ2]])</f>
        <v>3.622820529505876</v>
      </c>
    </row>
    <row r="1805" spans="1:6" x14ac:dyDescent="0.3">
      <c r="A1805" s="2">
        <v>44694</v>
      </c>
      <c r="B1805" s="1">
        <v>1.1507671656989737</v>
      </c>
      <c r="C1805" s="1">
        <f>IRS_returns_2015_25[[#This Row],[IRSrtn]]-AVERAGE($B$2:$B$2600)</f>
        <v>1.1449906716323579</v>
      </c>
      <c r="D1805" s="1">
        <f>w+a*C1804^2+b*D1804</f>
        <v>10.20132708022969</v>
      </c>
      <c r="E1805" s="1">
        <f t="shared" si="28"/>
        <v>-2.1444539661393134</v>
      </c>
      <c r="F1805" s="7">
        <f>SQRT(IRS_returns_2015_25[[#This Row],[  σ2]])</f>
        <v>3.1939516402459338</v>
      </c>
    </row>
    <row r="1806" spans="1:6" x14ac:dyDescent="0.3">
      <c r="A1806" s="2">
        <v>44697</v>
      </c>
      <c r="B1806" s="1">
        <v>-1.1507671656989737</v>
      </c>
      <c r="C1806" s="1">
        <f>IRS_returns_2015_25[[#This Row],[IRSrtn]]-AVERAGE($B$2:$B$2600)</f>
        <v>-1.1565436597655896</v>
      </c>
      <c r="D1806" s="1">
        <f>w+a*C1805^2+b*D1805</f>
        <v>8.4558841234718116</v>
      </c>
      <c r="E1806" s="1">
        <f t="shared" si="28"/>
        <v>-2.0654622588095712</v>
      </c>
      <c r="F1806" s="7">
        <f>SQRT(IRS_returns_2015_25[[#This Row],[  σ2]])</f>
        <v>2.9079002946235644</v>
      </c>
    </row>
    <row r="1807" spans="1:6" x14ac:dyDescent="0.3">
      <c r="A1807" s="2">
        <v>44698</v>
      </c>
      <c r="B1807" s="1">
        <v>2.2884230646961434</v>
      </c>
      <c r="C1807" s="1">
        <f>IRS_returns_2015_25[[#This Row],[IRSrtn]]-AVERAGE($B$2:$B$2600)</f>
        <v>2.2826465706295278</v>
      </c>
      <c r="D1807" s="1">
        <f>w+a*C1806^2+b*D1806</f>
        <v>7.3003921246093455</v>
      </c>
      <c r="E1807" s="1">
        <f t="shared" si="28"/>
        <v>-2.2697652696919168</v>
      </c>
      <c r="F1807" s="7">
        <f>SQRT(IRS_returns_2015_25[[#This Row],[  σ2]])</f>
        <v>2.7019237821613964</v>
      </c>
    </row>
    <row r="1808" spans="1:6" x14ac:dyDescent="0.3">
      <c r="A1808" s="2">
        <v>44699</v>
      </c>
      <c r="B1808" s="1">
        <v>-1.8265115793198339</v>
      </c>
      <c r="C1808" s="1">
        <f>IRS_returns_2015_25[[#This Row],[IRSrtn]]-AVERAGE($B$2:$B$2600)</f>
        <v>-1.8322880733864497</v>
      </c>
      <c r="D1808" s="1">
        <f>w+a*C1807^2+b*D1807</f>
        <v>7.4747886240989176</v>
      </c>
      <c r="E1808" s="1">
        <f t="shared" si="28"/>
        <v>-2.149280000458837</v>
      </c>
      <c r="F1808" s="7">
        <f>SQRT(IRS_returns_2015_25[[#This Row],[  σ2]])</f>
        <v>2.7340059663612508</v>
      </c>
    </row>
    <row r="1809" spans="1:6" x14ac:dyDescent="0.3">
      <c r="A1809" s="2">
        <v>44700</v>
      </c>
      <c r="B1809" s="1">
        <v>0.91741947642072219</v>
      </c>
      <c r="C1809" s="1">
        <f>IRS_returns_2015_25[[#This Row],[IRSrtn]]-AVERAGE($B$2:$B$2600)</f>
        <v>0.91164298235410635</v>
      </c>
      <c r="D1809" s="1">
        <f>w+a*C1808^2+b*D1808</f>
        <v>7.1393565646898045</v>
      </c>
      <c r="E1809" s="1">
        <f t="shared" si="28"/>
        <v>-1.9599548909402582</v>
      </c>
      <c r="F1809" s="7">
        <f>SQRT(IRS_returns_2015_25[[#This Row],[  σ2]])</f>
        <v>2.6719574406584035</v>
      </c>
    </row>
    <row r="1810" spans="1:6" x14ac:dyDescent="0.3">
      <c r="A1810" s="2">
        <v>44701</v>
      </c>
      <c r="B1810" s="1">
        <v>0.22804257310984344</v>
      </c>
      <c r="C1810" s="1">
        <f>IRS_returns_2015_25[[#This Row],[IRSrtn]]-AVERAGE($B$2:$B$2600)</f>
        <v>0.22226607904322765</v>
      </c>
      <c r="D1810" s="1">
        <f>w+a*C1809^2+b*D1809</f>
        <v>6.3005490418546248</v>
      </c>
      <c r="E1810" s="1">
        <f t="shared" si="28"/>
        <v>-1.843177391397238</v>
      </c>
      <c r="F1810" s="7">
        <f>SQRT(IRS_returns_2015_25[[#This Row],[  σ2]])</f>
        <v>2.510089448974802</v>
      </c>
    </row>
    <row r="1811" spans="1:6" x14ac:dyDescent="0.3">
      <c r="A1811" s="2">
        <v>44704</v>
      </c>
      <c r="B1811" s="1">
        <v>1.1325150658668237</v>
      </c>
      <c r="C1811" s="1">
        <f>IRS_returns_2015_25[[#This Row],[IRSrtn]]-AVERAGE($B$2:$B$2600)</f>
        <v>1.1267385718002079</v>
      </c>
      <c r="D1811" s="1">
        <f>w+a*C1810^2+b*D1810</f>
        <v>5.5516820921170869</v>
      </c>
      <c r="E1811" s="1">
        <f t="shared" si="28"/>
        <v>-1.8903273161228966</v>
      </c>
      <c r="F1811" s="7">
        <f>SQRT(IRS_returns_2015_25[[#This Row],[  σ2]])</f>
        <v>2.3562007750013763</v>
      </c>
    </row>
    <row r="1812" spans="1:6" x14ac:dyDescent="0.3">
      <c r="A1812" s="2">
        <v>44705</v>
      </c>
      <c r="B1812" s="1">
        <v>0.22496439741845897</v>
      </c>
      <c r="C1812" s="1">
        <f>IRS_returns_2015_25[[#This Row],[IRSrtn]]-AVERAGE($B$2:$B$2600)</f>
        <v>0.21918790335184318</v>
      </c>
      <c r="D1812" s="1">
        <f>w+a*C1811^2+b*D1811</f>
        <v>5.3504350915326855</v>
      </c>
      <c r="E1812" s="1">
        <f t="shared" si="28"/>
        <v>-1.7620171411339347</v>
      </c>
      <c r="F1812" s="7">
        <f>SQRT(IRS_returns_2015_25[[#This Row],[  σ2]])</f>
        <v>2.3131007525684404</v>
      </c>
    </row>
    <row r="1813" spans="1:6" x14ac:dyDescent="0.3">
      <c r="A1813" s="2">
        <v>44706</v>
      </c>
      <c r="B1813" s="1">
        <v>-0.22496439741845897</v>
      </c>
      <c r="C1813" s="1">
        <f>IRS_returns_2015_25[[#This Row],[IRSrtn]]-AVERAGE($B$2:$B$2600)</f>
        <v>-0.23074089148507476</v>
      </c>
      <c r="D1813" s="1">
        <f>w+a*C1812^2+b*D1812</f>
        <v>4.9188442667542036</v>
      </c>
      <c r="E1813" s="1">
        <f t="shared" si="28"/>
        <v>-1.7208873106111946</v>
      </c>
      <c r="F1813" s="7">
        <f>SQRT(IRS_returns_2015_25[[#This Row],[  σ2]])</f>
        <v>2.2178467635871968</v>
      </c>
    </row>
    <row r="1814" spans="1:6" x14ac:dyDescent="0.3">
      <c r="A1814" s="2">
        <v>44707</v>
      </c>
      <c r="B1814" s="1">
        <v>2.0067515538517711</v>
      </c>
      <c r="C1814" s="1">
        <f>IRS_returns_2015_25[[#This Row],[IRSrtn]]-AVERAGE($B$2:$B$2600)</f>
        <v>2.0009750597851554</v>
      </c>
      <c r="D1814" s="1">
        <f>w+a*C1813^2+b*D1813</f>
        <v>4.6327935382472285</v>
      </c>
      <c r="E1814" s="1">
        <f t="shared" si="28"/>
        <v>-2.117644566026569</v>
      </c>
      <c r="F1814" s="7">
        <f>SQRT(IRS_returns_2015_25[[#This Row],[  σ2]])</f>
        <v>2.1523925149115413</v>
      </c>
    </row>
    <row r="1815" spans="1:6" x14ac:dyDescent="0.3">
      <c r="A1815" s="2">
        <v>44708</v>
      </c>
      <c r="B1815" s="1">
        <v>0.22053088620650474</v>
      </c>
      <c r="C1815" s="1">
        <f>IRS_returns_2015_25[[#This Row],[IRSrtn]]-AVERAGE($B$2:$B$2600)</f>
        <v>0.21475439213988895</v>
      </c>
      <c r="D1815" s="1">
        <f>w+a*C1814^2+b*D1814</f>
        <v>5.4049421416293688</v>
      </c>
      <c r="E1815" s="1">
        <f t="shared" si="28"/>
        <v>-1.7668618210961111</v>
      </c>
      <c r="F1815" s="7">
        <f>SQRT(IRS_returns_2015_25[[#This Row],[  σ2]])</f>
        <v>2.3248531440995084</v>
      </c>
    </row>
    <row r="1816" spans="1:6" x14ac:dyDescent="0.3">
      <c r="A1816" s="2">
        <v>44712</v>
      </c>
      <c r="B1816" s="1">
        <v>-0.22053088620650474</v>
      </c>
      <c r="C1816" s="1">
        <f>IRS_returns_2015_25[[#This Row],[IRSrtn]]-AVERAGE($B$2:$B$2600)</f>
        <v>-0.22630738027312053</v>
      </c>
      <c r="D1816" s="1">
        <f>w+a*C1815^2+b*D1815</f>
        <v>4.9546617661233094</v>
      </c>
      <c r="E1816" s="1">
        <f t="shared" si="28"/>
        <v>-1.7242713533397476</v>
      </c>
      <c r="F1816" s="7">
        <f>SQRT(IRS_returns_2015_25[[#This Row],[  σ2]])</f>
        <v>2.2259069536086429</v>
      </c>
    </row>
    <row r="1817" spans="1:6" x14ac:dyDescent="0.3">
      <c r="A1817" s="2">
        <v>44713</v>
      </c>
      <c r="B1817" s="1">
        <v>-5.210695167232382</v>
      </c>
      <c r="C1817" s="1">
        <f>IRS_returns_2015_25[[#This Row],[IRSrtn]]-AVERAGE($B$2:$B$2600)</f>
        <v>-5.2164716612989981</v>
      </c>
      <c r="D1817" s="1">
        <f>w+a*C1816^2+b*D1816</f>
        <v>4.6561441317028045</v>
      </c>
      <c r="E1817" s="1">
        <f t="shared" si="28"/>
        <v>-4.6101472990512633</v>
      </c>
      <c r="F1817" s="7">
        <f>SQRT(IRS_returns_2015_25[[#This Row],[  σ2]])</f>
        <v>2.1578100314213957</v>
      </c>
    </row>
    <row r="1818" spans="1:6" x14ac:dyDescent="0.3">
      <c r="A1818" s="2">
        <v>44714</v>
      </c>
      <c r="B1818" s="1">
        <v>-1.6412872955481772</v>
      </c>
      <c r="C1818" s="1">
        <f>IRS_returns_2015_25[[#This Row],[IRSrtn]]-AVERAGE($B$2:$B$2600)</f>
        <v>-1.6470637896147931</v>
      </c>
      <c r="D1818" s="1">
        <f>w+a*C1817^2+b*D1817</f>
        <v>11.075031767209627</v>
      </c>
      <c r="E1818" s="1">
        <f t="shared" si="28"/>
        <v>-2.243759678207506</v>
      </c>
      <c r="F1818" s="7">
        <f>SQRT(IRS_returns_2015_25[[#This Row],[  σ2]])</f>
        <v>3.3279170312989517</v>
      </c>
    </row>
    <row r="1819" spans="1:6" x14ac:dyDescent="0.3">
      <c r="A1819" s="2">
        <v>44715</v>
      </c>
      <c r="B1819" s="1">
        <v>-0.71175620194836586</v>
      </c>
      <c r="C1819" s="1">
        <f>IRS_returns_2015_25[[#This Row],[IRSrtn]]-AVERAGE($B$2:$B$2600)</f>
        <v>-0.71753269601498171</v>
      </c>
      <c r="D1819" s="1">
        <f>w+a*C1818^2+b*D1818</f>
        <v>9.3790759558137182</v>
      </c>
      <c r="E1819" s="1">
        <f t="shared" si="28"/>
        <v>-2.0656260588740887</v>
      </c>
      <c r="F1819" s="7">
        <f>SQRT(IRS_returns_2015_25[[#This Row],[  σ2]])</f>
        <v>3.0625277069462928</v>
      </c>
    </row>
    <row r="1820" spans="1:6" x14ac:dyDescent="0.3">
      <c r="A1820" s="2">
        <v>44718</v>
      </c>
      <c r="B1820" s="1">
        <v>0.23783102074423912</v>
      </c>
      <c r="C1820" s="1">
        <f>IRS_returns_2015_25[[#This Row],[IRSrtn]]-AVERAGE($B$2:$B$2600)</f>
        <v>0.23205452667762333</v>
      </c>
      <c r="D1820" s="1">
        <f>w+a*C1819^2+b*D1819</f>
        <v>7.7145159299132589</v>
      </c>
      <c r="E1820" s="1">
        <f t="shared" si="28"/>
        <v>-1.9439805315893268</v>
      </c>
      <c r="F1820" s="7">
        <f>SQRT(IRS_returns_2015_25[[#This Row],[  σ2]])</f>
        <v>2.7775017425580959</v>
      </c>
    </row>
    <row r="1821" spans="1:6" x14ac:dyDescent="0.3">
      <c r="A1821" s="2">
        <v>44719</v>
      </c>
      <c r="B1821" s="1">
        <v>0.94562153470487686</v>
      </c>
      <c r="C1821" s="1">
        <f>IRS_returns_2015_25[[#This Row],[IRSrtn]]-AVERAGE($B$2:$B$2600)</f>
        <v>0.93984504063826102</v>
      </c>
      <c r="D1821" s="1">
        <f>w+a*C1820^2+b*D1820</f>
        <v>6.4940670148759523</v>
      </c>
      <c r="E1821" s="1">
        <f t="shared" si="28"/>
        <v>-1.9223919291554554</v>
      </c>
      <c r="F1821" s="7">
        <f>SQRT(IRS_returns_2015_25[[#This Row],[  σ2]])</f>
        <v>2.5483459370493544</v>
      </c>
    </row>
    <row r="1822" spans="1:6" x14ac:dyDescent="0.3">
      <c r="A1822" s="2">
        <v>44720</v>
      </c>
      <c r="B1822" s="1">
        <v>-0.47169635350075012</v>
      </c>
      <c r="C1822" s="1">
        <f>IRS_returns_2015_25[[#This Row],[IRSrtn]]-AVERAGE($B$2:$B$2600)</f>
        <v>-0.47747284756736591</v>
      </c>
      <c r="D1822" s="1">
        <f>w+a*C1821^2+b*D1821</f>
        <v>5.8836913646607298</v>
      </c>
      <c r="E1822" s="1">
        <f t="shared" si="28"/>
        <v>-1.8244046262535856</v>
      </c>
      <c r="F1822" s="7">
        <f>SQRT(IRS_returns_2015_25[[#This Row],[  σ2]])</f>
        <v>2.425632157739654</v>
      </c>
    </row>
    <row r="1823" spans="1:6" x14ac:dyDescent="0.3">
      <c r="A1823" s="2">
        <v>44721</v>
      </c>
      <c r="B1823" s="1">
        <v>-4.3485141558338825</v>
      </c>
      <c r="C1823" s="1">
        <f>IRS_returns_2015_25[[#This Row],[IRSrtn]]-AVERAGE($B$2:$B$2600)</f>
        <v>-4.3542906499004985</v>
      </c>
      <c r="D1823" s="1">
        <f>w+a*C1822^2+b*D1822</f>
        <v>5.3176834846035321</v>
      </c>
      <c r="E1823" s="1">
        <f t="shared" si="28"/>
        <v>-3.5371741910485364</v>
      </c>
      <c r="F1823" s="7">
        <f>SQRT(IRS_returns_2015_25[[#This Row],[  σ2]])</f>
        <v>2.3060102958580937</v>
      </c>
    </row>
    <row r="1824" spans="1:6" x14ac:dyDescent="0.3">
      <c r="A1824" s="2">
        <v>44722</v>
      </c>
      <c r="B1824" s="1">
        <v>-5.0643736434532238</v>
      </c>
      <c r="C1824" s="1">
        <f>IRS_returns_2015_25[[#This Row],[IRSrtn]]-AVERAGE($B$2:$B$2600)</f>
        <v>-5.0701501375198399</v>
      </c>
      <c r="D1824" s="1">
        <f>w+a*C1823^2+b*D1823</f>
        <v>9.504897579340895</v>
      </c>
      <c r="E1824" s="1">
        <f t="shared" si="28"/>
        <v>-3.397114590983092</v>
      </c>
      <c r="F1824" s="7">
        <f>SQRT(IRS_returns_2015_25[[#This Row],[  σ2]])</f>
        <v>3.0830013913945766</v>
      </c>
    </row>
    <row r="1825" spans="1:6" x14ac:dyDescent="0.3">
      <c r="A1825" s="2">
        <v>44725</v>
      </c>
      <c r="B1825" s="1">
        <v>-7.5507431911347345</v>
      </c>
      <c r="C1825" s="1">
        <f>IRS_returns_2015_25[[#This Row],[IRSrtn]]-AVERAGE($B$2:$B$2600)</f>
        <v>-7.5565196852013505</v>
      </c>
      <c r="D1825" s="1">
        <f>w+a*C1824^2+b*D1824</f>
        <v>13.936197509133603</v>
      </c>
      <c r="E1825" s="1">
        <f t="shared" si="28"/>
        <v>-4.2848407812711136</v>
      </c>
      <c r="F1825" s="7">
        <f>SQRT(IRS_returns_2015_25[[#This Row],[  σ2]])</f>
        <v>3.7331216842119681</v>
      </c>
    </row>
    <row r="1826" spans="1:6" x14ac:dyDescent="0.3">
      <c r="A1826" s="2">
        <v>44726</v>
      </c>
      <c r="B1826" s="1">
        <v>-1.1267979851729004</v>
      </c>
      <c r="C1826" s="1">
        <f>IRS_returns_2015_25[[#This Row],[IRSrtn]]-AVERAGE($B$2:$B$2600)</f>
        <v>-1.1325744792395163</v>
      </c>
      <c r="D1826" s="1">
        <f>w+a*C1825^2+b*D1825</f>
        <v>24.535467005559987</v>
      </c>
      <c r="E1826" s="1">
        <f t="shared" si="28"/>
        <v>-2.5451386037996353</v>
      </c>
      <c r="F1826" s="7">
        <f>SQRT(IRS_returns_2015_25[[#This Row],[  σ2]])</f>
        <v>4.9533288812232108</v>
      </c>
    </row>
    <row r="1827" spans="1:6" x14ac:dyDescent="0.3">
      <c r="A1827" s="2">
        <v>44727</v>
      </c>
      <c r="B1827" s="1">
        <v>3.0685878932877442</v>
      </c>
      <c r="C1827" s="1">
        <f>IRS_returns_2015_25[[#This Row],[IRSrtn]]-AVERAGE($B$2:$B$2600)</f>
        <v>3.0628113992211285</v>
      </c>
      <c r="D1827" s="1">
        <f>w+a*C1826^2+b*D1826</f>
        <v>17.991470547303969</v>
      </c>
      <c r="E1827" s="1">
        <f t="shared" si="28"/>
        <v>-2.6245891198890368</v>
      </c>
      <c r="F1827" s="7">
        <f>SQRT(IRS_returns_2015_25[[#This Row],[  σ2]])</f>
        <v>4.2416353623695624</v>
      </c>
    </row>
    <row r="1828" spans="1:6" x14ac:dyDescent="0.3">
      <c r="A1828" s="2">
        <v>44728</v>
      </c>
      <c r="B1828" s="1">
        <v>-8.9011373702714955</v>
      </c>
      <c r="C1828" s="1">
        <f>IRS_returns_2015_25[[#This Row],[IRSrtn]]-AVERAGE($B$2:$B$2600)</f>
        <v>-8.9069138643381116</v>
      </c>
      <c r="D1828" s="1">
        <f>w+a*C1827^2+b*D1827</f>
        <v>15.608120176136465</v>
      </c>
      <c r="E1828" s="1">
        <f t="shared" si="28"/>
        <v>-4.8342393536344108</v>
      </c>
      <c r="F1828" s="7">
        <f>SQRT(IRS_returns_2015_25[[#This Row],[  σ2]])</f>
        <v>3.9507113506476861</v>
      </c>
    </row>
    <row r="1829" spans="1:6" x14ac:dyDescent="0.3">
      <c r="A1829" s="2">
        <v>44733</v>
      </c>
      <c r="B1829" s="1">
        <v>6.1154574524661776</v>
      </c>
      <c r="C1829" s="1">
        <f>IRS_returns_2015_25[[#This Row],[IRSrtn]]-AVERAGE($B$2:$B$2600)</f>
        <v>6.1096809583995615</v>
      </c>
      <c r="D1829" s="1">
        <f>w+a*C1828^2+b*D1828</f>
        <v>31.065345942991325</v>
      </c>
      <c r="E1829" s="1">
        <f t="shared" si="28"/>
        <v>-3.2377863084082894</v>
      </c>
      <c r="F1829" s="7">
        <f>SQRT(IRS_returns_2015_25[[#This Row],[  σ2]])</f>
        <v>5.5736295125341195</v>
      </c>
    </row>
    <row r="1830" spans="1:6" x14ac:dyDescent="0.3">
      <c r="A1830" s="2">
        <v>44735</v>
      </c>
      <c r="B1830" s="1">
        <v>-1.1363935659463031</v>
      </c>
      <c r="C1830" s="1">
        <f>IRS_returns_2015_25[[#This Row],[IRSrtn]]-AVERAGE($B$2:$B$2600)</f>
        <v>-1.142170060012919</v>
      </c>
      <c r="D1830" s="1">
        <f>w+a*C1829^2+b*D1829</f>
        <v>31.120992096513305</v>
      </c>
      <c r="E1830" s="1">
        <f t="shared" si="28"/>
        <v>-2.6588391871538621</v>
      </c>
      <c r="F1830" s="7">
        <f>SQRT(IRS_returns_2015_25[[#This Row],[  σ2]])</f>
        <v>5.5786191926419662</v>
      </c>
    </row>
    <row r="1831" spans="1:6" x14ac:dyDescent="0.3">
      <c r="A1831" s="2">
        <v>44736</v>
      </c>
      <c r="B1831" s="1">
        <v>1.6997879982622699</v>
      </c>
      <c r="C1831" s="1">
        <f>IRS_returns_2015_25[[#This Row],[IRSrtn]]-AVERAGE($B$2:$B$2600)</f>
        <v>1.694011504195654</v>
      </c>
      <c r="D1831" s="1">
        <f>w+a*C1830^2+b*D1830</f>
        <v>22.380882930461127</v>
      </c>
      <c r="E1831" s="1">
        <f t="shared" si="28"/>
        <v>-2.537152069189029</v>
      </c>
      <c r="F1831" s="7">
        <f>SQRT(IRS_returns_2015_25[[#This Row],[  σ2]])</f>
        <v>4.73084378630928</v>
      </c>
    </row>
    <row r="1832" spans="1:6" x14ac:dyDescent="0.3">
      <c r="A1832" s="2">
        <v>44739</v>
      </c>
      <c r="B1832" s="1">
        <v>3.3152095426486783</v>
      </c>
      <c r="C1832" s="1">
        <f>IRS_returns_2015_25[[#This Row],[IRSrtn]]-AVERAGE($B$2:$B$2600)</f>
        <v>3.3094330485820627</v>
      </c>
      <c r="D1832" s="1">
        <f>w+a*C1831^2+b*D1831</f>
        <v>16.943787924940025</v>
      </c>
      <c r="E1832" s="1">
        <f t="shared" si="28"/>
        <v>-2.6570857047384586</v>
      </c>
      <c r="F1832" s="7">
        <f>SQRT(IRS_returns_2015_25[[#This Row],[  σ2]])</f>
        <v>4.1162832658771222</v>
      </c>
    </row>
    <row r="1833" spans="1:6" x14ac:dyDescent="0.3">
      <c r="A1833" s="2">
        <v>44740</v>
      </c>
      <c r="B1833" s="1">
        <v>-4.1615119504470721</v>
      </c>
      <c r="C1833" s="1">
        <f>IRS_returns_2015_25[[#This Row],[IRSrtn]]-AVERAGE($B$2:$B$2600)</f>
        <v>-4.1672884445136882</v>
      </c>
      <c r="D1833" s="1">
        <f>w+a*C1832^2+b*D1832</f>
        <v>15.293564102399472</v>
      </c>
      <c r="E1833" s="1">
        <f t="shared" si="28"/>
        <v>-2.8504193225564571</v>
      </c>
      <c r="F1833" s="7">
        <f>SQRT(IRS_returns_2015_25[[#This Row],[  σ2]])</f>
        <v>3.9106986718998784</v>
      </c>
    </row>
    <row r="1834" spans="1:6" x14ac:dyDescent="0.3">
      <c r="A1834" s="2">
        <v>44741</v>
      </c>
      <c r="B1834" s="1">
        <v>-2.5826257488804849</v>
      </c>
      <c r="C1834" s="1">
        <f>IRS_returns_2015_25[[#This Row],[IRSrtn]]-AVERAGE($B$2:$B$2600)</f>
        <v>-2.5884022429471005</v>
      </c>
      <c r="D1834" s="1">
        <f>w+a*C1833^2+b*D1833</f>
        <v>15.75773895265695</v>
      </c>
      <c r="E1834" s="1">
        <f t="shared" si="28"/>
        <v>-2.5101927729696771</v>
      </c>
      <c r="F1834" s="7">
        <f>SQRT(IRS_returns_2015_25[[#This Row],[  σ2]])</f>
        <v>3.9696018632423264</v>
      </c>
    </row>
    <row r="1835" spans="1:6" x14ac:dyDescent="0.3">
      <c r="A1835" s="2">
        <v>44742</v>
      </c>
      <c r="B1835" s="1">
        <v>4.546243963373886</v>
      </c>
      <c r="C1835" s="1">
        <f>IRS_returns_2015_25[[#This Row],[IRSrtn]]-AVERAGE($B$2:$B$2600)</f>
        <v>4.54046746930727</v>
      </c>
      <c r="D1835" s="1">
        <f>w+a*C1834^2+b*D1834</f>
        <v>13.467865737100372</v>
      </c>
      <c r="E1835" s="1">
        <f t="shared" si="28"/>
        <v>-2.9844634343700776</v>
      </c>
      <c r="F1835" s="7">
        <f>SQRT(IRS_returns_2015_25[[#This Row],[  σ2]])</f>
        <v>3.6698590895428631</v>
      </c>
    </row>
    <row r="1836" spans="1:6" x14ac:dyDescent="0.3">
      <c r="A1836" s="2">
        <v>44743</v>
      </c>
      <c r="B1836" s="1">
        <v>1.6529286547111388</v>
      </c>
      <c r="C1836" s="1">
        <f>IRS_returns_2015_25[[#This Row],[IRSrtn]]-AVERAGE($B$2:$B$2600)</f>
        <v>1.647152160644523</v>
      </c>
      <c r="D1836" s="1">
        <f>w+a*C1835^2+b*D1835</f>
        <v>15.33409359663867</v>
      </c>
      <c r="E1836" s="1">
        <f t="shared" si="28"/>
        <v>-2.3724444774071771</v>
      </c>
      <c r="F1836" s="7">
        <f>SQRT(IRS_returns_2015_25[[#This Row],[  σ2]])</f>
        <v>3.9158771171525122</v>
      </c>
    </row>
    <row r="1837" spans="1:6" x14ac:dyDescent="0.3">
      <c r="A1837" s="2">
        <v>44747</v>
      </c>
      <c r="B1837" s="1">
        <v>-2.7702444614061461</v>
      </c>
      <c r="C1837" s="1">
        <f>IRS_returns_2015_25[[#This Row],[IRSrtn]]-AVERAGE($B$2:$B$2600)</f>
        <v>-2.7760209554727617</v>
      </c>
      <c r="D1837" s="1">
        <f>w+a*C1836^2+b*D1836</f>
        <v>12.214475528418653</v>
      </c>
      <c r="E1837" s="1">
        <f t="shared" si="28"/>
        <v>-2.4857067741891155</v>
      </c>
      <c r="F1837" s="7">
        <f>SQRT(IRS_returns_2015_25[[#This Row],[  σ2]])</f>
        <v>3.4949213908782917</v>
      </c>
    </row>
    <row r="1838" spans="1:6" x14ac:dyDescent="0.3">
      <c r="A1838" s="2">
        <v>44748</v>
      </c>
      <c r="B1838" s="1">
        <v>-1.4144585667766885</v>
      </c>
      <c r="C1838" s="1">
        <f>IRS_returns_2015_25[[#This Row],[IRSrtn]]-AVERAGE($B$2:$B$2600)</f>
        <v>-1.4202350608433043</v>
      </c>
      <c r="D1838" s="1">
        <f>w+a*C1837^2+b*D1837</f>
        <v>11.354281306412211</v>
      </c>
      <c r="E1838" s="1">
        <f t="shared" si="28"/>
        <v>-2.2225600730458441</v>
      </c>
      <c r="F1838" s="7">
        <f>SQRT(IRS_returns_2015_25[[#This Row],[  σ2]])</f>
        <v>3.3696114473945227</v>
      </c>
    </row>
    <row r="1839" spans="1:6" x14ac:dyDescent="0.3">
      <c r="A1839" s="2">
        <v>44749</v>
      </c>
      <c r="B1839" s="1">
        <v>-0.57143493585698479</v>
      </c>
      <c r="C1839" s="1">
        <f>IRS_returns_2015_25[[#This Row],[IRSrtn]]-AVERAGE($B$2:$B$2600)</f>
        <v>-0.57721142992360064</v>
      </c>
      <c r="D1839" s="1">
        <f>w+a*C1838^2+b*D1838</f>
        <v>9.3954573494063123</v>
      </c>
      <c r="E1839" s="1">
        <f t="shared" si="28"/>
        <v>-2.0567822274983123</v>
      </c>
      <c r="F1839" s="7">
        <f>SQRT(IRS_returns_2015_25[[#This Row],[  σ2]])</f>
        <v>3.0652010291996041</v>
      </c>
    </row>
    <row r="1840" spans="1:6" x14ac:dyDescent="0.3">
      <c r="A1840" s="2">
        <v>44750</v>
      </c>
      <c r="B1840" s="1">
        <v>-1.1527439616813684</v>
      </c>
      <c r="C1840" s="1">
        <f>IRS_returns_2015_25[[#This Row],[IRSrtn]]-AVERAGE($B$2:$B$2600)</f>
        <v>-1.1585204557479842</v>
      </c>
      <c r="D1840" s="1">
        <f>w+a*C1839^2+b*D1839</f>
        <v>7.6811549745320553</v>
      </c>
      <c r="E1840" s="1">
        <f t="shared" si="28"/>
        <v>-2.0256911921457763</v>
      </c>
      <c r="F1840" s="7">
        <f>SQRT(IRS_returns_2015_25[[#This Row],[  σ2]])</f>
        <v>2.771489667044071</v>
      </c>
    </row>
    <row r="1841" spans="1:6" x14ac:dyDescent="0.3">
      <c r="A1841" s="2">
        <v>44753</v>
      </c>
      <c r="B1841" s="1">
        <v>0.57801674739399456</v>
      </c>
      <c r="C1841" s="1">
        <f>IRS_returns_2015_25[[#This Row],[IRSrtn]]-AVERAGE($B$2:$B$2600)</f>
        <v>0.57224025332737871</v>
      </c>
      <c r="D1841" s="1">
        <f>w+a*C1840^2+b*D1840</f>
        <v>6.7857570229639261</v>
      </c>
      <c r="E1841" s="1">
        <f t="shared" si="28"/>
        <v>-1.9004798623653438</v>
      </c>
      <c r="F1841" s="7">
        <f>SQRT(IRS_returns_2015_25[[#This Row],[  σ2]])</f>
        <v>2.6049485643605186</v>
      </c>
    </row>
    <row r="1842" spans="1:6" x14ac:dyDescent="0.3">
      <c r="A1842" s="2">
        <v>44754</v>
      </c>
      <c r="B1842" s="1">
        <v>-2.9241769320982547</v>
      </c>
      <c r="C1842" s="1">
        <f>IRS_returns_2015_25[[#This Row],[IRSrtn]]-AVERAGE($B$2:$B$2600)</f>
        <v>-2.9299534261648703</v>
      </c>
      <c r="D1842" s="1">
        <f>w+a*C1841^2+b*D1841</f>
        <v>5.9424416046577404</v>
      </c>
      <c r="E1842" s="1">
        <f t="shared" si="28"/>
        <v>-2.5323133834028373</v>
      </c>
      <c r="F1842" s="7">
        <f>SQRT(IRS_returns_2015_25[[#This Row],[  σ2]])</f>
        <v>2.4377123711910191</v>
      </c>
    </row>
    <row r="1843" spans="1:6" x14ac:dyDescent="0.3">
      <c r="A1843" s="2">
        <v>44756</v>
      </c>
      <c r="B1843" s="1">
        <v>0.59169776537730812</v>
      </c>
      <c r="C1843" s="1">
        <f>IRS_returns_2015_25[[#This Row],[IRSrtn]]-AVERAGE($B$2:$B$2600)</f>
        <v>0.58592127131069227</v>
      </c>
      <c r="D1843" s="1">
        <f>w+a*C1842^2+b*D1842</f>
        <v>7.3928895517260944</v>
      </c>
      <c r="E1843" s="1">
        <f t="shared" si="28"/>
        <v>-1.9424163750396821</v>
      </c>
      <c r="F1843" s="7">
        <f>SQRT(IRS_returns_2015_25[[#This Row],[  σ2]])</f>
        <v>2.71898686126397</v>
      </c>
    </row>
    <row r="1844" spans="1:6" x14ac:dyDescent="0.3">
      <c r="A1844" s="2">
        <v>44757</v>
      </c>
      <c r="B1844" s="1">
        <v>-0.29540291043026468</v>
      </c>
      <c r="C1844" s="1">
        <f>IRS_returns_2015_25[[#This Row],[IRSrtn]]-AVERAGE($B$2:$B$2600)</f>
        <v>-0.30117940449688047</v>
      </c>
      <c r="D1844" s="1">
        <f>w+a*C1843^2+b*D1843</f>
        <v>6.350480465092387</v>
      </c>
      <c r="E1844" s="1">
        <f t="shared" si="28"/>
        <v>-1.8503456733372181</v>
      </c>
      <c r="F1844" s="7">
        <f>SQRT(IRS_returns_2015_25[[#This Row],[  σ2]])</f>
        <v>2.5200159652455354</v>
      </c>
    </row>
    <row r="1845" spans="1:6" x14ac:dyDescent="0.3">
      <c r="A1845" s="2">
        <v>44760</v>
      </c>
      <c r="B1845" s="1">
        <v>3.4887147958099884</v>
      </c>
      <c r="C1845" s="1">
        <f>IRS_returns_2015_25[[#This Row],[IRSrtn]]-AVERAGE($B$2:$B$2600)</f>
        <v>3.4829383017433728</v>
      </c>
      <c r="D1845" s="1">
        <f>w+a*C1844^2+b*D1844</f>
        <v>5.5949866731531461</v>
      </c>
      <c r="E1845" s="1">
        <f t="shared" si="28"/>
        <v>-2.8639569540153875</v>
      </c>
      <c r="F1845" s="7">
        <f>SQRT(IRS_returns_2015_25[[#This Row],[  σ2]])</f>
        <v>2.3653724174330657</v>
      </c>
    </row>
    <row r="1846" spans="1:6" x14ac:dyDescent="0.3">
      <c r="A1846" s="2">
        <v>44761</v>
      </c>
      <c r="B1846" s="1">
        <v>-0.8608327186587772</v>
      </c>
      <c r="C1846" s="1">
        <f>IRS_returns_2015_25[[#This Row],[IRSrtn]]-AVERAGE($B$2:$B$2600)</f>
        <v>-0.86660921272539304</v>
      </c>
      <c r="D1846" s="1">
        <f>w+a*C1845^2+b*D1845</f>
        <v>8.0256216361457078</v>
      </c>
      <c r="E1846" s="1">
        <f t="shared" si="28"/>
        <v>-2.0070464685828271</v>
      </c>
      <c r="F1846" s="7">
        <f>SQRT(IRS_returns_2015_25[[#This Row],[  σ2]])</f>
        <v>2.8329528121989092</v>
      </c>
    </row>
    <row r="1847" spans="1:6" x14ac:dyDescent="0.3">
      <c r="A1847" s="2">
        <v>44762</v>
      </c>
      <c r="B1847" s="1">
        <v>-1.4513797270691908</v>
      </c>
      <c r="C1847" s="1">
        <f>IRS_returns_2015_25[[#This Row],[IRSrtn]]-AVERAGE($B$2:$B$2600)</f>
        <v>-1.4571562211358067</v>
      </c>
      <c r="D1847" s="1">
        <f>w+a*C1846^2+b*D1846</f>
        <v>6.8710386978404046</v>
      </c>
      <c r="E1847" s="1">
        <f t="shared" si="28"/>
        <v>-2.0371073324145712</v>
      </c>
      <c r="F1847" s="7">
        <f>SQRT(IRS_returns_2015_25[[#This Row],[  σ2]])</f>
        <v>2.6212666208992181</v>
      </c>
    </row>
    <row r="1848" spans="1:6" x14ac:dyDescent="0.3">
      <c r="A1848" s="2">
        <v>44763</v>
      </c>
      <c r="B1848" s="1">
        <v>-5.4067422754682681</v>
      </c>
      <c r="C1848" s="1">
        <f>IRS_returns_2015_25[[#This Row],[IRSrtn]]-AVERAGE($B$2:$B$2600)</f>
        <v>-5.4125187695348842</v>
      </c>
      <c r="D1848" s="1">
        <f>w+a*C1847^2+b*D1847</f>
        <v>6.4367723440499631</v>
      </c>
      <c r="E1848" s="1">
        <f t="shared" si="28"/>
        <v>-4.1255770916405954</v>
      </c>
      <c r="F1848" s="7">
        <f>SQRT(IRS_returns_2015_25[[#This Row],[  σ2]])</f>
        <v>2.5370794910782681</v>
      </c>
    </row>
    <row r="1849" spans="1:6" x14ac:dyDescent="0.3">
      <c r="A1849" s="2">
        <v>44764</v>
      </c>
      <c r="B1849" s="1">
        <v>1.2270282516557041</v>
      </c>
      <c r="C1849" s="1">
        <f>IRS_returns_2015_25[[#This Row],[IRSrtn]]-AVERAGE($B$2:$B$2600)</f>
        <v>1.2212517575890882</v>
      </c>
      <c r="D1849" s="1">
        <f>w+a*C1848^2+b*D1848</f>
        <v>12.768138934851397</v>
      </c>
      <c r="E1849" s="1">
        <f t="shared" si="28"/>
        <v>-2.2508203681114245</v>
      </c>
      <c r="F1849" s="7">
        <f>SQRT(IRS_returns_2015_25[[#This Row],[  σ2]])</f>
        <v>3.5732532704597637</v>
      </c>
    </row>
    <row r="1850" spans="1:6" x14ac:dyDescent="0.3">
      <c r="A1850" s="2">
        <v>44767</v>
      </c>
      <c r="B1850" s="1">
        <v>5.0530770034877603</v>
      </c>
      <c r="C1850" s="1">
        <f>IRS_returns_2015_25[[#This Row],[IRSrtn]]-AVERAGE($B$2:$B$2600)</f>
        <v>5.0473005094211443</v>
      </c>
      <c r="D1850" s="1">
        <f>w+a*C1849^2+b*D1849</f>
        <v>10.208620816062574</v>
      </c>
      <c r="E1850" s="1">
        <f t="shared" si="28"/>
        <v>-3.3282866420806569</v>
      </c>
      <c r="F1850" s="7">
        <f>SQRT(IRS_returns_2015_25[[#This Row],[  σ2]])</f>
        <v>3.1950932405897912</v>
      </c>
    </row>
    <row r="1851" spans="1:6" x14ac:dyDescent="0.3">
      <c r="A1851" s="2">
        <v>44768</v>
      </c>
      <c r="B1851" s="1">
        <v>2.0086564740701585</v>
      </c>
      <c r="C1851" s="1">
        <f>IRS_returns_2015_25[[#This Row],[IRSrtn]]-AVERAGE($B$2:$B$2600)</f>
        <v>2.0028799800035428</v>
      </c>
      <c r="D1851" s="1">
        <f>w+a*C1850^2+b*D1850</f>
        <v>14.348350879587983</v>
      </c>
      <c r="E1851" s="1">
        <f t="shared" si="28"/>
        <v>-2.3905466075156965</v>
      </c>
      <c r="F1851" s="7">
        <f>SQRT(IRS_returns_2015_25[[#This Row],[  σ2]])</f>
        <v>3.7879217098018252</v>
      </c>
    </row>
    <row r="1852" spans="1:6" x14ac:dyDescent="0.3">
      <c r="A1852" s="2">
        <v>44769</v>
      </c>
      <c r="B1852" s="1">
        <v>6.8614094057968478</v>
      </c>
      <c r="C1852" s="1">
        <f>IRS_returns_2015_25[[#This Row],[IRSrtn]]-AVERAGE($B$2:$B$2600)</f>
        <v>6.8556329117302317</v>
      </c>
      <c r="D1852" s="1">
        <f>w+a*C1851^2+b*D1851</f>
        <v>11.874609365744568</v>
      </c>
      <c r="E1852" s="1">
        <f t="shared" si="28"/>
        <v>-4.1351397075359726</v>
      </c>
      <c r="F1852" s="7">
        <f>SQRT(IRS_returns_2015_25[[#This Row],[  σ2]])</f>
        <v>3.4459555083814659</v>
      </c>
    </row>
    <row r="1853" spans="1:6" x14ac:dyDescent="0.3">
      <c r="A1853" s="2">
        <v>44770</v>
      </c>
      <c r="B1853" s="1">
        <v>4.9169110664240678</v>
      </c>
      <c r="C1853" s="1">
        <f>IRS_returns_2015_25[[#This Row],[IRSrtn]]-AVERAGE($B$2:$B$2600)</f>
        <v>4.9111345723574518</v>
      </c>
      <c r="D1853" s="1">
        <f>w+a*C1852^2+b*D1852</f>
        <v>20.701857048611465</v>
      </c>
      <c r="E1853" s="1">
        <f t="shared" si="28"/>
        <v>-3.0165883821281576</v>
      </c>
      <c r="F1853" s="7">
        <f>SQRT(IRS_returns_2015_25[[#This Row],[  σ2]])</f>
        <v>4.5499293454526812</v>
      </c>
    </row>
    <row r="1854" spans="1:6" x14ac:dyDescent="0.3">
      <c r="A1854" s="2">
        <v>44771</v>
      </c>
      <c r="B1854" s="1">
        <v>4.4451583059292643</v>
      </c>
      <c r="C1854" s="1">
        <f>IRS_returns_2015_25[[#This Row],[IRSrtn]]-AVERAGE($B$2:$B$2600)</f>
        <v>4.4393818118626482</v>
      </c>
      <c r="D1854" s="1">
        <f>w+a*C1853^2+b*D1853</f>
        <v>21.003484616610812</v>
      </c>
      <c r="E1854" s="1">
        <f t="shared" si="28"/>
        <v>-2.9104455971489429</v>
      </c>
      <c r="F1854" s="7">
        <f>SQRT(IRS_returns_2015_25[[#This Row],[  σ2]])</f>
        <v>4.5829558820275382</v>
      </c>
    </row>
    <row r="1855" spans="1:6" x14ac:dyDescent="0.3">
      <c r="A1855" s="2">
        <v>44774</v>
      </c>
      <c r="B1855" s="1">
        <v>-1.215054358890022</v>
      </c>
      <c r="C1855" s="1">
        <f>IRS_returns_2015_25[[#This Row],[IRSrtn]]-AVERAGE($B$2:$B$2600)</f>
        <v>-1.2208308529566378</v>
      </c>
      <c r="D1855" s="1">
        <f>w+a*C1854^2+b*D1854</f>
        <v>20.12951185848847</v>
      </c>
      <c r="E1855" s="1">
        <f t="shared" si="28"/>
        <v>-2.4570529947354851</v>
      </c>
      <c r="F1855" s="7">
        <f>SQRT(IRS_returns_2015_25[[#This Row],[  σ2]])</f>
        <v>4.4865924551365781</v>
      </c>
    </row>
    <row r="1856" spans="1:6" x14ac:dyDescent="0.3">
      <c r="A1856" s="2">
        <v>44775</v>
      </c>
      <c r="B1856" s="1">
        <v>1.6969871272032977</v>
      </c>
      <c r="C1856" s="1">
        <f>IRS_returns_2015_25[[#This Row],[IRSrtn]]-AVERAGE($B$2:$B$2600)</f>
        <v>1.6912106331366819</v>
      </c>
      <c r="D1856" s="1">
        <f>w+a*C1855^2+b*D1855</f>
        <v>15.108959360661597</v>
      </c>
      <c r="E1856" s="1">
        <f t="shared" si="28"/>
        <v>-2.3712347151302038</v>
      </c>
      <c r="F1856" s="7">
        <f>SQRT(IRS_returns_2015_25[[#This Row],[  σ2]])</f>
        <v>3.8870244867586821</v>
      </c>
    </row>
    <row r="1857" spans="1:6" x14ac:dyDescent="0.3">
      <c r="A1857" s="2">
        <v>44777</v>
      </c>
      <c r="B1857" s="1">
        <v>-2.1872021207466119</v>
      </c>
      <c r="C1857" s="1">
        <f>IRS_returns_2015_25[[#This Row],[IRSrtn]]-AVERAGE($B$2:$B$2600)</f>
        <v>-2.1929786148132275</v>
      </c>
      <c r="D1857" s="1">
        <f>w+a*C1856^2+b*D1856</f>
        <v>12.100436684004535</v>
      </c>
      <c r="E1857" s="1">
        <f t="shared" si="28"/>
        <v>-2.3642775540097642</v>
      </c>
      <c r="F1857" s="7">
        <f>SQRT(IRS_returns_2015_25[[#This Row],[  σ2]])</f>
        <v>3.4785681945312694</v>
      </c>
    </row>
    <row r="1858" spans="1:6" x14ac:dyDescent="0.3">
      <c r="A1858" s="2">
        <v>44778</v>
      </c>
      <c r="B1858" s="1">
        <v>5.0309998325878569</v>
      </c>
      <c r="C1858" s="1">
        <f>IRS_returns_2015_25[[#This Row],[IRSrtn]]-AVERAGE($B$2:$B$2600)</f>
        <v>5.0252233385212408</v>
      </c>
      <c r="D1858" s="1">
        <f>w+a*C1857^2+b*D1857</f>
        <v>10.572476947469053</v>
      </c>
      <c r="E1858" s="1">
        <f t="shared" ref="E1858:E1921" si="29">-0.5*(LN(2*PI())+LN(D1858)+C1858^2/D1858)</f>
        <v>-3.2923396323496226</v>
      </c>
      <c r="F1858" s="7">
        <f>SQRT(IRS_returns_2015_25[[#This Row],[  σ2]])</f>
        <v>3.2515345527103126</v>
      </c>
    </row>
    <row r="1859" spans="1:6" x14ac:dyDescent="0.3">
      <c r="A1859" s="2">
        <v>44781</v>
      </c>
      <c r="B1859" s="1">
        <v>0.46618559528470715</v>
      </c>
      <c r="C1859" s="1">
        <f>IRS_returns_2015_25[[#This Row],[IRSrtn]]-AVERAGE($B$2:$B$2600)</f>
        <v>0.46040910121809137</v>
      </c>
      <c r="D1859" s="1">
        <f>w+a*C1858^2+b*D1858</f>
        <v>14.536394898810714</v>
      </c>
      <c r="E1859" s="1">
        <f t="shared" si="29"/>
        <v>-2.2645575169729604</v>
      </c>
      <c r="F1859" s="7">
        <f>SQRT(IRS_returns_2015_25[[#This Row],[  σ2]])</f>
        <v>3.8126624422850122</v>
      </c>
    </row>
    <row r="1860" spans="1:6" x14ac:dyDescent="0.3">
      <c r="A1860" s="2">
        <v>44782</v>
      </c>
      <c r="B1860" s="1">
        <v>-2.5914145916951181</v>
      </c>
      <c r="C1860" s="1">
        <f>IRS_returns_2015_25[[#This Row],[IRSrtn]]-AVERAGE($B$2:$B$2600)</f>
        <v>-2.5971910857617337</v>
      </c>
      <c r="D1860" s="1">
        <f>w+a*C1859^2+b*D1859</f>
        <v>11.074033525499221</v>
      </c>
      <c r="E1860" s="1">
        <f t="shared" si="29"/>
        <v>-2.4257994346029235</v>
      </c>
      <c r="F1860" s="7">
        <f>SQRT(IRS_returns_2015_25[[#This Row],[  σ2]])</f>
        <v>3.3277670479616241</v>
      </c>
    </row>
    <row r="1861" spans="1:6" x14ac:dyDescent="0.3">
      <c r="A1861" s="2">
        <v>44783</v>
      </c>
      <c r="B1861" s="1">
        <v>1.1862602429192348</v>
      </c>
      <c r="C1861" s="1">
        <f>IRS_returns_2015_25[[#This Row],[IRSrtn]]-AVERAGE($B$2:$B$2600)</f>
        <v>1.180483748852619</v>
      </c>
      <c r="D1861" s="1">
        <f>w+a*C1860^2+b*D1860</f>
        <v>10.360949181020981</v>
      </c>
      <c r="E1861" s="1">
        <f t="shared" si="29"/>
        <v>-2.155210180313845</v>
      </c>
      <c r="F1861" s="7">
        <f>SQRT(IRS_returns_2015_25[[#This Row],[  σ2]])</f>
        <v>3.2188428326063048</v>
      </c>
    </row>
    <row r="1862" spans="1:6" x14ac:dyDescent="0.3">
      <c r="A1862" s="2">
        <v>44784</v>
      </c>
      <c r="B1862" s="1">
        <v>-0.94788914872065977</v>
      </c>
      <c r="C1862" s="1">
        <f>IRS_returns_2015_25[[#This Row],[IRSrtn]]-AVERAGE($B$2:$B$2600)</f>
        <v>-0.95366564278727561</v>
      </c>
      <c r="D1862" s="1">
        <f>w+a*C1861^2+b*D1861</f>
        <v>8.5822576476482464</v>
      </c>
      <c r="E1862" s="1">
        <f t="shared" si="29"/>
        <v>-2.046772987722302</v>
      </c>
      <c r="F1862" s="7">
        <f>SQRT(IRS_returns_2015_25[[#This Row],[  σ2]])</f>
        <v>2.9295490519273177</v>
      </c>
    </row>
    <row r="1863" spans="1:6" x14ac:dyDescent="0.3">
      <c r="A1863" s="2">
        <v>44785</v>
      </c>
      <c r="B1863" s="1">
        <v>0.47506434746500403</v>
      </c>
      <c r="C1863" s="1">
        <f>IRS_returns_2015_25[[#This Row],[IRSrtn]]-AVERAGE($B$2:$B$2600)</f>
        <v>0.46928785339838824</v>
      </c>
      <c r="D1863" s="1">
        <f>w+a*C1862^2+b*D1862</f>
        <v>7.280210951848364</v>
      </c>
      <c r="E1863" s="1">
        <f t="shared" si="29"/>
        <v>-1.9266437758961603</v>
      </c>
      <c r="F1863" s="7">
        <f>SQRT(IRS_returns_2015_25[[#This Row],[  σ2]])</f>
        <v>2.6981866043415832</v>
      </c>
    </row>
    <row r="1864" spans="1:6" x14ac:dyDescent="0.3">
      <c r="A1864" s="2">
        <v>44788</v>
      </c>
      <c r="B1864" s="1">
        <v>-1.4320041570944131</v>
      </c>
      <c r="C1864" s="1">
        <f>IRS_returns_2015_25[[#This Row],[IRSrtn]]-AVERAGE($B$2:$B$2600)</f>
        <v>-1.4377806511610289</v>
      </c>
      <c r="D1864" s="1">
        <f>w+a*C1863^2+b*D1863</f>
        <v>6.245481815980944</v>
      </c>
      <c r="E1864" s="1">
        <f t="shared" si="29"/>
        <v>-2.0003643748367783</v>
      </c>
      <c r="F1864" s="7">
        <f>SQRT(IRS_returns_2015_25[[#This Row],[  σ2]])</f>
        <v>2.4990961998252375</v>
      </c>
    </row>
    <row r="1865" spans="1:6" x14ac:dyDescent="0.3">
      <c r="A1865" s="2">
        <v>44789</v>
      </c>
      <c r="B1865" s="1">
        <v>1.1947708303736482</v>
      </c>
      <c r="C1865" s="1">
        <f>IRS_returns_2015_25[[#This Row],[IRSrtn]]-AVERAGE($B$2:$B$2600)</f>
        <v>1.1889943363070323</v>
      </c>
      <c r="D1865" s="1">
        <f>w+a*C1864^2+b*D1864</f>
        <v>6.0066621008272083</v>
      </c>
      <c r="E1865" s="1">
        <f t="shared" si="29"/>
        <v>-1.9330514317639402</v>
      </c>
      <c r="F1865" s="7">
        <f>SQRT(IRS_returns_2015_25[[#This Row],[  σ2]])</f>
        <v>2.4508492611393318</v>
      </c>
    </row>
    <row r="1866" spans="1:6" x14ac:dyDescent="0.3">
      <c r="A1866" s="2">
        <v>44790</v>
      </c>
      <c r="B1866" s="1">
        <v>-3.136582339203553</v>
      </c>
      <c r="C1866" s="1">
        <f>IRS_returns_2015_25[[#This Row],[IRSrtn]]-AVERAGE($B$2:$B$2600)</f>
        <v>-3.1423588332701686</v>
      </c>
      <c r="D1866" s="1">
        <f>w+a*C1865^2+b*D1865</f>
        <v>5.6884493198287993</v>
      </c>
      <c r="E1866" s="1">
        <f t="shared" si="29"/>
        <v>-2.6560932994157662</v>
      </c>
      <c r="F1866" s="7">
        <f>SQRT(IRS_returns_2015_25[[#This Row],[  σ2]])</f>
        <v>2.3850470267541475</v>
      </c>
    </row>
    <row r="1867" spans="1:6" x14ac:dyDescent="0.3">
      <c r="A1867" s="2">
        <v>44791</v>
      </c>
      <c r="B1867" s="1">
        <v>-0.49140570063626043</v>
      </c>
      <c r="C1867" s="1">
        <f>IRS_returns_2015_25[[#This Row],[IRSrtn]]-AVERAGE($B$2:$B$2600)</f>
        <v>-0.49718219470287622</v>
      </c>
      <c r="D1867" s="1">
        <f>w+a*C1866^2+b*D1866</f>
        <v>7.5380601548508306</v>
      </c>
      <c r="E1867" s="1">
        <f t="shared" si="29"/>
        <v>-1.9453171077647156</v>
      </c>
      <c r="F1867" s="7">
        <f>SQRT(IRS_returns_2015_25[[#This Row],[  σ2]])</f>
        <v>2.745552795859302</v>
      </c>
    </row>
    <row r="1868" spans="1:6" x14ac:dyDescent="0.3">
      <c r="A1868" s="2">
        <v>44792</v>
      </c>
      <c r="B1868" s="1">
        <v>-4.0206195446268245</v>
      </c>
      <c r="C1868" s="1">
        <f>IRS_returns_2015_25[[#This Row],[IRSrtn]]-AVERAGE($B$2:$B$2600)</f>
        <v>-4.0263960386934405</v>
      </c>
      <c r="D1868" s="1">
        <f>w+a*C1867^2+b*D1867</f>
        <v>6.4237049051098802</v>
      </c>
      <c r="E1868" s="1">
        <f t="shared" si="29"/>
        <v>-3.1108141512199046</v>
      </c>
      <c r="F1868" s="7">
        <f>SQRT(IRS_returns_2015_25[[#This Row],[  σ2]])</f>
        <v>2.5345028911228096</v>
      </c>
    </row>
    <row r="1869" spans="1:6" x14ac:dyDescent="0.3">
      <c r="A1869" s="2">
        <v>44795</v>
      </c>
      <c r="B1869" s="1">
        <v>6.2131776752743173</v>
      </c>
      <c r="C1869" s="1">
        <f>IRS_returns_2015_25[[#This Row],[IRSrtn]]-AVERAGE($B$2:$B$2600)</f>
        <v>6.2074011812077012</v>
      </c>
      <c r="D1869" s="1">
        <f>w+a*C1868^2+b*D1868</f>
        <v>9.5716493446039124</v>
      </c>
      <c r="E1869" s="1">
        <f t="shared" si="29"/>
        <v>-4.0611516349561807</v>
      </c>
      <c r="F1869" s="7">
        <f>SQRT(IRS_returns_2015_25[[#This Row],[  σ2]])</f>
        <v>3.0938082268627953</v>
      </c>
    </row>
    <row r="1870" spans="1:6" x14ac:dyDescent="0.3">
      <c r="A1870" s="2">
        <v>44796</v>
      </c>
      <c r="B1870" s="1">
        <v>1.9093550903964474</v>
      </c>
      <c r="C1870" s="1">
        <f>IRS_returns_2015_25[[#This Row],[IRSrtn]]-AVERAGE($B$2:$B$2600)</f>
        <v>1.9035785963298315</v>
      </c>
      <c r="D1870" s="1">
        <f>w+a*C1869^2+b*D1869</f>
        <v>17.105542726419596</v>
      </c>
      <c r="E1870" s="1">
        <f t="shared" si="29"/>
        <v>-2.444559026310047</v>
      </c>
      <c r="F1870" s="7">
        <f>SQRT(IRS_returns_2015_25[[#This Row],[  σ2]])</f>
        <v>4.1358847573910467</v>
      </c>
    </row>
    <row r="1871" spans="1:6" x14ac:dyDescent="0.3">
      <c r="A1871" s="2">
        <v>44797</v>
      </c>
      <c r="B1871" s="1">
        <v>0.70672601462300477</v>
      </c>
      <c r="C1871" s="1">
        <f>IRS_returns_2015_25[[#This Row],[IRSrtn]]-AVERAGE($B$2:$B$2600)</f>
        <v>0.70094952055638893</v>
      </c>
      <c r="D1871" s="1">
        <f>w+a*C1870^2+b*D1870</f>
        <v>13.615602235561546</v>
      </c>
      <c r="E1871" s="1">
        <f t="shared" si="29"/>
        <v>-2.2425896245614774</v>
      </c>
      <c r="F1871" s="7">
        <f>SQRT(IRS_returns_2015_25[[#This Row],[  σ2]])</f>
        <v>3.689932551627678</v>
      </c>
    </row>
    <row r="1872" spans="1:6" x14ac:dyDescent="0.3">
      <c r="A1872" s="2">
        <v>44798</v>
      </c>
      <c r="B1872" s="1">
        <v>0.46837568564046528</v>
      </c>
      <c r="C1872" s="1">
        <f>IRS_returns_2015_25[[#This Row],[IRSrtn]]-AVERAGE($B$2:$B$2600)</f>
        <v>0.46259919157384949</v>
      </c>
      <c r="D1872" s="1">
        <f>w+a*C1871^2+b*D1871</f>
        <v>10.529110922008851</v>
      </c>
      <c r="E1872" s="1">
        <f t="shared" si="29"/>
        <v>-2.1061726851905878</v>
      </c>
      <c r="F1872" s="7">
        <f>SQRT(IRS_returns_2015_25[[#This Row],[  σ2]])</f>
        <v>3.2448591528768782</v>
      </c>
    </row>
    <row r="1873" spans="1:6" x14ac:dyDescent="0.3">
      <c r="A1873" s="2">
        <v>44799</v>
      </c>
      <c r="B1873" s="1">
        <v>-4.0530023872685339</v>
      </c>
      <c r="C1873" s="1">
        <f>IRS_returns_2015_25[[#This Row],[IRSrtn]]-AVERAGE($B$2:$B$2600)</f>
        <v>-4.05877888133515</v>
      </c>
      <c r="D1873" s="1">
        <f>w+a*C1872^2+b*D1872</f>
        <v>8.4068101381884457</v>
      </c>
      <c r="E1873" s="1">
        <f t="shared" si="29"/>
        <v>-2.9632417957833819</v>
      </c>
      <c r="F1873" s="7">
        <f>SQRT(IRS_returns_2015_25[[#This Row],[  σ2]])</f>
        <v>2.8994499716650477</v>
      </c>
    </row>
    <row r="1874" spans="1:6" x14ac:dyDescent="0.3">
      <c r="A1874" s="2">
        <v>44802</v>
      </c>
      <c r="B1874" s="1">
        <v>2.4039755058009371</v>
      </c>
      <c r="C1874" s="1">
        <f>IRS_returns_2015_25[[#This Row],[IRSrtn]]-AVERAGE($B$2:$B$2600)</f>
        <v>2.3981990117343215</v>
      </c>
      <c r="D1874" s="1">
        <f>w+a*C1873^2+b*D1873</f>
        <v>10.955628255774037</v>
      </c>
      <c r="E1874" s="1">
        <f t="shared" si="29"/>
        <v>-2.3783493870594099</v>
      </c>
      <c r="F1874" s="7">
        <f>SQRT(IRS_returns_2015_25[[#This Row],[  σ2]])</f>
        <v>3.3099287387758118</v>
      </c>
    </row>
    <row r="1875" spans="1:6" x14ac:dyDescent="0.3">
      <c r="A1875" s="2">
        <v>44803</v>
      </c>
      <c r="B1875" s="1">
        <v>-2.6475727550774319</v>
      </c>
      <c r="C1875" s="1">
        <f>IRS_returns_2015_25[[#This Row],[IRSrtn]]-AVERAGE($B$2:$B$2600)</f>
        <v>-2.6533492491440476</v>
      </c>
      <c r="D1875" s="1">
        <f>w+a*C1874^2+b*D1874</f>
        <v>10.039926458150756</v>
      </c>
      <c r="E1875" s="1">
        <f t="shared" si="29"/>
        <v>-2.4228366653019222</v>
      </c>
      <c r="F1875" s="7">
        <f>SQRT(IRS_returns_2015_25[[#This Row],[  σ2]])</f>
        <v>3.168584298728812</v>
      </c>
    </row>
    <row r="1876" spans="1:6" x14ac:dyDescent="0.3">
      <c r="A1876" s="2">
        <v>44804</v>
      </c>
      <c r="B1876" s="1">
        <v>-4.4895420584685874</v>
      </c>
      <c r="C1876" s="1">
        <f>IRS_returns_2015_25[[#This Row],[IRSrtn]]-AVERAGE($B$2:$B$2600)</f>
        <v>-4.4953185525352035</v>
      </c>
      <c r="D1876" s="1">
        <f>w+a*C1875^2+b*D1875</f>
        <v>9.7443695647710324</v>
      </c>
      <c r="E1876" s="1">
        <f t="shared" si="29"/>
        <v>-3.0941841363551204</v>
      </c>
      <c r="F1876" s="7">
        <f>SQRT(IRS_returns_2015_25[[#This Row],[  σ2]])</f>
        <v>3.1215972778004266</v>
      </c>
    </row>
    <row r="1877" spans="1:6" x14ac:dyDescent="0.3">
      <c r="A1877" s="2">
        <v>44805</v>
      </c>
      <c r="B1877" s="1">
        <v>2.0202667046798739</v>
      </c>
      <c r="C1877" s="1">
        <f>IRS_returns_2015_25[[#This Row],[IRSrtn]]-AVERAGE($B$2:$B$2600)</f>
        <v>2.0144902106132583</v>
      </c>
      <c r="D1877" s="1">
        <f>w+a*C1876^2+b*D1876</f>
        <v>12.755901589585434</v>
      </c>
      <c r="E1877" s="1">
        <f t="shared" si="29"/>
        <v>-2.3510058747829534</v>
      </c>
      <c r="F1877" s="7">
        <f>SQRT(IRS_returns_2015_25[[#This Row],[  σ2]])</f>
        <v>3.5715405065021222</v>
      </c>
    </row>
    <row r="1878" spans="1:6" x14ac:dyDescent="0.3">
      <c r="A1878" s="2">
        <v>44806</v>
      </c>
      <c r="B1878" s="1">
        <v>-3.0459110129205991</v>
      </c>
      <c r="C1878" s="1">
        <f>IRS_returns_2015_25[[#This Row],[IRSrtn]]-AVERAGE($B$2:$B$2600)</f>
        <v>-3.0516875069872147</v>
      </c>
      <c r="D1878" s="1">
        <f>w+a*C1877^2+b*D1877</f>
        <v>10.825853715599507</v>
      </c>
      <c r="E1878" s="1">
        <f t="shared" si="29"/>
        <v>-2.5400254495832026</v>
      </c>
      <c r="F1878" s="7">
        <f>SQRT(IRS_returns_2015_25[[#This Row],[  σ2]])</f>
        <v>3.2902665113330118</v>
      </c>
    </row>
    <row r="1879" spans="1:6" x14ac:dyDescent="0.3">
      <c r="A1879" s="2">
        <v>44810</v>
      </c>
      <c r="B1879" s="1">
        <v>7.4476230908088414</v>
      </c>
      <c r="C1879" s="1">
        <f>IRS_returns_2015_25[[#This Row],[IRSrtn]]-AVERAGE($B$2:$B$2600)</f>
        <v>7.4418465967422254</v>
      </c>
      <c r="D1879" s="1">
        <f>w+a*C1878^2+b*D1878</f>
        <v>10.821276957126663</v>
      </c>
      <c r="E1879" s="1">
        <f t="shared" si="29"/>
        <v>-4.6685933448673449</v>
      </c>
      <c r="F1879" s="7">
        <f>SQRT(IRS_returns_2015_25[[#This Row],[  σ2]])</f>
        <v>3.2895709381508498</v>
      </c>
    </row>
    <row r="1880" spans="1:6" x14ac:dyDescent="0.3">
      <c r="A1880" s="2">
        <v>44811</v>
      </c>
      <c r="B1880" s="1">
        <v>0.71513603097790313</v>
      </c>
      <c r="C1880" s="1">
        <f>IRS_returns_2015_25[[#This Row],[IRSrtn]]-AVERAGE($B$2:$B$2600)</f>
        <v>0.70935953691128728</v>
      </c>
      <c r="D1880" s="1">
        <f>w+a*C1879^2+b*D1879</f>
        <v>22.042756907339111</v>
      </c>
      <c r="E1880" s="1">
        <f t="shared" si="29"/>
        <v>-2.4768445397070926</v>
      </c>
      <c r="F1880" s="7">
        <f>SQRT(IRS_returns_2015_25[[#This Row],[  σ2]])</f>
        <v>4.6949714490440844</v>
      </c>
    </row>
    <row r="1881" spans="1:6" x14ac:dyDescent="0.3">
      <c r="A1881" s="2">
        <v>44812</v>
      </c>
      <c r="B1881" s="1">
        <v>2.3475058963884576</v>
      </c>
      <c r="C1881" s="1">
        <f>IRS_returns_2015_25[[#This Row],[IRSrtn]]-AVERAGE($B$2:$B$2600)</f>
        <v>2.341729402321842</v>
      </c>
      <c r="D1881" s="1">
        <f>w+a*C1880^2+b*D1880</f>
        <v>16.142098495000983</v>
      </c>
      <c r="E1881" s="1">
        <f t="shared" si="29"/>
        <v>-2.4795108616575559</v>
      </c>
      <c r="F1881" s="7">
        <f>SQRT(IRS_returns_2015_25[[#This Row],[  σ2]])</f>
        <v>4.0177230485688016</v>
      </c>
    </row>
    <row r="1882" spans="1:6" x14ac:dyDescent="0.3">
      <c r="A1882" s="2">
        <v>44813</v>
      </c>
      <c r="B1882" s="1">
        <v>3.1966145911629162</v>
      </c>
      <c r="C1882" s="1">
        <f>IRS_returns_2015_25[[#This Row],[IRSrtn]]-AVERAGE($B$2:$B$2600)</f>
        <v>3.1908380970963006</v>
      </c>
      <c r="D1882" s="1">
        <f>w+a*C1881^2+b*D1881</f>
        <v>13.427430618011762</v>
      </c>
      <c r="E1882" s="1">
        <f t="shared" si="29"/>
        <v>-2.5967170387261143</v>
      </c>
      <c r="F1882" s="7">
        <f>SQRT(IRS_returns_2015_25[[#This Row],[  σ2]])</f>
        <v>3.6643458649548575</v>
      </c>
    </row>
    <row r="1883" spans="1:6" x14ac:dyDescent="0.3">
      <c r="A1883" s="2">
        <v>44816</v>
      </c>
      <c r="B1883" s="1">
        <v>0.44845403271829287</v>
      </c>
      <c r="C1883" s="1">
        <f>IRS_returns_2015_25[[#This Row],[IRSrtn]]-AVERAGE($B$2:$B$2600)</f>
        <v>0.44267753865167708</v>
      </c>
      <c r="D1883" s="1">
        <f>w+a*C1882^2+b*D1882</f>
        <v>12.764836826956012</v>
      </c>
      <c r="E1883" s="1">
        <f t="shared" si="29"/>
        <v>-2.1999615741856329</v>
      </c>
      <c r="F1883" s="7">
        <f>SQRT(IRS_returns_2015_25[[#This Row],[  σ2]])</f>
        <v>3.5727911815492397</v>
      </c>
    </row>
    <row r="1884" spans="1:6" x14ac:dyDescent="0.3">
      <c r="A1884" s="2">
        <v>44817</v>
      </c>
      <c r="B1884" s="1">
        <v>-1.8059334960035756</v>
      </c>
      <c r="C1884" s="1">
        <f>IRS_returns_2015_25[[#This Row],[IRSrtn]]-AVERAGE($B$2:$B$2600)</f>
        <v>-1.8117099900701914</v>
      </c>
      <c r="D1884" s="1">
        <f>w+a*C1883^2+b*D1883</f>
        <v>9.8907761112532153</v>
      </c>
      <c r="E1884" s="1">
        <f t="shared" si="29"/>
        <v>-2.2306668149876097</v>
      </c>
      <c r="F1884" s="7">
        <f>SQRT(IRS_returns_2015_25[[#This Row],[  σ2]])</f>
        <v>3.1449604307929242</v>
      </c>
    </row>
    <row r="1885" spans="1:6" x14ac:dyDescent="0.3">
      <c r="A1885" s="2">
        <v>44818</v>
      </c>
      <c r="B1885" s="1">
        <v>-0.45660636920790143</v>
      </c>
      <c r="C1885" s="1">
        <f>IRS_returns_2015_25[[#This Row],[IRSrtn]]-AVERAGE($B$2:$B$2600)</f>
        <v>-0.46238286327451722</v>
      </c>
      <c r="D1885" s="1">
        <f>w+a*C1884^2+b*D1884</f>
        <v>8.7294493717180437</v>
      </c>
      <c r="E1885" s="1">
        <f t="shared" si="29"/>
        <v>-2.0145354651151322</v>
      </c>
      <c r="F1885" s="7">
        <f>SQRT(IRS_returns_2015_25[[#This Row],[  σ2]])</f>
        <v>2.9545641593504182</v>
      </c>
    </row>
    <row r="1886" spans="1:6" x14ac:dyDescent="0.3">
      <c r="A1886" s="2">
        <v>44819</v>
      </c>
      <c r="B1886" s="1">
        <v>-4.6847039041197469</v>
      </c>
      <c r="C1886" s="1">
        <f>IRS_returns_2015_25[[#This Row],[IRSrtn]]-AVERAGE($B$2:$B$2600)</f>
        <v>-4.690480398186363</v>
      </c>
      <c r="D1886" s="1">
        <f>w+a*C1885^2+b*D1885</f>
        <v>7.208696611566098</v>
      </c>
      <c r="E1886" s="1">
        <f t="shared" si="29"/>
        <v>-3.4325593292634156</v>
      </c>
      <c r="F1886" s="7">
        <f>SQRT(IRS_returns_2015_25[[#This Row],[  σ2]])</f>
        <v>2.6849016018405774</v>
      </c>
    </row>
    <row r="1887" spans="1:6" x14ac:dyDescent="0.3">
      <c r="A1887" s="2">
        <v>44820</v>
      </c>
      <c r="B1887" s="1">
        <v>-3.6634064065609984</v>
      </c>
      <c r="C1887" s="1">
        <f>IRS_returns_2015_25[[#This Row],[IRSrtn]]-AVERAGE($B$2:$B$2600)</f>
        <v>-3.669182900627614</v>
      </c>
      <c r="D1887" s="1">
        <f>w+a*C1886^2+b*D1886</f>
        <v>11.504656923823209</v>
      </c>
      <c r="E1887" s="1">
        <f t="shared" si="29"/>
        <v>-2.7254211615406563</v>
      </c>
      <c r="F1887" s="7">
        <f>SQRT(IRS_returns_2015_25[[#This Row],[  σ2]])</f>
        <v>3.3918515480225855</v>
      </c>
    </row>
    <row r="1888" spans="1:6" x14ac:dyDescent="0.3">
      <c r="A1888" s="2">
        <v>44823</v>
      </c>
      <c r="B1888" s="1">
        <v>3.4233048252489073</v>
      </c>
      <c r="C1888" s="1">
        <f>IRS_returns_2015_25[[#This Row],[IRSrtn]]-AVERAGE($B$2:$B$2600)</f>
        <v>3.4175283311822917</v>
      </c>
      <c r="D1888" s="1">
        <f>w+a*C1887^2+b*D1887</f>
        <v>12.284340091290581</v>
      </c>
      <c r="E1888" s="1">
        <f t="shared" si="29"/>
        <v>-2.6484828341151747</v>
      </c>
      <c r="F1888" s="7">
        <f>SQRT(IRS_returns_2015_25[[#This Row],[  σ2]])</f>
        <v>3.5049022941147134</v>
      </c>
    </row>
    <row r="1889" spans="1:6" x14ac:dyDescent="0.3">
      <c r="A1889" s="2">
        <v>44824</v>
      </c>
      <c r="B1889" s="1">
        <v>-1.2092046754272889</v>
      </c>
      <c r="C1889" s="1">
        <f>IRS_returns_2015_25[[#This Row],[IRSrtn]]-AVERAGE($B$2:$B$2600)</f>
        <v>-1.2149811694939048</v>
      </c>
      <c r="D1889" s="1">
        <f>w+a*C1888^2+b*D1888</f>
        <v>12.36886241414973</v>
      </c>
      <c r="E1889" s="1">
        <f t="shared" si="29"/>
        <v>-2.2362028443067463</v>
      </c>
      <c r="F1889" s="7">
        <f>SQRT(IRS_returns_2015_25[[#This Row],[  σ2]])</f>
        <v>3.5169393532089419</v>
      </c>
    </row>
    <row r="1890" spans="1:6" x14ac:dyDescent="0.3">
      <c r="A1890" s="2">
        <v>44825</v>
      </c>
      <c r="B1890" s="1">
        <v>-3.2141098575524385</v>
      </c>
      <c r="C1890" s="1">
        <f>IRS_returns_2015_25[[#This Row],[IRSrtn]]-AVERAGE($B$2:$B$2600)</f>
        <v>-3.2198863516190541</v>
      </c>
      <c r="D1890" s="1">
        <f>w+a*C1889^2+b*D1889</f>
        <v>9.9390936197230033</v>
      </c>
      <c r="E1890" s="1">
        <f t="shared" si="29"/>
        <v>-2.5887364881669166</v>
      </c>
      <c r="F1890" s="7">
        <f>SQRT(IRS_returns_2015_25[[#This Row],[  σ2]])</f>
        <v>3.1526328076265089</v>
      </c>
    </row>
    <row r="1891" spans="1:6" x14ac:dyDescent="0.3">
      <c r="A1891" s="2">
        <v>44826</v>
      </c>
      <c r="B1891" s="1">
        <v>-2.544673758433369</v>
      </c>
      <c r="C1891" s="1">
        <f>IRS_returns_2015_25[[#This Row],[IRSrtn]]-AVERAGE($B$2:$B$2600)</f>
        <v>-2.5504502524999846</v>
      </c>
      <c r="D1891" s="1">
        <f>w+a*C1890^2+b*D1890</f>
        <v>10.48796513203667</v>
      </c>
      <c r="E1891" s="1">
        <f t="shared" si="29"/>
        <v>-2.4041603965240665</v>
      </c>
      <c r="F1891" s="7">
        <f>SQRT(IRS_returns_2015_25[[#This Row],[  σ2]])</f>
        <v>3.2385127963367184</v>
      </c>
    </row>
    <row r="1892" spans="1:6" x14ac:dyDescent="0.3">
      <c r="A1892" s="2">
        <v>44827</v>
      </c>
      <c r="B1892" s="1">
        <v>-2.8760138492535114</v>
      </c>
      <c r="C1892" s="1">
        <f>IRS_returns_2015_25[[#This Row],[IRSrtn]]-AVERAGE($B$2:$B$2600)</f>
        <v>-2.8817903433201271</v>
      </c>
      <c r="D1892" s="1">
        <f>w+a*C1891^2+b*D1891</f>
        <v>9.9121702926502735</v>
      </c>
      <c r="E1892" s="1">
        <f t="shared" si="29"/>
        <v>-2.484735293711311</v>
      </c>
      <c r="F1892" s="7">
        <f>SQRT(IRS_returns_2015_25[[#This Row],[  σ2]])</f>
        <v>3.148359936959285</v>
      </c>
    </row>
    <row r="1893" spans="1:6" x14ac:dyDescent="0.3">
      <c r="A1893" s="2">
        <v>44830</v>
      </c>
      <c r="B1893" s="1">
        <v>-2.6883263397778245</v>
      </c>
      <c r="C1893" s="1">
        <f>IRS_returns_2015_25[[#This Row],[IRSrtn]]-AVERAGE($B$2:$B$2600)</f>
        <v>-2.6941028338444402</v>
      </c>
      <c r="D1893" s="1">
        <f>w+a*C1892^2+b*D1892</f>
        <v>9.9674039152534313</v>
      </c>
      <c r="E1893" s="1">
        <f t="shared" si="29"/>
        <v>-2.4326949288178246</v>
      </c>
      <c r="F1893" s="7">
        <f>SQRT(IRS_returns_2015_25[[#This Row],[  σ2]])</f>
        <v>3.1571195598604485</v>
      </c>
    </row>
    <row r="1894" spans="1:6" x14ac:dyDescent="0.3">
      <c r="A1894" s="2">
        <v>44831</v>
      </c>
      <c r="B1894" s="1">
        <v>1.8893918348184213</v>
      </c>
      <c r="C1894" s="1">
        <f>IRS_returns_2015_25[[#This Row],[IRSrtn]]-AVERAGE($B$2:$B$2600)</f>
        <v>1.8836153407518055</v>
      </c>
      <c r="D1894" s="1">
        <f>w+a*C1893^2+b*D1893</f>
        <v>9.749188164031974</v>
      </c>
      <c r="E1894" s="1">
        <f t="shared" si="29"/>
        <v>-2.2394947568550299</v>
      </c>
      <c r="F1894" s="7">
        <f>SQRT(IRS_returns_2015_25[[#This Row],[  σ2]])</f>
        <v>3.1223689986982599</v>
      </c>
    </row>
    <row r="1895" spans="1:6" x14ac:dyDescent="0.3">
      <c r="A1895" s="2">
        <v>44832</v>
      </c>
      <c r="B1895" s="1">
        <v>2.3779132530415303</v>
      </c>
      <c r="C1895" s="1">
        <f>IRS_returns_2015_25[[#This Row],[IRSrtn]]-AVERAGE($B$2:$B$2600)</f>
        <v>2.3721367589749147</v>
      </c>
      <c r="D1895" s="1">
        <f>w+a*C1894^2+b*D1894</f>
        <v>8.69993298158548</v>
      </c>
      <c r="E1895" s="1">
        <f t="shared" si="29"/>
        <v>-2.3239913754298818</v>
      </c>
      <c r="F1895" s="7">
        <f>SQRT(IRS_returns_2015_25[[#This Row],[  σ2]])</f>
        <v>2.9495648800434076</v>
      </c>
    </row>
    <row r="1896" spans="1:6" x14ac:dyDescent="0.3">
      <c r="A1896" s="2">
        <v>44833</v>
      </c>
      <c r="B1896" s="1">
        <v>3.8417088596047533</v>
      </c>
      <c r="C1896" s="1">
        <f>IRS_returns_2015_25[[#This Row],[IRSrtn]]-AVERAGE($B$2:$B$2600)</f>
        <v>3.8359323655381377</v>
      </c>
      <c r="D1896" s="1">
        <f>w+a*C1895^2+b*D1895</f>
        <v>8.5079804867321904</v>
      </c>
      <c r="E1896" s="1">
        <f t="shared" si="29"/>
        <v>-2.8541805424923692</v>
      </c>
      <c r="F1896" s="7">
        <f>SQRT(IRS_returns_2015_25[[#This Row],[  σ2]])</f>
        <v>2.9168442685087235</v>
      </c>
    </row>
    <row r="1897" spans="1:6" x14ac:dyDescent="0.3">
      <c r="A1897" s="2">
        <v>44834</v>
      </c>
      <c r="B1897" s="1">
        <v>2.2361124122331155</v>
      </c>
      <c r="C1897" s="1">
        <f>IRS_returns_2015_25[[#This Row],[IRSrtn]]-AVERAGE($B$2:$B$2600)</f>
        <v>2.2303359181664999</v>
      </c>
      <c r="D1897" s="1">
        <f>w+a*C1896^2+b*D1896</f>
        <v>10.594323842364105</v>
      </c>
      <c r="E1897" s="1">
        <f t="shared" si="29"/>
        <v>-2.3338648630358092</v>
      </c>
      <c r="F1897" s="7">
        <f>SQRT(IRS_returns_2015_25[[#This Row],[  σ2]])</f>
        <v>3.2548922935120457</v>
      </c>
    </row>
    <row r="1898" spans="1:6" x14ac:dyDescent="0.3">
      <c r="A1898" s="2">
        <v>44837</v>
      </c>
      <c r="B1898" s="1">
        <v>1.7052693524333362</v>
      </c>
      <c r="C1898" s="1">
        <f>IRS_returns_2015_25[[#This Row],[IRSrtn]]-AVERAGE($B$2:$B$2600)</f>
        <v>1.6994928583667204</v>
      </c>
      <c r="D1898" s="1">
        <f>w+a*C1897^2+b*D1897</f>
        <v>9.6100939004319823</v>
      </c>
      <c r="E1898" s="1">
        <f t="shared" si="29"/>
        <v>-2.2006185663506481</v>
      </c>
      <c r="F1898" s="7">
        <f>SQRT(IRS_returns_2015_25[[#This Row],[  σ2]])</f>
        <v>3.1000151451939688</v>
      </c>
    </row>
    <row r="1899" spans="1:6" x14ac:dyDescent="0.3">
      <c r="A1899" s="2">
        <v>44839</v>
      </c>
      <c r="B1899" s="1">
        <v>-1.9512844411528896</v>
      </c>
      <c r="C1899" s="1">
        <f>IRS_returns_2015_25[[#This Row],[IRSrtn]]-AVERAGE($B$2:$B$2600)</f>
        <v>-1.9570609352195054</v>
      </c>
      <c r="D1899" s="1">
        <f>w+a*C1898^2+b*D1898</f>
        <v>8.4465923545020161</v>
      </c>
      <c r="E1899" s="1">
        <f t="shared" si="29"/>
        <v>-2.212543905382677</v>
      </c>
      <c r="F1899" s="7">
        <f>SQRT(IRS_returns_2015_25[[#This Row],[  σ2]])</f>
        <v>2.9063021788007553</v>
      </c>
    </row>
    <row r="1900" spans="1:6" x14ac:dyDescent="0.3">
      <c r="A1900" s="2">
        <v>44840</v>
      </c>
      <c r="B1900" s="1">
        <v>2.4332172094661653</v>
      </c>
      <c r="C1900" s="1">
        <f>IRS_returns_2015_25[[#This Row],[IRSrtn]]-AVERAGE($B$2:$B$2600)</f>
        <v>2.4274407153995496</v>
      </c>
      <c r="D1900" s="1">
        <f>w+a*C1899^2+b*D1899</f>
        <v>7.9015020905307294</v>
      </c>
      <c r="E1900" s="1">
        <f t="shared" si="29"/>
        <v>-2.3253351157958715</v>
      </c>
      <c r="F1900" s="7">
        <f>SQRT(IRS_returns_2015_25[[#This Row],[  σ2]])</f>
        <v>2.8109610617243934</v>
      </c>
    </row>
    <row r="1901" spans="1:6" x14ac:dyDescent="0.3">
      <c r="A1901" s="2">
        <v>44841</v>
      </c>
      <c r="B1901" s="1">
        <v>-0.24065907881867243</v>
      </c>
      <c r="C1901" s="1">
        <f>IRS_returns_2015_25[[#This Row],[IRSrtn]]-AVERAGE($B$2:$B$2600)</f>
        <v>-0.24643557288528822</v>
      </c>
      <c r="D1901" s="1">
        <f>w+a*C1900^2+b*D1900</f>
        <v>8.0411250264074816</v>
      </c>
      <c r="E1901" s="1">
        <f t="shared" si="29"/>
        <v>-1.9649992776943377</v>
      </c>
      <c r="F1901" s="7">
        <f>SQRT(IRS_returns_2015_25[[#This Row],[  σ2]])</f>
        <v>2.8356877519232406</v>
      </c>
    </row>
    <row r="1902" spans="1:6" x14ac:dyDescent="0.3">
      <c r="A1902" s="2">
        <v>44844</v>
      </c>
      <c r="B1902" s="1">
        <v>-2.4391590654374351</v>
      </c>
      <c r="C1902" s="1">
        <f>IRS_returns_2015_25[[#This Row],[IRSrtn]]-AVERAGE($B$2:$B$2600)</f>
        <v>-2.4449355595040507</v>
      </c>
      <c r="D1902" s="1">
        <f>w+a*C1901^2+b*D1901</f>
        <v>6.7131727490569162</v>
      </c>
      <c r="E1902" s="1">
        <f t="shared" si="29"/>
        <v>-2.3161967815252997</v>
      </c>
      <c r="F1902" s="7">
        <f>SQRT(IRS_returns_2015_25[[#This Row],[  σ2]])</f>
        <v>2.5909791101158874</v>
      </c>
    </row>
    <row r="1903" spans="1:6" x14ac:dyDescent="0.3">
      <c r="A1903" s="2">
        <v>44845</v>
      </c>
      <c r="B1903" s="1">
        <v>-4.8049715673758042</v>
      </c>
      <c r="C1903" s="1">
        <f>IRS_returns_2015_25[[#This Row],[IRSrtn]]-AVERAGE($B$2:$B$2600)</f>
        <v>-4.8107480614424203</v>
      </c>
      <c r="D1903" s="1">
        <f>w+a*C1902^2+b*D1902</f>
        <v>7.2708033856888079</v>
      </c>
      <c r="E1903" s="1">
        <f t="shared" si="29"/>
        <v>-3.5023946046233885</v>
      </c>
      <c r="F1903" s="7">
        <f>SQRT(IRS_returns_2015_25[[#This Row],[  σ2]])</f>
        <v>2.6964427280565051</v>
      </c>
    </row>
    <row r="1904" spans="1:6" x14ac:dyDescent="0.3">
      <c r="A1904" s="2">
        <v>44846</v>
      </c>
      <c r="B1904" s="1">
        <v>4.0614848863830044</v>
      </c>
      <c r="C1904" s="1">
        <f>IRS_returns_2015_25[[#This Row],[IRSrtn]]-AVERAGE($B$2:$B$2600)</f>
        <v>4.0557083923163884</v>
      </c>
      <c r="D1904" s="1">
        <f>w+a*C1903^2+b*D1903</f>
        <v>11.824418728386485</v>
      </c>
      <c r="E1904" s="1">
        <f t="shared" si="29"/>
        <v>-2.8495643809763429</v>
      </c>
      <c r="F1904" s="7">
        <f>SQRT(IRS_returns_2015_25[[#This Row],[  σ2]])</f>
        <v>3.4386652539010663</v>
      </c>
    </row>
    <row r="1905" spans="1:6" x14ac:dyDescent="0.3">
      <c r="A1905" s="2">
        <v>44847</v>
      </c>
      <c r="B1905" s="1">
        <v>2.4571328130408743</v>
      </c>
      <c r="C1905" s="1">
        <f>IRS_returns_2015_25[[#This Row],[IRSrtn]]-AVERAGE($B$2:$B$2600)</f>
        <v>2.4513563189742587</v>
      </c>
      <c r="D1905" s="1">
        <f>w+a*C1904^2+b*D1904</f>
        <v>13.224716771680415</v>
      </c>
      <c r="E1905" s="1">
        <f t="shared" si="29"/>
        <v>-2.4371761323479095</v>
      </c>
      <c r="F1905" s="7">
        <f>SQRT(IRS_returns_2015_25[[#This Row],[  σ2]])</f>
        <v>3.6365803678291524</v>
      </c>
    </row>
    <row r="1906" spans="1:6" x14ac:dyDescent="0.3">
      <c r="A1906" s="2">
        <v>44848</v>
      </c>
      <c r="B1906" s="1">
        <v>-3.2062098453752297</v>
      </c>
      <c r="C1906" s="1">
        <f>IRS_returns_2015_25[[#This Row],[IRSrtn]]-AVERAGE($B$2:$B$2600)</f>
        <v>-3.2119863394418453</v>
      </c>
      <c r="D1906" s="1">
        <f>w+a*C1905^2+b*D1905</f>
        <v>11.61330691118649</v>
      </c>
      <c r="E1906" s="1">
        <f t="shared" si="29"/>
        <v>-2.5891968639053866</v>
      </c>
      <c r="F1906" s="7">
        <f>SQRT(IRS_returns_2015_25[[#This Row],[  σ2]])</f>
        <v>3.4078302350889618</v>
      </c>
    </row>
    <row r="1907" spans="1:6" x14ac:dyDescent="0.3">
      <c r="A1907" s="2">
        <v>44851</v>
      </c>
      <c r="B1907" s="1">
        <v>2.475394730379965</v>
      </c>
      <c r="C1907" s="1">
        <f>IRS_returns_2015_25[[#This Row],[IRSrtn]]-AVERAGE($B$2:$B$2600)</f>
        <v>2.4696182363133494</v>
      </c>
      <c r="D1907" s="1">
        <f>w+a*C1906^2+b*D1906</f>
        <v>11.590136600827321</v>
      </c>
      <c r="E1907" s="1">
        <f t="shared" si="29"/>
        <v>-2.4071280219515589</v>
      </c>
      <c r="F1907" s="7">
        <f>SQRT(IRS_returns_2015_25[[#This Row],[  σ2]])</f>
        <v>3.4044289683921036</v>
      </c>
    </row>
    <row r="1908" spans="1:6" x14ac:dyDescent="0.3">
      <c r="A1908" s="2">
        <v>44852</v>
      </c>
      <c r="B1908" s="1">
        <v>-0.98283101705280984</v>
      </c>
      <c r="C1908" s="1">
        <f>IRS_returns_2015_25[[#This Row],[IRSrtn]]-AVERAGE($B$2:$B$2600)</f>
        <v>-0.98860751111942569</v>
      </c>
      <c r="D1908" s="1">
        <f>w+a*C1907^2+b*D1907</f>
        <v>10.547035507206559</v>
      </c>
      <c r="E1908" s="1">
        <f t="shared" si="29"/>
        <v>-2.1431936246562429</v>
      </c>
      <c r="F1908" s="7">
        <f>SQRT(IRS_returns_2015_25[[#This Row],[  σ2]])</f>
        <v>3.2476199757986706</v>
      </c>
    </row>
    <row r="1909" spans="1:6" x14ac:dyDescent="0.3">
      <c r="A1909" s="2">
        <v>44853</v>
      </c>
      <c r="B1909" s="1">
        <v>-1.4925637133271552</v>
      </c>
      <c r="C1909" s="1">
        <f>IRS_returns_2015_25[[#This Row],[IRSrtn]]-AVERAGE($B$2:$B$2600)</f>
        <v>-1.4983402073937711</v>
      </c>
      <c r="D1909" s="1">
        <f>w+a*C1908^2+b*D1908</f>
        <v>8.6047321051863683</v>
      </c>
      <c r="E1909" s="1">
        <f t="shared" si="29"/>
        <v>-2.1255475155195303</v>
      </c>
      <c r="F1909" s="7">
        <f>SQRT(IRS_returns_2015_25[[#This Row],[  σ2]])</f>
        <v>2.9333823660045359</v>
      </c>
    </row>
    <row r="1910" spans="1:6" x14ac:dyDescent="0.3">
      <c r="A1910" s="2">
        <v>44854</v>
      </c>
      <c r="B1910" s="1">
        <v>-2.0253886899289641</v>
      </c>
      <c r="C1910" s="1">
        <f>IRS_returns_2015_25[[#This Row],[IRSrtn]]-AVERAGE($B$2:$B$2600)</f>
        <v>-2.0311651839955798</v>
      </c>
      <c r="D1910" s="1">
        <f>w+a*C1909^2+b*D1909</f>
        <v>7.6205778575860865</v>
      </c>
      <c r="E1910" s="1">
        <f t="shared" si="29"/>
        <v>-2.2050548676302002</v>
      </c>
      <c r="F1910" s="7">
        <f>SQRT(IRS_returns_2015_25[[#This Row],[  σ2]])</f>
        <v>2.7605394142424569</v>
      </c>
    </row>
    <row r="1911" spans="1:6" x14ac:dyDescent="0.3">
      <c r="A1911" s="2">
        <v>44855</v>
      </c>
      <c r="B1911" s="1">
        <v>2.2756932690197296</v>
      </c>
      <c r="C1911" s="1">
        <f>IRS_returns_2015_25[[#This Row],[IRSrtn]]-AVERAGE($B$2:$B$2600)</f>
        <v>2.2699167749531139</v>
      </c>
      <c r="D1911" s="1">
        <f>w+a*C1910^2+b*D1910</f>
        <v>7.4236197836923523</v>
      </c>
      <c r="E1911" s="1">
        <f t="shared" si="29"/>
        <v>-2.2683076223012599</v>
      </c>
      <c r="F1911" s="7">
        <f>SQRT(IRS_returns_2015_25[[#This Row],[  σ2]])</f>
        <v>2.7246320455599786</v>
      </c>
    </row>
    <row r="1912" spans="1:6" x14ac:dyDescent="0.3">
      <c r="A1912" s="2">
        <v>44858</v>
      </c>
      <c r="B1912" s="1">
        <v>-3.0459110129205991</v>
      </c>
      <c r="C1912" s="1">
        <f>IRS_returns_2015_25[[#This Row],[IRSrtn]]-AVERAGE($B$2:$B$2600)</f>
        <v>-3.0516875069872147</v>
      </c>
      <c r="D1912" s="1">
        <f>w+a*C1911^2+b*D1911</f>
        <v>7.5427030522250575</v>
      </c>
      <c r="E1912" s="1">
        <f t="shared" si="29"/>
        <v>-2.5465669858609932</v>
      </c>
      <c r="F1912" s="7">
        <f>SQRT(IRS_returns_2015_25[[#This Row],[  σ2]])</f>
        <v>2.7463981962244763</v>
      </c>
    </row>
    <row r="1913" spans="1:6" x14ac:dyDescent="0.3">
      <c r="A1913" s="2">
        <v>44859</v>
      </c>
      <c r="B1913" s="1">
        <v>5.5151863667093126</v>
      </c>
      <c r="C1913" s="1">
        <f>IRS_returns_2015_25[[#This Row],[IRSrtn]]-AVERAGE($B$2:$B$2600)</f>
        <v>5.5094098726426965</v>
      </c>
      <c r="D1913" s="1">
        <f>w+a*C1912^2+b*D1912</f>
        <v>8.635628688160363</v>
      </c>
      <c r="E1913" s="1">
        <f t="shared" si="29"/>
        <v>-3.7543498688875703</v>
      </c>
      <c r="F1913" s="7">
        <f>SQRT(IRS_returns_2015_25[[#This Row],[  σ2]])</f>
        <v>2.9386440220211028</v>
      </c>
    </row>
    <row r="1914" spans="1:6" x14ac:dyDescent="0.3">
      <c r="A1914" s="2">
        <v>44860</v>
      </c>
      <c r="B1914" s="1">
        <v>2.4097417343331928</v>
      </c>
      <c r="C1914" s="1">
        <f>IRS_returns_2015_25[[#This Row],[IRSrtn]]-AVERAGE($B$2:$B$2600)</f>
        <v>2.4039652402665772</v>
      </c>
      <c r="D1914" s="1">
        <f>w+a*C1913^2+b*D1913</f>
        <v>14.489793727672017</v>
      </c>
      <c r="E1914" s="1">
        <f t="shared" si="29"/>
        <v>-2.4550787074858214</v>
      </c>
      <c r="F1914" s="7">
        <f>SQRT(IRS_returns_2015_25[[#This Row],[  σ2]])</f>
        <v>3.8065461678103967</v>
      </c>
    </row>
    <row r="1915" spans="1:6" x14ac:dyDescent="0.3">
      <c r="A1915" s="2">
        <v>44861</v>
      </c>
      <c r="B1915" s="1">
        <v>-1.4388725779426847</v>
      </c>
      <c r="C1915" s="1">
        <f>IRS_returns_2015_25[[#This Row],[IRSrtn]]-AVERAGE($B$2:$B$2600)</f>
        <v>-1.4446490720093006</v>
      </c>
      <c r="D1915" s="1">
        <f>w+a*C1914^2+b*D1914</f>
        <v>12.399426234280076</v>
      </c>
      <c r="E1915" s="1">
        <f t="shared" si="29"/>
        <v>-2.2619211943371744</v>
      </c>
      <c r="F1915" s="7">
        <f>SQRT(IRS_returns_2015_25[[#This Row],[  σ2]])</f>
        <v>3.5212819021316761</v>
      </c>
    </row>
    <row r="1916" spans="1:6" x14ac:dyDescent="0.3">
      <c r="A1916" s="2">
        <v>44862</v>
      </c>
      <c r="B1916" s="1">
        <v>1.6767035986869239</v>
      </c>
      <c r="C1916" s="1">
        <f>IRS_returns_2015_25[[#This Row],[IRSrtn]]-AVERAGE($B$2:$B$2600)</f>
        <v>1.670927104620308</v>
      </c>
      <c r="D1916" s="1">
        <f>w+a*C1915^2+b*D1915</f>
        <v>10.108269467821838</v>
      </c>
      <c r="E1916" s="1">
        <f t="shared" si="29"/>
        <v>-2.2137200753204169</v>
      </c>
      <c r="F1916" s="7">
        <f>SQRT(IRS_returns_2015_25[[#This Row],[  σ2]])</f>
        <v>3.179350478922045</v>
      </c>
    </row>
    <row r="1917" spans="1:6" x14ac:dyDescent="0.3">
      <c r="A1917" s="2">
        <v>44865</v>
      </c>
      <c r="B1917" s="1">
        <v>1.4151033554898662</v>
      </c>
      <c r="C1917" s="1">
        <f>IRS_returns_2015_25[[#This Row],[IRSrtn]]-AVERAGE($B$2:$B$2600)</f>
        <v>1.4093268614232504</v>
      </c>
      <c r="D1917" s="1">
        <f>w+a*C1916^2+b*D1916</f>
        <v>8.7547779005012831</v>
      </c>
      <c r="E1917" s="1">
        <f t="shared" si="29"/>
        <v>-2.1171736595842656</v>
      </c>
      <c r="F1917" s="7">
        <f>SQRT(IRS_returns_2015_25[[#This Row],[  σ2]])</f>
        <v>2.9588473939190041</v>
      </c>
    </row>
    <row r="1918" spans="1:6" x14ac:dyDescent="0.3">
      <c r="A1918" s="2">
        <v>44866</v>
      </c>
      <c r="B1918" s="1">
        <v>0.46730112659487677</v>
      </c>
      <c r="C1918" s="1">
        <f>IRS_returns_2015_25[[#This Row],[IRSrtn]]-AVERAGE($B$2:$B$2600)</f>
        <v>0.46152463252826098</v>
      </c>
      <c r="D1918" s="1">
        <f>w+a*C1917^2+b*D1917</f>
        <v>7.6574041319120507</v>
      </c>
      <c r="E1918" s="1">
        <f t="shared" si="29"/>
        <v>-1.9506834863933546</v>
      </c>
      <c r="F1918" s="7">
        <f>SQRT(IRS_returns_2015_25[[#This Row],[  σ2]])</f>
        <v>2.7672014982490976</v>
      </c>
    </row>
    <row r="1919" spans="1:6" x14ac:dyDescent="0.3">
      <c r="A1919" s="2">
        <v>44867</v>
      </c>
      <c r="B1919" s="1">
        <v>-1.4084793008806162</v>
      </c>
      <c r="C1919" s="1">
        <f>IRS_returns_2015_25[[#This Row],[IRSrtn]]-AVERAGE($B$2:$B$2600)</f>
        <v>-1.4142557949472321</v>
      </c>
      <c r="D1919" s="1">
        <f>w+a*C1918^2+b*D1918</f>
        <v>6.494824981796163</v>
      </c>
      <c r="E1919" s="1">
        <f t="shared" si="29"/>
        <v>-2.0084193179166432</v>
      </c>
      <c r="F1919" s="7">
        <f>SQRT(IRS_returns_2015_25[[#This Row],[  σ2]])</f>
        <v>2.5484946501407775</v>
      </c>
    </row>
    <row r="1920" spans="1:6" x14ac:dyDescent="0.3">
      <c r="A1920" s="2">
        <v>44868</v>
      </c>
      <c r="B1920" s="1">
        <v>-2.634868023785808</v>
      </c>
      <c r="C1920" s="1">
        <f>IRS_returns_2015_25[[#This Row],[IRSrtn]]-AVERAGE($B$2:$B$2600)</f>
        <v>-2.6406445178524236</v>
      </c>
      <c r="D1920" s="1">
        <f>w+a*C1919^2+b*D1919</f>
        <v>6.1563066376462885</v>
      </c>
      <c r="E1920" s="1">
        <f t="shared" si="29"/>
        <v>-2.3940071430950134</v>
      </c>
      <c r="F1920" s="7">
        <f>SQRT(IRS_returns_2015_25[[#This Row],[  σ2]])</f>
        <v>2.4811905685872433</v>
      </c>
    </row>
    <row r="1921" spans="1:6" x14ac:dyDescent="0.3">
      <c r="A1921" s="2">
        <v>44869</v>
      </c>
      <c r="B1921" s="1">
        <v>2.8710009705581019</v>
      </c>
      <c r="C1921" s="1">
        <f>IRS_returns_2015_25[[#This Row],[IRSrtn]]-AVERAGE($B$2:$B$2600)</f>
        <v>2.8652244764914863</v>
      </c>
      <c r="D1921" s="1">
        <f>w+a*C1920^2+b*D1920</f>
        <v>7.1425913587329539</v>
      </c>
      <c r="E1921" s="1">
        <f t="shared" si="29"/>
        <v>-2.4766635311861087</v>
      </c>
      <c r="F1921" s="7">
        <f>SQRT(IRS_returns_2015_25[[#This Row],[  σ2]])</f>
        <v>2.6725626950051056</v>
      </c>
    </row>
    <row r="1922" spans="1:6" x14ac:dyDescent="0.3">
      <c r="A1922" s="2">
        <v>44872</v>
      </c>
      <c r="B1922" s="1">
        <v>-5.0797018500830182</v>
      </c>
      <c r="C1922" s="1">
        <f>IRS_returns_2015_25[[#This Row],[IRSrtn]]-AVERAGE($B$2:$B$2600)</f>
        <v>-5.0854783441496343</v>
      </c>
      <c r="D1922" s="1">
        <f>w+a*C1921^2+b*D1921</f>
        <v>8.1004524287428623</v>
      </c>
      <c r="E1922" s="1">
        <f t="shared" ref="E1922:E1985" si="30">-0.5*(LN(2*PI())+LN(D1922)+C1922^2/D1922)</f>
        <v>-3.5612346349212363</v>
      </c>
      <c r="F1922" s="7">
        <f>SQRT(IRS_returns_2015_25[[#This Row],[  σ2]])</f>
        <v>2.8461293766698068</v>
      </c>
    </row>
    <row r="1923" spans="1:6" x14ac:dyDescent="0.3">
      <c r="A1923" s="2">
        <v>44873</v>
      </c>
      <c r="B1923" s="1">
        <v>-2.0050613761116942</v>
      </c>
      <c r="C1923" s="1">
        <f>IRS_returns_2015_25[[#This Row],[IRSrtn]]-AVERAGE($B$2:$B$2600)</f>
        <v>-2.0108378701783098</v>
      </c>
      <c r="D1923" s="1">
        <f>w+a*C1922^2+b*D1922</f>
        <v>13.039163267311439</v>
      </c>
      <c r="E1923" s="1">
        <f t="shared" si="30"/>
        <v>-2.3579681631786795</v>
      </c>
      <c r="F1923" s="7">
        <f>SQRT(IRS_returns_2015_25[[#This Row],[  σ2]])</f>
        <v>3.610978159351208</v>
      </c>
    </row>
    <row r="1924" spans="1:6" x14ac:dyDescent="0.3">
      <c r="A1924" s="2">
        <v>44874</v>
      </c>
      <c r="B1924" s="1">
        <v>-3.8714509363618754</v>
      </c>
      <c r="C1924" s="1">
        <f>IRS_returns_2015_25[[#This Row],[IRSrtn]]-AVERAGE($B$2:$B$2600)</f>
        <v>-3.8772274304284911</v>
      </c>
      <c r="D1924" s="1">
        <f>w+a*C1923^2+b*D1923</f>
        <v>11.010843641842158</v>
      </c>
      <c r="E1924" s="1">
        <f t="shared" si="30"/>
        <v>-2.8010191801816973</v>
      </c>
      <c r="F1924" s="7">
        <f>SQRT(IRS_returns_2015_25[[#This Row],[  σ2]])</f>
        <v>3.3182591281939025</v>
      </c>
    </row>
    <row r="1925" spans="1:6" x14ac:dyDescent="0.3">
      <c r="A1925" s="2">
        <v>44875</v>
      </c>
      <c r="B1925" s="1">
        <v>2.8536146566942922</v>
      </c>
      <c r="C1925" s="1">
        <f>IRS_returns_2015_25[[#This Row],[IRSrtn]]-AVERAGE($B$2:$B$2600)</f>
        <v>2.8478381626276765</v>
      </c>
      <c r="D1925" s="1">
        <f>w+a*C1924^2+b*D1924</f>
        <v>12.338127887788421</v>
      </c>
      <c r="E1925" s="1">
        <f t="shared" si="30"/>
        <v>-2.5039490844134664</v>
      </c>
      <c r="F1925" s="7">
        <f>SQRT(IRS_returns_2015_25[[#This Row],[  σ2]])</f>
        <v>3.5125671364101243</v>
      </c>
    </row>
    <row r="1926" spans="1:6" x14ac:dyDescent="0.3">
      <c r="A1926" s="2">
        <v>44876</v>
      </c>
      <c r="B1926" s="1">
        <v>5.7158377791989512</v>
      </c>
      <c r="C1926" s="1">
        <f>IRS_returns_2015_25[[#This Row],[IRSrtn]]-AVERAGE($B$2:$B$2600)</f>
        <v>5.7100612851323351</v>
      </c>
      <c r="D1926" s="1">
        <f>w+a*C1925^2+b*D1925</f>
        <v>11.535006418529925</v>
      </c>
      <c r="E1926" s="1">
        <f t="shared" si="30"/>
        <v>-3.5549296218829838</v>
      </c>
      <c r="F1926" s="7">
        <f>SQRT(IRS_returns_2015_25[[#This Row],[  σ2]])</f>
        <v>3.3963224844719804</v>
      </c>
    </row>
    <row r="1927" spans="1:6" x14ac:dyDescent="0.3">
      <c r="A1927" s="2">
        <v>44879</v>
      </c>
      <c r="B1927" s="1">
        <v>0.72203434962536672</v>
      </c>
      <c r="C1927" s="1">
        <f>IRS_returns_2015_25[[#This Row],[IRSrtn]]-AVERAGE($B$2:$B$2600)</f>
        <v>0.71625785555875088</v>
      </c>
      <c r="D1927" s="1">
        <f>w+a*C1926^2+b*D1926</f>
        <v>16.968462966857633</v>
      </c>
      <c r="E1927" s="1">
        <f t="shared" si="30"/>
        <v>-2.3497338077608232</v>
      </c>
      <c r="F1927" s="7">
        <f>SQRT(IRS_returns_2015_25[[#This Row],[  σ2]])</f>
        <v>4.1192794232556782</v>
      </c>
    </row>
    <row r="1928" spans="1:6" x14ac:dyDescent="0.3">
      <c r="A1928" s="2">
        <v>44880</v>
      </c>
      <c r="B1928" s="1">
        <v>-2.1819130901419959</v>
      </c>
      <c r="C1928" s="1">
        <f>IRS_returns_2015_25[[#This Row],[IRSrtn]]-AVERAGE($B$2:$B$2600)</f>
        <v>-2.1876895842086115</v>
      </c>
      <c r="D1928" s="1">
        <f>w+a*C1927^2+b*D1927</f>
        <v>12.766452350789319</v>
      </c>
      <c r="E1928" s="1">
        <f t="shared" si="30"/>
        <v>-2.3797927838396702</v>
      </c>
      <c r="F1928" s="7">
        <f>SQRT(IRS_returns_2015_25[[#This Row],[  σ2]])</f>
        <v>3.5730172614737419</v>
      </c>
    </row>
    <row r="1929" spans="1:6" x14ac:dyDescent="0.3">
      <c r="A1929" s="2">
        <v>44881</v>
      </c>
      <c r="B1929" s="1">
        <v>0.48900958412612106</v>
      </c>
      <c r="C1929" s="1">
        <f>IRS_returns_2015_25[[#This Row],[IRSrtn]]-AVERAGE($B$2:$B$2600)</f>
        <v>0.48323309005950527</v>
      </c>
      <c r="D1929" s="1">
        <f>w+a*C1928^2+b*D1928</f>
        <v>11.010209467747231</v>
      </c>
      <c r="E1929" s="1">
        <f t="shared" si="30"/>
        <v>-2.1289544614560119</v>
      </c>
      <c r="F1929" s="7">
        <f>SQRT(IRS_returns_2015_25[[#This Row],[  σ2]])</f>
        <v>3.318163568564279</v>
      </c>
    </row>
    <row r="1930" spans="1:6" x14ac:dyDescent="0.3">
      <c r="A1930" s="2">
        <v>44882</v>
      </c>
      <c r="B1930" s="1">
        <v>-4.4895420584685874</v>
      </c>
      <c r="C1930" s="1">
        <f>IRS_returns_2015_25[[#This Row],[IRSrtn]]-AVERAGE($B$2:$B$2600)</f>
        <v>-4.4953185525352035</v>
      </c>
      <c r="D1930" s="1">
        <f>w+a*C1929^2+b*D1929</f>
        <v>8.7318406002335038</v>
      </c>
      <c r="E1930" s="1">
        <f t="shared" si="30"/>
        <v>-3.1595646109197575</v>
      </c>
      <c r="F1930" s="7">
        <f>SQRT(IRS_returns_2015_25[[#This Row],[  σ2]])</f>
        <v>2.9549687985211457</v>
      </c>
    </row>
    <row r="1931" spans="1:6" x14ac:dyDescent="0.3">
      <c r="A1931" s="2">
        <v>44883</v>
      </c>
      <c r="B1931" s="1">
        <v>4.2453568559690735</v>
      </c>
      <c r="C1931" s="1">
        <f>IRS_returns_2015_25[[#This Row],[IRSrtn]]-AVERAGE($B$2:$B$2600)</f>
        <v>4.2395803619024575</v>
      </c>
      <c r="D1931" s="1">
        <f>w+a*C1930^2+b*D1930</f>
        <v>12.081844135169035</v>
      </c>
      <c r="E1931" s="1">
        <f t="shared" si="30"/>
        <v>-2.9086355755486695</v>
      </c>
      <c r="F1931" s="7">
        <f>SQRT(IRS_returns_2015_25[[#This Row],[  σ2]])</f>
        <v>3.4758947244082399</v>
      </c>
    </row>
    <row r="1932" spans="1:6" x14ac:dyDescent="0.3">
      <c r="A1932" s="2">
        <v>44886</v>
      </c>
      <c r="B1932" s="1">
        <v>-2.7263274057764297</v>
      </c>
      <c r="C1932" s="1">
        <f>IRS_returns_2015_25[[#This Row],[IRSrtn]]-AVERAGE($B$2:$B$2600)</f>
        <v>-2.7321038998430454</v>
      </c>
      <c r="D1932" s="1">
        <f>w+a*C1931^2+b*D1931</f>
        <v>13.767721113705321</v>
      </c>
      <c r="E1932" s="1">
        <f t="shared" si="30"/>
        <v>-2.5011849865812184</v>
      </c>
      <c r="F1932" s="7">
        <f>SQRT(IRS_returns_2015_25[[#This Row],[  σ2]])</f>
        <v>3.7104879886216207</v>
      </c>
    </row>
    <row r="1933" spans="1:6" x14ac:dyDescent="0.3">
      <c r="A1933" s="2">
        <v>44888</v>
      </c>
      <c r="B1933" s="1">
        <v>1.4962858300754389</v>
      </c>
      <c r="C1933" s="1">
        <f>IRS_returns_2015_25[[#This Row],[IRSrtn]]-AVERAGE($B$2:$B$2600)</f>
        <v>1.4905093360088231</v>
      </c>
      <c r="D1933" s="1">
        <f>w+a*C1932^2+b*D1932</f>
        <v>12.329363820923721</v>
      </c>
      <c r="E1933" s="1">
        <f t="shared" si="30"/>
        <v>-2.26502498813639</v>
      </c>
      <c r="F1933" s="7">
        <f>SQRT(IRS_returns_2015_25[[#This Row],[  σ2]])</f>
        <v>3.5113193846364532</v>
      </c>
    </row>
    <row r="1934" spans="1:6" x14ac:dyDescent="0.3">
      <c r="A1934" s="2">
        <v>44890</v>
      </c>
      <c r="B1934" s="1">
        <v>4.2429744143178461</v>
      </c>
      <c r="C1934" s="1">
        <f>IRS_returns_2015_25[[#This Row],[IRSrtn]]-AVERAGE($B$2:$B$2600)</f>
        <v>4.23719792025123</v>
      </c>
      <c r="D1934" s="1">
        <f>w+a*C1933^2+b*D1933</f>
        <v>10.094424746679378</v>
      </c>
      <c r="E1934" s="1">
        <f t="shared" si="30"/>
        <v>-2.9642253299965269</v>
      </c>
      <c r="F1934" s="7">
        <f>SQRT(IRS_returns_2015_25[[#This Row],[  σ2]])</f>
        <v>3.1771724452222259</v>
      </c>
    </row>
    <row r="1935" spans="1:6" x14ac:dyDescent="0.3">
      <c r="A1935" s="2">
        <v>44894</v>
      </c>
      <c r="B1935" s="1">
        <v>6.2671101337578472</v>
      </c>
      <c r="C1935" s="1">
        <f>IRS_returns_2015_25[[#This Row],[IRSrtn]]-AVERAGE($B$2:$B$2600)</f>
        <v>6.2613336396912311</v>
      </c>
      <c r="D1935" s="1">
        <f>w+a*C1934^2+b*D1934</f>
        <v>12.439742198641849</v>
      </c>
      <c r="E1935" s="1">
        <f t="shared" si="30"/>
        <v>-3.7551548587667316</v>
      </c>
      <c r="F1935" s="7">
        <f>SQRT(IRS_returns_2015_25[[#This Row],[  σ2]])</f>
        <v>3.5270018710856745</v>
      </c>
    </row>
    <row r="1936" spans="1:6" x14ac:dyDescent="0.3">
      <c r="A1936" s="2">
        <v>44897</v>
      </c>
      <c r="B1936" s="1">
        <v>6.3369563240021742</v>
      </c>
      <c r="C1936" s="1">
        <f>IRS_returns_2015_25[[#This Row],[IRSrtn]]-AVERAGE($B$2:$B$2600)</f>
        <v>6.3311798299355582</v>
      </c>
      <c r="D1936" s="1">
        <f>w+a*C1935^2+b*D1935</f>
        <v>19.17872711850346</v>
      </c>
      <c r="E1936" s="1">
        <f t="shared" si="30"/>
        <v>-3.4408471627544479</v>
      </c>
      <c r="F1936" s="7">
        <f>SQRT(IRS_returns_2015_25[[#This Row],[  σ2]])</f>
        <v>4.3793523629074951</v>
      </c>
    </row>
    <row r="1937" spans="1:6" x14ac:dyDescent="0.3">
      <c r="A1937" s="2">
        <v>44900</v>
      </c>
      <c r="B1937" s="1">
        <v>0.21907057456440615</v>
      </c>
      <c r="C1937" s="1">
        <f>IRS_returns_2015_25[[#This Row],[IRSrtn]]-AVERAGE($B$2:$B$2600)</f>
        <v>0.21329408049779036</v>
      </c>
      <c r="D1937" s="1">
        <f>w+a*C1936^2+b*D1936</f>
        <v>23.879281506728059</v>
      </c>
      <c r="E1937" s="1">
        <f t="shared" si="30"/>
        <v>-2.5063967241493361</v>
      </c>
      <c r="F1937" s="7">
        <f>SQRT(IRS_returns_2015_25[[#This Row],[  σ2]])</f>
        <v>4.886643173665135</v>
      </c>
    </row>
    <row r="1938" spans="1:6" x14ac:dyDescent="0.3">
      <c r="A1938" s="2">
        <v>44901</v>
      </c>
      <c r="B1938" s="1">
        <v>0.65430008822267016</v>
      </c>
      <c r="C1938" s="1">
        <f>IRS_returns_2015_25[[#This Row],[IRSrtn]]-AVERAGE($B$2:$B$2600)</f>
        <v>0.64852359415605432</v>
      </c>
      <c r="D1938" s="1">
        <f>w+a*C1937^2+b*D1937</f>
        <v>17.253185947459983</v>
      </c>
      <c r="E1938" s="1">
        <f t="shared" si="30"/>
        <v>-2.3551254988930284</v>
      </c>
      <c r="F1938" s="7">
        <f>SQRT(IRS_returns_2015_25[[#This Row],[  σ2]])</f>
        <v>4.1536954567541402</v>
      </c>
    </row>
    <row r="1939" spans="1:6" x14ac:dyDescent="0.3">
      <c r="A1939" s="2">
        <v>44902</v>
      </c>
      <c r="B1939" s="1">
        <v>3.2088297325610249</v>
      </c>
      <c r="C1939" s="1">
        <f>IRS_returns_2015_25[[#This Row],[IRSrtn]]-AVERAGE($B$2:$B$2600)</f>
        <v>3.2030532384944093</v>
      </c>
      <c r="D1939" s="1">
        <f>w+a*C1938^2+b*D1938</f>
        <v>12.933473612795625</v>
      </c>
      <c r="E1939" s="1">
        <f t="shared" si="30"/>
        <v>-2.5954757228759089</v>
      </c>
      <c r="F1939" s="7">
        <f>SQRT(IRS_returns_2015_25[[#This Row],[  σ2]])</f>
        <v>3.5963138924175717</v>
      </c>
    </row>
    <row r="1940" spans="1:6" x14ac:dyDescent="0.3">
      <c r="A1940" s="2">
        <v>44903</v>
      </c>
      <c r="B1940" s="1">
        <v>-2.9916853856027492</v>
      </c>
      <c r="C1940" s="1">
        <f>IRS_returns_2015_25[[#This Row],[IRSrtn]]-AVERAGE($B$2:$B$2600)</f>
        <v>-2.9974618796693648</v>
      </c>
      <c r="D1940" s="1">
        <f>w+a*C1939^2+b*D1939</f>
        <v>12.455030997025757</v>
      </c>
      <c r="E1940" s="1">
        <f t="shared" si="30"/>
        <v>-2.5406895455988674</v>
      </c>
      <c r="F1940" s="7">
        <f>SQRT(IRS_returns_2015_25[[#This Row],[  σ2]])</f>
        <v>3.5291685985548717</v>
      </c>
    </row>
    <row r="1941" spans="1:6" x14ac:dyDescent="0.3">
      <c r="A1941" s="2">
        <v>44904</v>
      </c>
      <c r="B1941" s="1">
        <v>0.86395053135486233</v>
      </c>
      <c r="C1941" s="1">
        <f>IRS_returns_2015_25[[#This Row],[IRSrtn]]-AVERAGE($B$2:$B$2600)</f>
        <v>0.85817403728824648</v>
      </c>
      <c r="D1941" s="1">
        <f>w+a*C1940^2+b*D1940</f>
        <v>11.825925768278264</v>
      </c>
      <c r="E1941" s="1">
        <f t="shared" si="30"/>
        <v>-2.1852232766241486</v>
      </c>
      <c r="F1941" s="7">
        <f>SQRT(IRS_returns_2015_25[[#This Row],[  σ2]])</f>
        <v>3.4388843784399419</v>
      </c>
    </row>
    <row r="1942" spans="1:6" x14ac:dyDescent="0.3">
      <c r="A1942" s="2">
        <v>44907</v>
      </c>
      <c r="B1942" s="1">
        <v>6.0498070403353088</v>
      </c>
      <c r="C1942" s="1">
        <f>IRS_returns_2015_25[[#This Row],[IRSrtn]]-AVERAGE($B$2:$B$2600)</f>
        <v>6.0440305462686927</v>
      </c>
      <c r="D1942" s="1">
        <f>w+a*C1941^2+b*D1941</f>
        <v>9.3974198505432707</v>
      </c>
      <c r="E1942" s="1">
        <f t="shared" si="30"/>
        <v>-3.9827909564252382</v>
      </c>
      <c r="F1942" s="7">
        <f>SQRT(IRS_returns_2015_25[[#This Row],[  σ2]])</f>
        <v>3.0655211384923233</v>
      </c>
    </row>
    <row r="1943" spans="1:6" x14ac:dyDescent="0.3">
      <c r="A1943" s="2">
        <v>44908</v>
      </c>
      <c r="B1943" s="1">
        <v>-1.8386571940196106</v>
      </c>
      <c r="C1943" s="1">
        <f>IRS_returns_2015_25[[#This Row],[IRSrtn]]-AVERAGE($B$2:$B$2600)</f>
        <v>-1.8444336880862264</v>
      </c>
      <c r="D1943" s="1">
        <f>w+a*C1942^2+b*D1942</f>
        <v>16.501884336607091</v>
      </c>
      <c r="E1943" s="1">
        <f t="shared" si="30"/>
        <v>-2.423753008340725</v>
      </c>
      <c r="F1943" s="7">
        <f>SQRT(IRS_returns_2015_25[[#This Row],[  σ2]])</f>
        <v>4.0622511414986509</v>
      </c>
    </row>
    <row r="1944" spans="1:6" x14ac:dyDescent="0.3">
      <c r="A1944" s="2">
        <v>44909</v>
      </c>
      <c r="B1944" s="1">
        <v>0.2059628485564069</v>
      </c>
      <c r="C1944" s="1">
        <f>IRS_returns_2015_25[[#This Row],[IRSrtn]]-AVERAGE($B$2:$B$2600)</f>
        <v>0.20018635448979111</v>
      </c>
      <c r="D1944" s="1">
        <f>w+a*C1943^2+b*D1943</f>
        <v>13.159725488524403</v>
      </c>
      <c r="E1944" s="1">
        <f t="shared" si="30"/>
        <v>-2.209041688331816</v>
      </c>
      <c r="F1944" s="7">
        <f>SQRT(IRS_returns_2015_25[[#This Row],[  σ2]])</f>
        <v>3.6276335934772139</v>
      </c>
    </row>
    <row r="1945" spans="1:6" x14ac:dyDescent="0.3">
      <c r="A1945" s="2">
        <v>44910</v>
      </c>
      <c r="B1945" s="1">
        <v>-1.2422446701810363</v>
      </c>
      <c r="C1945" s="1">
        <f>IRS_returns_2015_25[[#This Row],[IRSrtn]]-AVERAGE($B$2:$B$2600)</f>
        <v>-1.2480211642476522</v>
      </c>
      <c r="D1945" s="1">
        <f>w+a*C1944^2+b*D1944</f>
        <v>10.115677816584096</v>
      </c>
      <c r="E1945" s="1">
        <f t="shared" si="30"/>
        <v>-2.1529690423053656</v>
      </c>
      <c r="F1945" s="7">
        <f>SQRT(IRS_returns_2015_25[[#This Row],[  σ2]])</f>
        <v>3.1805153382092182</v>
      </c>
    </row>
    <row r="1946" spans="1:6" x14ac:dyDescent="0.3">
      <c r="A1946" s="2">
        <v>44911</v>
      </c>
      <c r="B1946" s="1">
        <v>3.0771533069065882</v>
      </c>
      <c r="C1946" s="1">
        <f>IRS_returns_2015_25[[#This Row],[IRSrtn]]-AVERAGE($B$2:$B$2600)</f>
        <v>3.0713768128399725</v>
      </c>
      <c r="D1946" s="1">
        <f>w+a*C1945^2+b*D1945</f>
        <v>8.4589386044895676</v>
      </c>
      <c r="E1946" s="1">
        <f t="shared" si="30"/>
        <v>-2.5441472645764378</v>
      </c>
      <c r="F1946" s="7">
        <f>SQRT(IRS_returns_2015_25[[#This Row],[  σ2]])</f>
        <v>2.9084254510799425</v>
      </c>
    </row>
    <row r="1947" spans="1:6" x14ac:dyDescent="0.3">
      <c r="A1947" s="2">
        <v>44914</v>
      </c>
      <c r="B1947" s="1">
        <v>-0.81134414172030489</v>
      </c>
      <c r="C1947" s="1">
        <f>IRS_returns_2015_25[[#This Row],[IRSrtn]]-AVERAGE($B$2:$B$2600)</f>
        <v>-0.81712063578692073</v>
      </c>
      <c r="D1947" s="1">
        <f>w+a*C1946^2+b*D1946</f>
        <v>9.2749561533748253</v>
      </c>
      <c r="E1947" s="1">
        <f t="shared" si="30"/>
        <v>-2.0685915055448802</v>
      </c>
      <c r="F1947" s="7">
        <f>SQRT(IRS_returns_2015_25[[#This Row],[  σ2]])</f>
        <v>3.0454812679402292</v>
      </c>
    </row>
    <row r="1948" spans="1:6" x14ac:dyDescent="0.3">
      <c r="A1948" s="2">
        <v>44915</v>
      </c>
      <c r="B1948" s="1">
        <v>0.81134414172030489</v>
      </c>
      <c r="C1948" s="1">
        <f>IRS_returns_2015_25[[#This Row],[IRSrtn]]-AVERAGE($B$2:$B$2600)</f>
        <v>0.80556764765368905</v>
      </c>
      <c r="D1948" s="1">
        <f>w+a*C1947^2+b*D1947</f>
        <v>7.6824393534751652</v>
      </c>
      <c r="E1948" s="1">
        <f t="shared" si="30"/>
        <v>-1.9806423268221605</v>
      </c>
      <c r="F1948" s="7">
        <f>SQRT(IRS_returns_2015_25[[#This Row],[  σ2]])</f>
        <v>2.7717213701011083</v>
      </c>
    </row>
    <row r="1949" spans="1:6" x14ac:dyDescent="0.3">
      <c r="A1949" s="2">
        <v>44916</v>
      </c>
      <c r="B1949" s="1">
        <v>-3.9139695194894131</v>
      </c>
      <c r="C1949" s="1">
        <f>IRS_returns_2015_25[[#This Row],[IRSrtn]]-AVERAGE($B$2:$B$2600)</f>
        <v>-3.9197460135560287</v>
      </c>
      <c r="D1949" s="1">
        <f>w+a*C1948^2+b*D1948</f>
        <v>6.6177066260540265</v>
      </c>
      <c r="E1949" s="1">
        <f t="shared" si="30"/>
        <v>-3.0246689669168436</v>
      </c>
      <c r="F1949" s="7">
        <f>SQRT(IRS_returns_2015_25[[#This Row],[  σ2]])</f>
        <v>2.572490354900097</v>
      </c>
    </row>
    <row r="1950" spans="1:6" x14ac:dyDescent="0.3">
      <c r="A1950" s="2">
        <v>44917</v>
      </c>
      <c r="B1950" s="1">
        <v>1.0449222830983596</v>
      </c>
      <c r="C1950" s="1">
        <f>IRS_returns_2015_25[[#This Row],[IRSrtn]]-AVERAGE($B$2:$B$2600)</f>
        <v>1.0391457890317437</v>
      </c>
      <c r="D1950" s="1">
        <f>w+a*C1949^2+b*D1949</f>
        <v>9.4943170134039043</v>
      </c>
      <c r="E1950" s="1">
        <f t="shared" si="30"/>
        <v>-2.1011520972960294</v>
      </c>
      <c r="F1950" s="7">
        <f>SQRT(IRS_returns_2015_25[[#This Row],[  σ2]])</f>
        <v>3.0812849614087794</v>
      </c>
    </row>
    <row r="1951" spans="1:6" x14ac:dyDescent="0.3">
      <c r="A1951" s="2">
        <v>44918</v>
      </c>
      <c r="B1951" s="1">
        <v>2.0577030946707486</v>
      </c>
      <c r="C1951" s="1">
        <f>IRS_returns_2015_25[[#This Row],[IRSrtn]]-AVERAGE($B$2:$B$2600)</f>
        <v>2.051926600604133</v>
      </c>
      <c r="D1951" s="1">
        <f>w+a*C1950^2+b*D1950</f>
        <v>7.9288888330296885</v>
      </c>
      <c r="E1951" s="1">
        <f t="shared" si="30"/>
        <v>-2.2197052516533127</v>
      </c>
      <c r="F1951" s="7">
        <f>SQRT(IRS_returns_2015_25[[#This Row],[  σ2]])</f>
        <v>2.8158282676735968</v>
      </c>
    </row>
    <row r="1952" spans="1:6" x14ac:dyDescent="0.3">
      <c r="A1952" s="2">
        <v>44922</v>
      </c>
      <c r="B1952" s="1">
        <v>1.8163916310738548</v>
      </c>
      <c r="C1952" s="1">
        <f>IRS_returns_2015_25[[#This Row],[IRSrtn]]-AVERAGE($B$2:$B$2600)</f>
        <v>1.810615137007239</v>
      </c>
      <c r="D1952" s="1">
        <f>w+a*C1951^2+b*D1951</f>
        <v>7.6495219313538154</v>
      </c>
      <c r="E1952" s="1">
        <f t="shared" si="30"/>
        <v>-2.150543250906729</v>
      </c>
      <c r="F1952" s="7">
        <f>SQRT(IRS_returns_2015_25[[#This Row],[  σ2]])</f>
        <v>2.7657769127957184</v>
      </c>
    </row>
    <row r="1953" spans="1:6" x14ac:dyDescent="0.3">
      <c r="A1953" s="2">
        <v>44923</v>
      </c>
      <c r="B1953" s="1">
        <v>-2.0202659034808113</v>
      </c>
      <c r="C1953" s="1">
        <f>IRS_returns_2015_25[[#This Row],[IRSrtn]]-AVERAGE($B$2:$B$2600)</f>
        <v>-2.0260423975474269</v>
      </c>
      <c r="D1953" s="1">
        <f>w+a*C1952^2+b*D1952</f>
        <v>7.236442711383078</v>
      </c>
      <c r="E1953" s="1">
        <f t="shared" si="30"/>
        <v>-2.1921267257576065</v>
      </c>
      <c r="F1953" s="7">
        <f>SQRT(IRS_returns_2015_25[[#This Row],[  σ2]])</f>
        <v>2.6900637002463488</v>
      </c>
    </row>
    <row r="1954" spans="1:6" x14ac:dyDescent="0.3">
      <c r="A1954" s="2">
        <v>44924</v>
      </c>
      <c r="B1954" s="1">
        <v>-1.0256530711546974</v>
      </c>
      <c r="C1954" s="1">
        <f>IRS_returns_2015_25[[#This Row],[IRSrtn]]-AVERAGE($B$2:$B$2600)</f>
        <v>-1.0314295652213132</v>
      </c>
      <c r="D1954" s="1">
        <f>w+a*C1953^2+b*D1953</f>
        <v>7.1628305292133962</v>
      </c>
      <c r="E1954" s="1">
        <f t="shared" si="30"/>
        <v>-1.9776527777729649</v>
      </c>
      <c r="F1954" s="7">
        <f>SQRT(IRS_returns_2015_25[[#This Row],[  σ2]])</f>
        <v>2.6763464890057485</v>
      </c>
    </row>
    <row r="1955" spans="1:6" x14ac:dyDescent="0.3">
      <c r="A1955" s="2">
        <v>44925</v>
      </c>
      <c r="B1955" s="1">
        <v>-1.4538202281655588</v>
      </c>
      <c r="C1955" s="1">
        <f>IRS_returns_2015_25[[#This Row],[IRSrtn]]-AVERAGE($B$2:$B$2600)</f>
        <v>-1.4595967222321746</v>
      </c>
      <c r="D1955" s="1">
        <f>w+a*C1954^2+b*D1954</f>
        <v>6.3728865156944021</v>
      </c>
      <c r="E1955" s="1">
        <f t="shared" si="30"/>
        <v>-2.0121121695948219</v>
      </c>
      <c r="F1955" s="7">
        <f>SQRT(IRS_returns_2015_25[[#This Row],[  σ2]])</f>
        <v>2.524457667637626</v>
      </c>
    </row>
    <row r="1956" spans="1:6" x14ac:dyDescent="0.3">
      <c r="A1956" s="2">
        <v>44929</v>
      </c>
      <c r="B1956" s="1">
        <v>0.62564447705646398</v>
      </c>
      <c r="C1956" s="1">
        <f>IRS_returns_2015_25[[#This Row],[IRSrtn]]-AVERAGE($B$2:$B$2600)</f>
        <v>0.61986798298984813</v>
      </c>
      <c r="D1956" s="1">
        <f>w+a*C1955^2+b*D1955</f>
        <v>6.1068784922088017</v>
      </c>
      <c r="E1956" s="1">
        <f t="shared" si="30"/>
        <v>-1.8551057178196393</v>
      </c>
      <c r="F1956" s="7">
        <f>SQRT(IRS_returns_2015_25[[#This Row],[  σ2]])</f>
        <v>2.4712099247552404</v>
      </c>
    </row>
    <row r="1957" spans="1:6" x14ac:dyDescent="0.3">
      <c r="A1957" s="2">
        <v>44930</v>
      </c>
      <c r="B1957" s="1">
        <v>3.6739046306805578</v>
      </c>
      <c r="C1957" s="1">
        <f>IRS_returns_2015_25[[#This Row],[IRSrtn]]-AVERAGE($B$2:$B$2600)</f>
        <v>3.6681281366139422</v>
      </c>
      <c r="D1957" s="1">
        <f>w+a*C1956^2+b*D1956</f>
        <v>5.5043346229440839</v>
      </c>
      <c r="E1957" s="1">
        <f t="shared" si="30"/>
        <v>-2.9939399520400345</v>
      </c>
      <c r="F1957" s="7">
        <f>SQRT(IRS_returns_2015_25[[#This Row],[  σ2]])</f>
        <v>2.3461318426175635</v>
      </c>
    </row>
    <row r="1958" spans="1:6" x14ac:dyDescent="0.3">
      <c r="A1958" s="2">
        <v>44931</v>
      </c>
      <c r="B1958" s="1">
        <v>4.6975090583440071</v>
      </c>
      <c r="C1958" s="1">
        <f>IRS_returns_2015_25[[#This Row],[IRSrtn]]-AVERAGE($B$2:$B$2600)</f>
        <v>4.691732564277391</v>
      </c>
      <c r="D1958" s="1">
        <f>w+a*C1957^2+b*D1957</f>
        <v>8.2879396126356148</v>
      </c>
      <c r="E1958" s="1">
        <f t="shared" si="30"/>
        <v>-3.3043143077288009</v>
      </c>
      <c r="F1958" s="7">
        <f>SQRT(IRS_returns_2015_25[[#This Row],[  σ2]])</f>
        <v>2.8788781864878574</v>
      </c>
    </row>
    <row r="1959" spans="1:6" x14ac:dyDescent="0.3">
      <c r="A1959" s="2">
        <v>44932</v>
      </c>
      <c r="B1959" s="1">
        <v>3.7528171303047086</v>
      </c>
      <c r="C1959" s="1">
        <f>IRS_returns_2015_25[[#This Row],[IRSrtn]]-AVERAGE($B$2:$B$2600)</f>
        <v>3.747040636238093</v>
      </c>
      <c r="D1959" s="1">
        <f>w+a*C1958^2+b*D1958</f>
        <v>12.225989446523361</v>
      </c>
      <c r="E1959" s="1">
        <f t="shared" si="30"/>
        <v>-2.7449199959464288</v>
      </c>
      <c r="F1959" s="7">
        <f>SQRT(IRS_returns_2015_25[[#This Row],[  σ2]])</f>
        <v>3.4965682385052004</v>
      </c>
    </row>
    <row r="1960" spans="1:6" x14ac:dyDescent="0.3">
      <c r="A1960" s="2">
        <v>44935</v>
      </c>
      <c r="B1960" s="1">
        <v>2.545579910375495</v>
      </c>
      <c r="C1960" s="1">
        <f>IRS_returns_2015_25[[#This Row],[IRSrtn]]-AVERAGE($B$2:$B$2600)</f>
        <v>2.5398034163088794</v>
      </c>
      <c r="D1960" s="1">
        <f>w+a*C1959^2+b*D1959</f>
        <v>12.905229110972268</v>
      </c>
      <c r="E1960" s="1">
        <f t="shared" si="30"/>
        <v>-2.4476768286232424</v>
      </c>
      <c r="F1960" s="7">
        <f>SQRT(IRS_returns_2015_25[[#This Row],[  σ2]])</f>
        <v>3.5923848779010674</v>
      </c>
    </row>
    <row r="1961" spans="1:6" x14ac:dyDescent="0.3">
      <c r="A1961" s="2">
        <v>44936</v>
      </c>
      <c r="B1961" s="1">
        <v>1.0714324599477631</v>
      </c>
      <c r="C1961" s="1">
        <f>IRS_returns_2015_25[[#This Row],[IRSrtn]]-AVERAGE($B$2:$B$2600)</f>
        <v>1.0656559658811473</v>
      </c>
      <c r="D1961" s="1">
        <f>w+a*C1960^2+b*D1960</f>
        <v>11.508178701094334</v>
      </c>
      <c r="E1961" s="1">
        <f t="shared" si="30"/>
        <v>-2.189807327441827</v>
      </c>
      <c r="F1961" s="7">
        <f>SQRT(IRS_returns_2015_25[[#This Row],[  σ2]])</f>
        <v>3.392370660923469</v>
      </c>
    </row>
    <row r="1962" spans="1:6" x14ac:dyDescent="0.3">
      <c r="A1962" s="2">
        <v>44937</v>
      </c>
      <c r="B1962" s="1">
        <v>0.35461138250305613</v>
      </c>
      <c r="C1962" s="1">
        <f>IRS_returns_2015_25[[#This Row],[IRSrtn]]-AVERAGE($B$2:$B$2600)</f>
        <v>0.34883488843644034</v>
      </c>
      <c r="D1962" s="1">
        <f>w+a*C1961^2+b*D1961</f>
        <v>9.28314554909797</v>
      </c>
      <c r="E1962" s="1">
        <f t="shared" si="30"/>
        <v>-2.0395928821889475</v>
      </c>
      <c r="F1962" s="7">
        <f>SQRT(IRS_returns_2015_25[[#This Row],[  σ2]])</f>
        <v>3.0468254871419811</v>
      </c>
    </row>
    <row r="1963" spans="1:6" x14ac:dyDescent="0.3">
      <c r="A1963" s="2">
        <v>44938</v>
      </c>
      <c r="B1963" s="1">
        <v>1.2313297501573617</v>
      </c>
      <c r="C1963" s="1">
        <f>IRS_returns_2015_25[[#This Row],[IRSrtn]]-AVERAGE($B$2:$B$2600)</f>
        <v>1.2255532560907458</v>
      </c>
      <c r="D1963" s="1">
        <f>w+a*C1962^2+b*D1962</f>
        <v>7.5548583110806726</v>
      </c>
      <c r="E1963" s="1">
        <f t="shared" si="30"/>
        <v>-2.029438914285389</v>
      </c>
      <c r="F1963" s="7">
        <f>SQRT(IRS_returns_2015_25[[#This Row],[  σ2]])</f>
        <v>2.7486102508505406</v>
      </c>
    </row>
    <row r="1964" spans="1:6" x14ac:dyDescent="0.3">
      <c r="A1964" s="2">
        <v>44939</v>
      </c>
      <c r="B1964" s="1">
        <v>2.0761961187375721</v>
      </c>
      <c r="C1964" s="1">
        <f>IRS_returns_2015_25[[#This Row],[IRSrtn]]-AVERAGE($B$2:$B$2600)</f>
        <v>2.0704196246709565</v>
      </c>
      <c r="D1964" s="1">
        <f>w+a*C1963^2+b*D1963</f>
        <v>6.7406171698724933</v>
      </c>
      <c r="E1964" s="1">
        <f t="shared" si="30"/>
        <v>-2.1909849704424822</v>
      </c>
      <c r="F1964" s="7">
        <f>SQRT(IRS_returns_2015_25[[#This Row],[  σ2]])</f>
        <v>2.5962698569048044</v>
      </c>
    </row>
    <row r="1965" spans="1:6" x14ac:dyDescent="0.3">
      <c r="A1965" s="2">
        <v>44943</v>
      </c>
      <c r="B1965" s="1">
        <v>5.9818498180938207</v>
      </c>
      <c r="C1965" s="1">
        <f>IRS_returns_2015_25[[#This Row],[IRSrtn]]-AVERAGE($B$2:$B$2600)</f>
        <v>5.9760733240272046</v>
      </c>
      <c r="D1965" s="1">
        <f>w+a*C1964^2+b*D1964</f>
        <v>6.8770441795670383</v>
      </c>
      <c r="E1965" s="1">
        <f t="shared" si="30"/>
        <v>-4.4796029396679309</v>
      </c>
      <c r="F1965" s="7">
        <f>SQRT(IRS_returns_2015_25[[#This Row],[  σ2]])</f>
        <v>2.6224119012022191</v>
      </c>
    </row>
    <row r="1966" spans="1:6" x14ac:dyDescent="0.3">
      <c r="A1966" s="2">
        <v>44944</v>
      </c>
      <c r="B1966" s="1">
        <v>-7.883372878367334</v>
      </c>
      <c r="C1966" s="1">
        <f>IRS_returns_2015_25[[#This Row],[IRSrtn]]-AVERAGE($B$2:$B$2600)</f>
        <v>-7.8891493724339501</v>
      </c>
      <c r="D1966" s="1">
        <f>w+a*C1965^2+b*D1965</f>
        <v>14.625002115686762</v>
      </c>
      <c r="E1966" s="1">
        <f t="shared" si="30"/>
        <v>-4.3881225394275631</v>
      </c>
      <c r="F1966" s="7">
        <f>SQRT(IRS_returns_2015_25[[#This Row],[  σ2]])</f>
        <v>3.8242649118081191</v>
      </c>
    </row>
    <row r="1967" spans="1:6" x14ac:dyDescent="0.3">
      <c r="A1967" s="2">
        <v>44945</v>
      </c>
      <c r="B1967" s="1">
        <v>-1.2291675649002798</v>
      </c>
      <c r="C1967" s="1">
        <f>IRS_returns_2015_25[[#This Row],[IRSrtn]]-AVERAGE($B$2:$B$2600)</f>
        <v>-1.2349440589668956</v>
      </c>
      <c r="D1967" s="1">
        <f>w+a*C1966^2+b*D1966</f>
        <v>26.24581225397587</v>
      </c>
      <c r="E1967" s="1">
        <f t="shared" si="30"/>
        <v>-2.5817456627606528</v>
      </c>
      <c r="F1967" s="7">
        <f>SQRT(IRS_returns_2015_25[[#This Row],[  σ2]])</f>
        <v>5.1230666845138639</v>
      </c>
    </row>
    <row r="1968" spans="1:6" x14ac:dyDescent="0.3">
      <c r="A1968" s="2">
        <v>44946</v>
      </c>
      <c r="B1968" s="1">
        <v>1.9248246259192525</v>
      </c>
      <c r="C1968" s="1">
        <f>IRS_returns_2015_25[[#This Row],[IRSrtn]]-AVERAGE($B$2:$B$2600)</f>
        <v>1.9190481318526367</v>
      </c>
      <c r="D1968" s="1">
        <f>w+a*C1967^2+b*D1967</f>
        <v>19.189127380195796</v>
      </c>
      <c r="E1968" s="1">
        <f t="shared" si="30"/>
        <v>-2.4920696281435597</v>
      </c>
      <c r="F1968" s="7">
        <f>SQRT(IRS_returns_2015_25[[#This Row],[  σ2]])</f>
        <v>4.380539622032404</v>
      </c>
    </row>
    <row r="1969" spans="1:6" x14ac:dyDescent="0.3">
      <c r="A1969" s="2">
        <v>44949</v>
      </c>
      <c r="B1969" s="1">
        <v>0.17315142968483688</v>
      </c>
      <c r="C1969" s="1">
        <f>IRS_returns_2015_25[[#This Row],[IRSrtn]]-AVERAGE($B$2:$B$2600)</f>
        <v>0.16737493561822109</v>
      </c>
      <c r="D1969" s="1">
        <f>w+a*C1968^2+b*D1968</f>
        <v>15.017087411968966</v>
      </c>
      <c r="E1969" s="1">
        <f t="shared" si="30"/>
        <v>-2.2744656397295713</v>
      </c>
      <c r="F1969" s="7">
        <f>SQRT(IRS_returns_2015_25[[#This Row],[  σ2]])</f>
        <v>3.8751886937243412</v>
      </c>
    </row>
    <row r="1970" spans="1:6" x14ac:dyDescent="0.3">
      <c r="A1970" s="2">
        <v>44950</v>
      </c>
      <c r="B1970" s="1">
        <v>-0.6944400070804102</v>
      </c>
      <c r="C1970" s="1">
        <f>IRS_returns_2015_25[[#This Row],[IRSrtn]]-AVERAGE($B$2:$B$2600)</f>
        <v>-0.70021650114702605</v>
      </c>
      <c r="D1970" s="1">
        <f>w+a*C1969^2+b*D1969</f>
        <v>11.349216224954688</v>
      </c>
      <c r="E1970" s="1">
        <f t="shared" si="30"/>
        <v>-2.1551136257246206</v>
      </c>
      <c r="F1970" s="7">
        <f>SQRT(IRS_returns_2015_25[[#This Row],[  σ2]])</f>
        <v>3.3688597811358503</v>
      </c>
    </row>
    <row r="1971" spans="1:6" x14ac:dyDescent="0.3">
      <c r="A1971" s="2">
        <v>44951</v>
      </c>
      <c r="B1971" s="1">
        <v>7.0617509731636163</v>
      </c>
      <c r="C1971" s="1">
        <f>IRS_returns_2015_25[[#This Row],[IRSrtn]]-AVERAGE($B$2:$B$2600)</f>
        <v>7.0559744790970003</v>
      </c>
      <c r="D1971" s="1">
        <f>w+a*C1970^2+b*D1970</f>
        <v>9.0200896276412283</v>
      </c>
      <c r="E1971" s="1">
        <f t="shared" si="30"/>
        <v>-4.7784373506417008</v>
      </c>
      <c r="F1971" s="7">
        <f>SQRT(IRS_returns_2015_25[[#This Row],[  σ2]])</f>
        <v>3.00334640486928</v>
      </c>
    </row>
    <row r="1972" spans="1:6" x14ac:dyDescent="0.3">
      <c r="A1972" s="2">
        <v>44952</v>
      </c>
      <c r="B1972" s="1">
        <v>3.0378126770974179</v>
      </c>
      <c r="C1972" s="1">
        <f>IRS_returns_2015_25[[#This Row],[IRSrtn]]-AVERAGE($B$2:$B$2600)</f>
        <v>3.0320361830308022</v>
      </c>
      <c r="D1972" s="1">
        <f>w+a*C1971^2+b*D1971</f>
        <v>19.480625298248896</v>
      </c>
      <c r="E1972" s="1">
        <f t="shared" si="30"/>
        <v>-2.6396073644058524</v>
      </c>
      <c r="F1972" s="7">
        <f>SQRT(IRS_returns_2015_25[[#This Row],[  σ2]])</f>
        <v>4.4136861349952037</v>
      </c>
    </row>
    <row r="1973" spans="1:6" x14ac:dyDescent="0.3">
      <c r="A1973" s="2">
        <v>44953</v>
      </c>
      <c r="B1973" s="1">
        <v>1.872126747006142</v>
      </c>
      <c r="C1973" s="1">
        <f>IRS_returns_2015_25[[#This Row],[IRSrtn]]-AVERAGE($B$2:$B$2600)</f>
        <v>1.8663502529395262</v>
      </c>
      <c r="D1973" s="1">
        <f>w+a*C1972^2+b*D1972</f>
        <v>16.553773934042901</v>
      </c>
      <c r="E1973" s="1">
        <f t="shared" si="30"/>
        <v>-2.4274561356305888</v>
      </c>
      <c r="F1973" s="7">
        <f>SQRT(IRS_returns_2015_25[[#This Row],[  σ2]])</f>
        <v>4.0686329318387644</v>
      </c>
    </row>
    <row r="1974" spans="1:6" x14ac:dyDescent="0.3">
      <c r="A1974" s="2">
        <v>44956</v>
      </c>
      <c r="B1974" s="1">
        <v>-2.8215123416503562</v>
      </c>
      <c r="C1974" s="1">
        <f>IRS_returns_2015_25[[#This Row],[IRSrtn]]-AVERAGE($B$2:$B$2600)</f>
        <v>-2.8272888357169719</v>
      </c>
      <c r="D1974" s="1">
        <f>w+a*C1973^2+b*D1973</f>
        <v>13.214084720708799</v>
      </c>
      <c r="E1974" s="1">
        <f t="shared" si="30"/>
        <v>-2.5120438850655562</v>
      </c>
      <c r="F1974" s="7">
        <f>SQRT(IRS_returns_2015_25[[#This Row],[  σ2]])</f>
        <v>3.6351182540199156</v>
      </c>
    </row>
    <row r="1975" spans="1:6" x14ac:dyDescent="0.3">
      <c r="A1975" s="2">
        <v>44957</v>
      </c>
      <c r="B1975" s="1">
        <v>1.2638437520654522</v>
      </c>
      <c r="C1975" s="1">
        <f>IRS_returns_2015_25[[#This Row],[IRSrtn]]-AVERAGE($B$2:$B$2600)</f>
        <v>1.2580672579988363</v>
      </c>
      <c r="D1975" s="1">
        <f>w+a*C1974^2+b*D1974</f>
        <v>12.089731076589374</v>
      </c>
      <c r="E1975" s="1">
        <f t="shared" si="30"/>
        <v>-2.2305744951909232</v>
      </c>
      <c r="F1975" s="7">
        <f>SQRT(IRS_returns_2015_25[[#This Row],[  σ2]])</f>
        <v>3.4770290589221964</v>
      </c>
    </row>
    <row r="1976" spans="1:6" x14ac:dyDescent="0.3">
      <c r="A1976" s="2">
        <v>44958</v>
      </c>
      <c r="B1976" s="1">
        <v>5.4975676831892084</v>
      </c>
      <c r="C1976" s="1">
        <f>IRS_returns_2015_25[[#This Row],[IRSrtn]]-AVERAGE($B$2:$B$2600)</f>
        <v>5.4917911891225923</v>
      </c>
      <c r="D1976" s="1">
        <f>w+a*C1975^2+b*D1975</f>
        <v>9.7792330765175741</v>
      </c>
      <c r="E1976" s="1">
        <f t="shared" si="30"/>
        <v>-3.6011005426959448</v>
      </c>
      <c r="F1976" s="7">
        <f>SQRT(IRS_returns_2015_25[[#This Row],[  σ2]])</f>
        <v>3.1271765342745801</v>
      </c>
    </row>
    <row r="1977" spans="1:6" x14ac:dyDescent="0.3">
      <c r="A1977" s="2">
        <v>44959</v>
      </c>
      <c r="B1977" s="1">
        <v>5.3519571410798106</v>
      </c>
      <c r="C1977" s="1">
        <f>IRS_returns_2015_25[[#This Row],[IRSrtn]]-AVERAGE($B$2:$B$2600)</f>
        <v>5.3461806470131945</v>
      </c>
      <c r="D1977" s="1">
        <f>w+a*C1976^2+b*D1976</f>
        <v>15.203884456708286</v>
      </c>
      <c r="E1977" s="1">
        <f t="shared" si="30"/>
        <v>-3.2196595732899023</v>
      </c>
      <c r="F1977" s="7">
        <f>SQRT(IRS_returns_2015_25[[#This Row],[  σ2]])</f>
        <v>3.8992158771614949</v>
      </c>
    </row>
    <row r="1978" spans="1:6" x14ac:dyDescent="0.3">
      <c r="A1978" s="2">
        <v>44960</v>
      </c>
      <c r="B1978" s="1">
        <v>-8.8292562871859168</v>
      </c>
      <c r="C1978" s="1">
        <f>IRS_returns_2015_25[[#This Row],[IRSrtn]]-AVERAGE($B$2:$B$2600)</f>
        <v>-8.8350327812525329</v>
      </c>
      <c r="D1978" s="1">
        <f>w+a*C1977^2+b*D1977</f>
        <v>18.430656251546072</v>
      </c>
      <c r="E1978" s="1">
        <f t="shared" si="30"/>
        <v>-4.4935540598169741</v>
      </c>
      <c r="F1978" s="7">
        <f>SQRT(IRS_returns_2015_25[[#This Row],[  σ2]])</f>
        <v>4.2930940184843465</v>
      </c>
    </row>
    <row r="1979" spans="1:6" x14ac:dyDescent="0.3">
      <c r="A1979" s="2">
        <v>44963</v>
      </c>
      <c r="B1979" s="1">
        <v>-3.6025763018744383</v>
      </c>
      <c r="C1979" s="1">
        <f>IRS_returns_2015_25[[#This Row],[IRSrtn]]-AVERAGE($B$2:$B$2600)</f>
        <v>-3.608352795941054</v>
      </c>
      <c r="D1979" s="1">
        <f>w+a*C1978^2+b*D1978</f>
        <v>32.633626312695242</v>
      </c>
      <c r="E1979" s="1">
        <f t="shared" si="30"/>
        <v>-2.861100852372862</v>
      </c>
      <c r="F1979" s="7">
        <f>SQRT(IRS_returns_2015_25[[#This Row],[  σ2]])</f>
        <v>5.7125849063882841</v>
      </c>
    </row>
    <row r="1980" spans="1:6" x14ac:dyDescent="0.3">
      <c r="A1980" s="2">
        <v>44964</v>
      </c>
      <c r="B1980" s="1">
        <v>0.79427921816879188</v>
      </c>
      <c r="C1980" s="1">
        <f>IRS_returns_2015_25[[#This Row],[IRSrtn]]-AVERAGE($B$2:$B$2600)</f>
        <v>0.78850272410217603</v>
      </c>
      <c r="D1980" s="1">
        <f>w+a*C1979^2+b*D1979</f>
        <v>26.242386038747387</v>
      </c>
      <c r="E1980" s="1">
        <f t="shared" si="30"/>
        <v>-2.5644725157376933</v>
      </c>
      <c r="F1980" s="7">
        <f>SQRT(IRS_returns_2015_25[[#This Row],[  σ2]])</f>
        <v>5.1227322825565835</v>
      </c>
    </row>
    <row r="1981" spans="1:6" x14ac:dyDescent="0.3">
      <c r="A1981" s="2">
        <v>44965</v>
      </c>
      <c r="B1981" s="1">
        <v>-2.4020270409097932</v>
      </c>
      <c r="C1981" s="1">
        <f>IRS_returns_2015_25[[#This Row],[IRSrtn]]-AVERAGE($B$2:$B$2600)</f>
        <v>-2.4078035349764089</v>
      </c>
      <c r="D1981" s="1">
        <f>w+a*C1980^2+b*D1980</f>
        <v>18.966745403934503</v>
      </c>
      <c r="E1981" s="1">
        <f t="shared" si="30"/>
        <v>-2.5431158907036657</v>
      </c>
      <c r="F1981" s="7">
        <f>SQRT(IRS_returns_2015_25[[#This Row],[  σ2]])</f>
        <v>4.3550827091956021</v>
      </c>
    </row>
    <row r="1982" spans="1:6" x14ac:dyDescent="0.3">
      <c r="A1982" s="2">
        <v>44966</v>
      </c>
      <c r="B1982" s="1">
        <v>-6.3566647928041897</v>
      </c>
      <c r="C1982" s="1">
        <f>IRS_returns_2015_25[[#This Row],[IRSrtn]]-AVERAGE($B$2:$B$2600)</f>
        <v>-6.3624412868708058</v>
      </c>
      <c r="D1982" s="1">
        <f>w+a*C1981^2+b*D1981</f>
        <v>15.384307754230694</v>
      </c>
      <c r="E1982" s="1">
        <f t="shared" si="30"/>
        <v>-3.601260269008113</v>
      </c>
      <c r="F1982" s="7">
        <f>SQRT(IRS_returns_2015_25[[#This Row],[  σ2]])</f>
        <v>3.9222834872342784</v>
      </c>
    </row>
    <row r="1983" spans="1:6" x14ac:dyDescent="0.3">
      <c r="A1983" s="2">
        <v>44967</v>
      </c>
      <c r="B1983" s="1">
        <v>6.0319707333667649</v>
      </c>
      <c r="C1983" s="1">
        <f>IRS_returns_2015_25[[#This Row],[IRSrtn]]-AVERAGE($B$2:$B$2600)</f>
        <v>6.0261942393001489</v>
      </c>
      <c r="D1983" s="1">
        <f>w+a*C1982^2+b*D1982</f>
        <v>21.449958485363275</v>
      </c>
      <c r="E1983" s="1">
        <f t="shared" si="30"/>
        <v>-3.2983054195242412</v>
      </c>
      <c r="F1983" s="7">
        <f>SQRT(IRS_returns_2015_25[[#This Row],[  σ2]])</f>
        <v>4.6314099889086986</v>
      </c>
    </row>
    <row r="1984" spans="1:6" x14ac:dyDescent="0.3">
      <c r="A1984" s="2">
        <v>44970</v>
      </c>
      <c r="B1984" s="1">
        <v>4.9177303781627435</v>
      </c>
      <c r="C1984" s="1">
        <f>IRS_returns_2015_25[[#This Row],[IRSrtn]]-AVERAGE($B$2:$B$2600)</f>
        <v>4.9119538840961274</v>
      </c>
      <c r="D1984" s="1">
        <f>w+a*C1983^2+b*D1983</f>
        <v>24.473005815239826</v>
      </c>
      <c r="E1984" s="1">
        <f t="shared" si="30"/>
        <v>-3.0106606990705593</v>
      </c>
      <c r="F1984" s="7">
        <f>SQRT(IRS_returns_2015_25[[#This Row],[  σ2]])</f>
        <v>4.9470198923432509</v>
      </c>
    </row>
    <row r="1985" spans="1:6" x14ac:dyDescent="0.3">
      <c r="A1985" s="2">
        <v>44971</v>
      </c>
      <c r="B1985" s="1">
        <v>5.8619352827632643</v>
      </c>
      <c r="C1985" s="1">
        <f>IRS_returns_2015_25[[#This Row],[IRSrtn]]-AVERAGE($B$2:$B$2600)</f>
        <v>5.8561587886966482</v>
      </c>
      <c r="D1985" s="1">
        <f>w+a*C1984^2+b*D1984</f>
        <v>23.515962314152521</v>
      </c>
      <c r="E1985" s="1">
        <f t="shared" si="30"/>
        <v>-3.2269552108112696</v>
      </c>
      <c r="F1985" s="7">
        <f>SQRT(IRS_returns_2015_25[[#This Row],[  σ2]])</f>
        <v>4.8493259649308502</v>
      </c>
    </row>
    <row r="1986" spans="1:6" x14ac:dyDescent="0.3">
      <c r="A1986" s="2">
        <v>44972</v>
      </c>
      <c r="B1986" s="1">
        <v>-0.7325983529172797</v>
      </c>
      <c r="C1986" s="1">
        <f>IRS_returns_2015_25[[#This Row],[IRSrtn]]-AVERAGE($B$2:$B$2600)</f>
        <v>-0.73837484698389555</v>
      </c>
      <c r="D1986" s="1">
        <f>w+a*C1985^2+b*D1985</f>
        <v>25.356103923184527</v>
      </c>
      <c r="E1986" s="1">
        <f t="shared" ref="E1986:E2049" si="31">-0.5*(LN(2*PI())+LN(D1986)+C1986^2/D1986)</f>
        <v>-2.5461990887327333</v>
      </c>
      <c r="F1986" s="7">
        <f>SQRT(IRS_returns_2015_25[[#This Row],[  σ2]])</f>
        <v>5.0354844775040792</v>
      </c>
    </row>
    <row r="1987" spans="1:6" x14ac:dyDescent="0.3">
      <c r="A1987" s="2">
        <v>44973</v>
      </c>
      <c r="B1987" s="1">
        <v>1.0241368134503048</v>
      </c>
      <c r="C1987" s="1">
        <f>IRS_returns_2015_25[[#This Row],[IRSrtn]]-AVERAGE($B$2:$B$2600)</f>
        <v>1.018360319383689</v>
      </c>
      <c r="D1987" s="1">
        <f>w+a*C1986^2+b*D1986</f>
        <v>18.358083845253493</v>
      </c>
      <c r="E1987" s="1">
        <f t="shared" si="31"/>
        <v>-2.4022188012347576</v>
      </c>
      <c r="F1987" s="7">
        <f>SQRT(IRS_returns_2015_25[[#This Row],[  σ2]])</f>
        <v>4.2846334551806757</v>
      </c>
    </row>
    <row r="1988" spans="1:6" x14ac:dyDescent="0.3">
      <c r="A1988" s="2">
        <v>44974</v>
      </c>
      <c r="B1988" s="1">
        <v>-5.382457535360996</v>
      </c>
      <c r="C1988" s="1">
        <f>IRS_returns_2015_25[[#This Row],[IRSrtn]]-AVERAGE($B$2:$B$2600)</f>
        <v>-5.3882340294276121</v>
      </c>
      <c r="D1988" s="1">
        <f>w+a*C1987^2+b*D1987</f>
        <v>13.819226573754415</v>
      </c>
      <c r="E1988" s="1">
        <f t="shared" si="31"/>
        <v>-3.2824281078354969</v>
      </c>
      <c r="F1988" s="7">
        <f>SQRT(IRS_returns_2015_25[[#This Row],[  σ2]])</f>
        <v>3.7174220333121197</v>
      </c>
    </row>
    <row r="1989" spans="1:6" x14ac:dyDescent="0.3">
      <c r="A1989" s="2">
        <v>44978</v>
      </c>
      <c r="B1989" s="1">
        <v>-2.8039137077886522</v>
      </c>
      <c r="C1989" s="1">
        <f>IRS_returns_2015_25[[#This Row],[IRSrtn]]-AVERAGE($B$2:$B$2600)</f>
        <v>-2.8096902018552679</v>
      </c>
      <c r="D1989" s="1">
        <f>w+a*C1988^2+b*D1988</f>
        <v>17.61885435645663</v>
      </c>
      <c r="E1989" s="1">
        <f t="shared" si="31"/>
        <v>-2.5774548976653824</v>
      </c>
      <c r="F1989" s="7">
        <f>SQRT(IRS_returns_2015_25[[#This Row],[  σ2]])</f>
        <v>4.197481906626475</v>
      </c>
    </row>
    <row r="1990" spans="1:6" x14ac:dyDescent="0.3">
      <c r="A1990" s="2">
        <v>44979</v>
      </c>
      <c r="B1990" s="1">
        <v>1.5674181084946781</v>
      </c>
      <c r="C1990" s="1">
        <f>IRS_returns_2015_25[[#This Row],[IRSrtn]]-AVERAGE($B$2:$B$2600)</f>
        <v>1.5616416144280623</v>
      </c>
      <c r="D1990" s="1">
        <f>w+a*C1989^2+b*D1989</f>
        <v>14.997889021720059</v>
      </c>
      <c r="E1990" s="1">
        <f t="shared" si="31"/>
        <v>-2.3541955224120006</v>
      </c>
      <c r="F1990" s="7">
        <f>SQRT(IRS_returns_2015_25[[#This Row],[  σ2]])</f>
        <v>3.8727108104943828</v>
      </c>
    </row>
    <row r="1991" spans="1:6" x14ac:dyDescent="0.3">
      <c r="A1991" s="2">
        <v>44980</v>
      </c>
      <c r="B1991" s="1">
        <v>3.0630359282763253</v>
      </c>
      <c r="C1991" s="1">
        <f>IRS_returns_2015_25[[#This Row],[IRSrtn]]-AVERAGE($B$2:$B$2600)</f>
        <v>3.0572594342097097</v>
      </c>
      <c r="D1991" s="1">
        <f>w+a*C1990^2+b*D1990</f>
        <v>11.923804509398801</v>
      </c>
      <c r="E1991" s="1">
        <f t="shared" si="31"/>
        <v>-2.5501470649690199</v>
      </c>
      <c r="F1991" s="7">
        <f>SQRT(IRS_returns_2015_25[[#This Row],[  σ2]])</f>
        <v>3.4530862296500504</v>
      </c>
    </row>
    <row r="1992" spans="1:6" x14ac:dyDescent="0.3">
      <c r="A1992" s="2">
        <v>44981</v>
      </c>
      <c r="B1992" s="1">
        <v>-2.5975565369176445</v>
      </c>
      <c r="C1992" s="1">
        <f>IRS_returns_2015_25[[#This Row],[IRSrtn]]-AVERAGE($B$2:$B$2600)</f>
        <v>-2.6033330309842602</v>
      </c>
      <c r="D1992" s="1">
        <f>w+a*C1991^2+b*D1991</f>
        <v>11.560494649875174</v>
      </c>
      <c r="E1992" s="1">
        <f t="shared" si="31"/>
        <v>-2.4358604838965792</v>
      </c>
      <c r="F1992" s="7">
        <f>SQRT(IRS_returns_2015_25[[#This Row],[  σ2]])</f>
        <v>3.4000727418505585</v>
      </c>
    </row>
    <row r="1993" spans="1:6" x14ac:dyDescent="0.3">
      <c r="A1993" s="2">
        <v>44984</v>
      </c>
      <c r="B1993" s="1">
        <v>5.2762802733581582</v>
      </c>
      <c r="C1993" s="1">
        <f>IRS_returns_2015_25[[#This Row],[IRSrtn]]-AVERAGE($B$2:$B$2600)</f>
        <v>5.2705037792915421</v>
      </c>
      <c r="D1993" s="1">
        <f>w+a*C1992^2+b*D1992</f>
        <v>10.692576980604475</v>
      </c>
      <c r="E1993" s="1">
        <f t="shared" si="31"/>
        <v>-3.4026617464364808</v>
      </c>
      <c r="F1993" s="7">
        <f>SQRT(IRS_returns_2015_25[[#This Row],[  σ2]])</f>
        <v>3.2699506082820999</v>
      </c>
    </row>
    <row r="1994" spans="1:6" x14ac:dyDescent="0.3">
      <c r="A1994" s="2">
        <v>44985</v>
      </c>
      <c r="B1994" s="1">
        <v>-1.1816933213619318</v>
      </c>
      <c r="C1994" s="1">
        <f>IRS_returns_2015_25[[#This Row],[IRSrtn]]-AVERAGE($B$2:$B$2600)</f>
        <v>-1.1874698154285477</v>
      </c>
      <c r="D1994" s="1">
        <f>w+a*C1993^2+b*D1993</f>
        <v>15.231646123451148</v>
      </c>
      <c r="E1994" s="1">
        <f t="shared" si="31"/>
        <v>-2.3269141457310973</v>
      </c>
      <c r="F1994" s="7">
        <f>SQRT(IRS_returns_2015_25[[#This Row],[  σ2]])</f>
        <v>3.902774157372054</v>
      </c>
    </row>
    <row r="1995" spans="1:6" x14ac:dyDescent="0.3">
      <c r="A1995" s="2">
        <v>44986</v>
      </c>
      <c r="B1995" s="1">
        <v>-1.7991382218740082</v>
      </c>
      <c r="C1995" s="1">
        <f>IRS_returns_2015_25[[#This Row],[IRSrtn]]-AVERAGE($B$2:$B$2600)</f>
        <v>-1.804914715940624</v>
      </c>
      <c r="D1995" s="1">
        <f>w+a*C1994^2+b*D1994</f>
        <v>11.82879262821667</v>
      </c>
      <c r="E1995" s="1">
        <f t="shared" si="31"/>
        <v>-2.2919096987219088</v>
      </c>
      <c r="F1995" s="7">
        <f>SQRT(IRS_returns_2015_25[[#This Row],[  σ2]])</f>
        <v>3.439301183120878</v>
      </c>
    </row>
    <row r="1996" spans="1:6" x14ac:dyDescent="0.3">
      <c r="A1996" s="2">
        <v>44987</v>
      </c>
      <c r="B1996" s="1">
        <v>-3.2285759587353136</v>
      </c>
      <c r="C1996" s="1">
        <f>IRS_returns_2015_25[[#This Row],[IRSrtn]]-AVERAGE($B$2:$B$2600)</f>
        <v>-3.2343524528019292</v>
      </c>
      <c r="D1996" s="1">
        <f>w+a*C1995^2+b*D1995</f>
        <v>10.013631431687298</v>
      </c>
      <c r="E1996" s="1">
        <f t="shared" si="31"/>
        <v>-2.5932519527320692</v>
      </c>
      <c r="F1996" s="7">
        <f>SQRT(IRS_returns_2015_25[[#This Row],[  σ2]])</f>
        <v>3.1644322447616569</v>
      </c>
    </row>
    <row r="1997" spans="1:6" x14ac:dyDescent="0.3">
      <c r="A1997" s="2">
        <v>44988</v>
      </c>
      <c r="B1997" s="1">
        <v>2.3167128545529936</v>
      </c>
      <c r="C1997" s="1">
        <f>IRS_returns_2015_25[[#This Row],[IRSrtn]]-AVERAGE($B$2:$B$2600)</f>
        <v>2.310936360486378</v>
      </c>
      <c r="D1997" s="1">
        <f>w+a*C1996^2+b*D1996</f>
        <v>10.560335210830774</v>
      </c>
      <c r="E1997" s="1">
        <f t="shared" si="31"/>
        <v>-2.3503441377574221</v>
      </c>
      <c r="F1997" s="7">
        <f>SQRT(IRS_returns_2015_25[[#This Row],[  σ2]])</f>
        <v>3.2496669384462731</v>
      </c>
    </row>
    <row r="1998" spans="1:6" x14ac:dyDescent="0.3">
      <c r="A1998" s="2">
        <v>44992</v>
      </c>
      <c r="B1998" s="1">
        <v>-4.5284915546762061</v>
      </c>
      <c r="C1998" s="1">
        <f>IRS_returns_2015_25[[#This Row],[IRSrtn]]-AVERAGE($B$2:$B$2600)</f>
        <v>-4.5342680487428222</v>
      </c>
      <c r="D1998" s="1">
        <f>w+a*C1997^2+b*D1997</f>
        <v>9.6766498729819794</v>
      </c>
      <c r="E1998" s="1">
        <f t="shared" si="31"/>
        <v>-3.1161261940969629</v>
      </c>
      <c r="F1998" s="7">
        <f>SQRT(IRS_returns_2015_25[[#This Row],[  σ2]])</f>
        <v>3.1107314048278067</v>
      </c>
    </row>
    <row r="1999" spans="1:6" x14ac:dyDescent="0.3">
      <c r="A1999" s="2">
        <v>44994</v>
      </c>
      <c r="B1999" s="1">
        <v>-1.61034563697533</v>
      </c>
      <c r="C1999" s="1">
        <f>IRS_returns_2015_25[[#This Row],[IRSrtn]]-AVERAGE($B$2:$B$2600)</f>
        <v>-1.6161221310419458</v>
      </c>
      <c r="D1999" s="1">
        <f>w+a*C1998^2+b*D1998</f>
        <v>12.796510558539627</v>
      </c>
      <c r="E1999" s="1">
        <f t="shared" si="31"/>
        <v>-2.2955780344050316</v>
      </c>
      <c r="F1999" s="7">
        <f>SQRT(IRS_returns_2015_25[[#This Row],[  σ2]])</f>
        <v>3.5772210664899684</v>
      </c>
    </row>
    <row r="2000" spans="1:6" x14ac:dyDescent="0.3">
      <c r="A2000" s="2">
        <v>44995</v>
      </c>
      <c r="B2000" s="1">
        <v>-3.8052592356073722</v>
      </c>
      <c r="C2000" s="1">
        <f>IRS_returns_2015_25[[#This Row],[IRSrtn]]-AVERAGE($B$2:$B$2600)</f>
        <v>-3.8110357296739878</v>
      </c>
      <c r="D2000" s="1">
        <f>w+a*C1999^2+b*D1999</f>
        <v>10.500492235270388</v>
      </c>
      <c r="E2000" s="1">
        <f t="shared" si="31"/>
        <v>-2.786235909892941</v>
      </c>
      <c r="F2000" s="7">
        <f>SQRT(IRS_returns_2015_25[[#This Row],[  σ2]])</f>
        <v>3.2404463018649743</v>
      </c>
    </row>
    <row r="2001" spans="1:6" x14ac:dyDescent="0.3">
      <c r="A2001" s="2">
        <v>44998</v>
      </c>
      <c r="B2001" s="1">
        <v>-5.0140115345941982</v>
      </c>
      <c r="C2001" s="1">
        <f>IRS_returns_2015_25[[#This Row],[IRSrtn]]-AVERAGE($B$2:$B$2600)</f>
        <v>-5.0197880286608143</v>
      </c>
      <c r="D2001" s="1">
        <f>w+a*C2000^2+b*D2000</f>
        <v>11.874385250855756</v>
      </c>
      <c r="E2001" s="1">
        <f t="shared" si="31"/>
        <v>-3.2171651188216339</v>
      </c>
      <c r="F2001" s="7">
        <f>SQRT(IRS_returns_2015_25[[#This Row],[  σ2]])</f>
        <v>3.4459229896873431</v>
      </c>
    </row>
    <row r="2002" spans="1:6" x14ac:dyDescent="0.3">
      <c r="A2002" s="2">
        <v>44999</v>
      </c>
      <c r="B2002" s="1">
        <v>1.7575197970379541</v>
      </c>
      <c r="C2002" s="1">
        <f>IRS_returns_2015_25[[#This Row],[IRSrtn]]-AVERAGE($B$2:$B$2600)</f>
        <v>1.7517433029713383</v>
      </c>
      <c r="D2002" s="1">
        <f>w+a*C2001^2+b*D2001</f>
        <v>15.389794286590305</v>
      </c>
      <c r="E2002" s="1">
        <f t="shared" si="31"/>
        <v>-2.3854869126649967</v>
      </c>
      <c r="F2002" s="7">
        <f>SQRT(IRS_returns_2015_25[[#This Row],[  σ2]])</f>
        <v>3.9229828302696288</v>
      </c>
    </row>
    <row r="2003" spans="1:6" x14ac:dyDescent="0.3">
      <c r="A2003" s="2">
        <v>45000</v>
      </c>
      <c r="B2003" s="1">
        <v>-9.3048121753758437</v>
      </c>
      <c r="C2003" s="1">
        <f>IRS_returns_2015_25[[#This Row],[IRSrtn]]-AVERAGE($B$2:$B$2600)</f>
        <v>-9.3105886694424598</v>
      </c>
      <c r="D2003" s="1">
        <f>w+a*C2002^2+b*D2002</f>
        <v>12.338172527071773</v>
      </c>
      <c r="E2003" s="1">
        <f t="shared" si="31"/>
        <v>-5.6882494455645594</v>
      </c>
      <c r="F2003" s="7">
        <f>SQRT(IRS_returns_2015_25[[#This Row],[  σ2]])</f>
        <v>3.5125734906293098</v>
      </c>
    </row>
    <row r="2004" spans="1:6" x14ac:dyDescent="0.3">
      <c r="A2004" s="2">
        <v>45001</v>
      </c>
      <c r="B2004" s="1">
        <v>3.9367905822291549</v>
      </c>
      <c r="C2004" s="1">
        <f>IRS_returns_2015_25[[#This Row],[IRSrtn]]-AVERAGE($B$2:$B$2600)</f>
        <v>3.9310140881625393</v>
      </c>
      <c r="D2004" s="1">
        <f>w+a*C2003^2+b*D2003</f>
        <v>30.680274574843821</v>
      </c>
      <c r="E2004" s="1">
        <f t="shared" si="31"/>
        <v>-2.8825857430741824</v>
      </c>
      <c r="F2004" s="7">
        <f>SQRT(IRS_returns_2015_25[[#This Row],[  σ2]])</f>
        <v>5.5389777554025095</v>
      </c>
    </row>
    <row r="2005" spans="1:6" x14ac:dyDescent="0.3">
      <c r="A2005" s="2">
        <v>45002</v>
      </c>
      <c r="B2005" s="1">
        <v>-0.9233704370548379</v>
      </c>
      <c r="C2005" s="1">
        <f>IRS_returns_2015_25[[#This Row],[IRSrtn]]-AVERAGE($B$2:$B$2600)</f>
        <v>-0.92914693112145375</v>
      </c>
      <c r="D2005" s="1">
        <f>w+a*C2004^2+b*D2004</f>
        <v>25.53472463982985</v>
      </c>
      <c r="E2005" s="1">
        <f t="shared" si="31"/>
        <v>-2.5558628772886047</v>
      </c>
      <c r="F2005" s="7">
        <f>SQRT(IRS_returns_2015_25[[#This Row],[  σ2]])</f>
        <v>5.0531895511478542</v>
      </c>
    </row>
    <row r="2006" spans="1:6" x14ac:dyDescent="0.3">
      <c r="A2006" s="2">
        <v>45005</v>
      </c>
      <c r="B2006" s="1">
        <v>-1.1194080674748363</v>
      </c>
      <c r="C2006" s="1">
        <f>IRS_returns_2015_25[[#This Row],[IRSrtn]]-AVERAGE($B$2:$B$2600)</f>
        <v>-1.1251845615414522</v>
      </c>
      <c r="D2006" s="1">
        <f>w+a*C2005^2+b*D2005</f>
        <v>18.554503678902915</v>
      </c>
      <c r="E2006" s="1">
        <f t="shared" si="31"/>
        <v>-2.4134115982880529</v>
      </c>
      <c r="F2006" s="7">
        <f>SQRT(IRS_returns_2015_25[[#This Row],[  σ2]])</f>
        <v>4.3074938977209145</v>
      </c>
    </row>
    <row r="2007" spans="1:6" x14ac:dyDescent="0.3">
      <c r="A2007" s="2">
        <v>45006</v>
      </c>
      <c r="B2007" s="1">
        <v>2.957710554534132</v>
      </c>
      <c r="C2007" s="1">
        <f>IRS_returns_2015_25[[#This Row],[IRSrtn]]-AVERAGE($B$2:$B$2600)</f>
        <v>2.9519340604675164</v>
      </c>
      <c r="D2007" s="1">
        <f>w+a*C2006^2+b*D2006</f>
        <v>14.005778087010274</v>
      </c>
      <c r="E2007" s="1">
        <f t="shared" si="31"/>
        <v>-2.5497563646116612</v>
      </c>
      <c r="F2007" s="7">
        <f>SQRT(IRS_returns_2015_25[[#This Row],[  σ2]])</f>
        <v>3.7424294364770958</v>
      </c>
    </row>
    <row r="2008" spans="1:6" x14ac:dyDescent="0.3">
      <c r="A2008" s="2">
        <v>45007</v>
      </c>
      <c r="B2008" s="1">
        <v>-1.8383024870592957</v>
      </c>
      <c r="C2008" s="1">
        <f>IRS_returns_2015_25[[#This Row],[IRSrtn]]-AVERAGE($B$2:$B$2600)</f>
        <v>-1.8440789811259115</v>
      </c>
      <c r="D2008" s="1">
        <f>w+a*C2007^2+b*D2007</f>
        <v>12.792288311368569</v>
      </c>
      <c r="E2008" s="1">
        <f t="shared" si="31"/>
        <v>-2.3262768728207917</v>
      </c>
      <c r="F2008" s="7">
        <f>SQRT(IRS_returns_2015_25[[#This Row],[  σ2]])</f>
        <v>3.5766308603724495</v>
      </c>
    </row>
    <row r="2009" spans="1:6" x14ac:dyDescent="0.3">
      <c r="A2009" s="2">
        <v>45008</v>
      </c>
      <c r="B2009" s="1">
        <v>-1.3072021187706895</v>
      </c>
      <c r="C2009" s="1">
        <f>IRS_returns_2015_25[[#This Row],[IRSrtn]]-AVERAGE($B$2:$B$2600)</f>
        <v>-1.3129786128373053</v>
      </c>
      <c r="D2009" s="1">
        <f>w+a*C2008^2+b*D2008</f>
        <v>10.689866637835461</v>
      </c>
      <c r="E2009" s="1">
        <f t="shared" si="31"/>
        <v>-2.1842196956092401</v>
      </c>
      <c r="F2009" s="7">
        <f>SQRT(IRS_returns_2015_25[[#This Row],[  σ2]])</f>
        <v>3.2695361502567089</v>
      </c>
    </row>
    <row r="2010" spans="1:6" x14ac:dyDescent="0.3">
      <c r="A2010" s="2">
        <v>45009</v>
      </c>
      <c r="B2010" s="1">
        <v>0.37522602830237783</v>
      </c>
      <c r="C2010" s="1">
        <f>IRS_returns_2015_25[[#This Row],[IRSrtn]]-AVERAGE($B$2:$B$2600)</f>
        <v>0.36944953423576204</v>
      </c>
      <c r="D2010" s="1">
        <f>w+a*C2009^2+b*D2009</f>
        <v>8.8817183030976512</v>
      </c>
      <c r="E2010" s="1">
        <f t="shared" si="31"/>
        <v>-2.0186199811090395</v>
      </c>
      <c r="F2010" s="7">
        <f>SQRT(IRS_returns_2015_25[[#This Row],[  σ2]])</f>
        <v>2.9802211835864885</v>
      </c>
    </row>
    <row r="2011" spans="1:6" x14ac:dyDescent="0.3">
      <c r="A2011" s="2">
        <v>45012</v>
      </c>
      <c r="B2011" s="1">
        <v>6.3484692672546084</v>
      </c>
      <c r="C2011" s="1">
        <f>IRS_returns_2015_25[[#This Row],[IRSrtn]]-AVERAGE($B$2:$B$2600)</f>
        <v>6.3426927731879923</v>
      </c>
      <c r="D2011" s="1">
        <f>w+a*C2010^2+b*D2010</f>
        <v>7.2912292499636031</v>
      </c>
      <c r="E2011" s="1">
        <f t="shared" si="31"/>
        <v>-4.6710516442293049</v>
      </c>
      <c r="F2011" s="7">
        <f>SQRT(IRS_returns_2015_25[[#This Row],[  σ2]])</f>
        <v>2.7002276292867613</v>
      </c>
    </row>
    <row r="2012" spans="1:6" x14ac:dyDescent="0.3">
      <c r="A2012" s="2">
        <v>45013</v>
      </c>
      <c r="B2012" s="1">
        <v>3.6242028135995863</v>
      </c>
      <c r="C2012" s="1">
        <f>IRS_returns_2015_25[[#This Row],[IRSrtn]]-AVERAGE($B$2:$B$2600)</f>
        <v>3.6184263195329707</v>
      </c>
      <c r="D2012" s="1">
        <f>w+a*C2011^2+b*D2011</f>
        <v>16.001127305114654</v>
      </c>
      <c r="E2012" s="1">
        <f t="shared" si="31"/>
        <v>-2.7143958278176998</v>
      </c>
      <c r="F2012" s="7">
        <f>SQRT(IRS_returns_2015_25[[#This Row],[  σ2]])</f>
        <v>4.0001409106573549</v>
      </c>
    </row>
    <row r="2013" spans="1:6" x14ac:dyDescent="0.3">
      <c r="A2013" s="2">
        <v>45014</v>
      </c>
      <c r="B2013" s="1">
        <v>1.8472364881590986</v>
      </c>
      <c r="C2013" s="1">
        <f>IRS_returns_2015_25[[#This Row],[IRSrtn]]-AVERAGE($B$2:$B$2600)</f>
        <v>1.8414599940924827</v>
      </c>
      <c r="D2013" s="1">
        <f>w+a*C2012^2+b*D2012</f>
        <v>15.187590956239237</v>
      </c>
      <c r="E2013" s="1">
        <f t="shared" si="31"/>
        <v>-2.3908142536813783</v>
      </c>
      <c r="F2013" s="7">
        <f>SQRT(IRS_returns_2015_25[[#This Row],[  σ2]])</f>
        <v>3.8971259867034371</v>
      </c>
    </row>
    <row r="2014" spans="1:6" x14ac:dyDescent="0.3">
      <c r="A2014" s="2">
        <v>45015</v>
      </c>
      <c r="B2014" s="1">
        <v>-1.0033470197281513</v>
      </c>
      <c r="C2014" s="1">
        <f>IRS_returns_2015_25[[#This Row],[IRSrtn]]-AVERAGE($B$2:$B$2600)</f>
        <v>-1.0091235137947672</v>
      </c>
      <c r="D2014" s="1">
        <f>w+a*C2013^2+b*D2013</f>
        <v>12.282107842133545</v>
      </c>
      <c r="E2014" s="1">
        <f t="shared" si="31"/>
        <v>-2.2144661542791244</v>
      </c>
      <c r="F2014" s="7">
        <f>SQRT(IRS_returns_2015_25[[#This Row],[  σ2]])</f>
        <v>3.5045838329441552</v>
      </c>
    </row>
    <row r="2015" spans="1:6" x14ac:dyDescent="0.3">
      <c r="A2015" s="2">
        <v>45016</v>
      </c>
      <c r="B2015" s="1">
        <v>-2.3810630184463166</v>
      </c>
      <c r="C2015" s="1">
        <f>IRS_returns_2015_25[[#This Row],[IRSrtn]]-AVERAGE($B$2:$B$2600)</f>
        <v>-2.3868395125129322</v>
      </c>
      <c r="D2015" s="1">
        <f>w+a*C2014^2+b*D2014</f>
        <v>9.7697848540173684</v>
      </c>
      <c r="E2015" s="1">
        <f t="shared" si="31"/>
        <v>-2.3501481053864675</v>
      </c>
      <c r="F2015" s="7">
        <f>SQRT(IRS_returns_2015_25[[#This Row],[  σ2]])</f>
        <v>3.1256655057791081</v>
      </c>
    </row>
    <row r="2016" spans="1:6" x14ac:dyDescent="0.3">
      <c r="A2016" s="2">
        <v>45019</v>
      </c>
      <c r="B2016" s="1">
        <v>1.8755843952552809</v>
      </c>
      <c r="C2016" s="1">
        <f>IRS_returns_2015_25[[#This Row],[IRSrtn]]-AVERAGE($B$2:$B$2600)</f>
        <v>1.869807901188665</v>
      </c>
      <c r="D2016" s="1">
        <f>w+a*C2015^2+b*D2015</f>
        <v>9.2372469467622764</v>
      </c>
      <c r="E2016" s="1">
        <f t="shared" si="31"/>
        <v>-2.2198041794869421</v>
      </c>
      <c r="F2016" s="7">
        <f>SQRT(IRS_returns_2015_25[[#This Row],[  σ2]])</f>
        <v>3.0392839529669282</v>
      </c>
    </row>
    <row r="2017" spans="1:6" x14ac:dyDescent="0.3">
      <c r="A2017" s="2">
        <v>45020</v>
      </c>
      <c r="B2017" s="1">
        <v>-1.8755843952552809</v>
      </c>
      <c r="C2017" s="1">
        <f>IRS_returns_2015_25[[#This Row],[IRSrtn]]-AVERAGE($B$2:$B$2600)</f>
        <v>-1.8813608893218967</v>
      </c>
      <c r="D2017" s="1">
        <f>w+a*C2016^2+b*D2016</f>
        <v>8.3464979676475828</v>
      </c>
      <c r="E2017" s="1">
        <f t="shared" si="31"/>
        <v>-2.1918957184401204</v>
      </c>
      <c r="F2017" s="7">
        <f>SQRT(IRS_returns_2015_25[[#This Row],[  σ2]])</f>
        <v>2.8890306276755848</v>
      </c>
    </row>
    <row r="2018" spans="1:6" x14ac:dyDescent="0.3">
      <c r="A2018" s="2">
        <v>45021</v>
      </c>
      <c r="B2018" s="1">
        <v>-2.615666458692667</v>
      </c>
      <c r="C2018" s="1">
        <f>IRS_returns_2015_25[[#This Row],[IRSrtn]]-AVERAGE($B$2:$B$2600)</f>
        <v>-2.6214429527592826</v>
      </c>
      <c r="D2018" s="1">
        <f>w+a*C2017^2+b*D2017</f>
        <v>7.7640705857102397</v>
      </c>
      <c r="E2018" s="1">
        <f t="shared" si="31"/>
        <v>-2.3862408991328792</v>
      </c>
      <c r="F2018" s="7">
        <f>SQRT(IRS_returns_2015_25[[#This Row],[  σ2]])</f>
        <v>2.7864081872027007</v>
      </c>
    </row>
    <row r="2019" spans="1:6" x14ac:dyDescent="0.3">
      <c r="A2019" s="2">
        <v>45022</v>
      </c>
      <c r="B2019" s="1">
        <v>-0.35398374851427494</v>
      </c>
      <c r="C2019" s="1">
        <f>IRS_returns_2015_25[[#This Row],[IRSrtn]]-AVERAGE($B$2:$B$2600)</f>
        <v>-0.35976024258089073</v>
      </c>
      <c r="D2019" s="1">
        <f>w+a*C2018^2+b*D2018</f>
        <v>8.1882882406306337</v>
      </c>
      <c r="E2019" s="1">
        <f t="shared" si="31"/>
        <v>-1.9781941726519412</v>
      </c>
      <c r="F2019" s="7">
        <f>SQRT(IRS_returns_2015_25[[#This Row],[  σ2]])</f>
        <v>2.8615185200572499</v>
      </c>
    </row>
    <row r="2020" spans="1:6" x14ac:dyDescent="0.3">
      <c r="A2020" s="2">
        <v>45026</v>
      </c>
      <c r="B2020" s="1">
        <v>3.1416290586322893</v>
      </c>
      <c r="C2020" s="1">
        <f>IRS_returns_2015_25[[#This Row],[IRSrtn]]-AVERAGE($B$2:$B$2600)</f>
        <v>3.1358525645656736</v>
      </c>
      <c r="D2020" s="1">
        <f>w+a*C2019^2+b*D2019</f>
        <v>6.8278797540326153</v>
      </c>
      <c r="E2020" s="1">
        <f t="shared" si="31"/>
        <v>-2.5995499423305648</v>
      </c>
      <c r="F2020" s="7">
        <f>SQRT(IRS_returns_2015_25[[#This Row],[  σ2]])</f>
        <v>2.6130211928020439</v>
      </c>
    </row>
    <row r="2021" spans="1:6" x14ac:dyDescent="0.3">
      <c r="A2021" s="2">
        <v>45027</v>
      </c>
      <c r="B2021" s="1">
        <v>1.872382475961909</v>
      </c>
      <c r="C2021" s="1">
        <f>IRS_returns_2015_25[[#This Row],[IRSrtn]]-AVERAGE($B$2:$B$2600)</f>
        <v>1.8666059818952931</v>
      </c>
      <c r="D2021" s="1">
        <f>w+a*C2020^2+b*D2020</f>
        <v>8.2866454985185012</v>
      </c>
      <c r="E2021" s="1">
        <f t="shared" si="31"/>
        <v>-2.1864920552346954</v>
      </c>
      <c r="F2021" s="7">
        <f>SQRT(IRS_returns_2015_25[[#This Row],[  σ2]])</f>
        <v>2.8786534175753951</v>
      </c>
    </row>
    <row r="2022" spans="1:6" x14ac:dyDescent="0.3">
      <c r="A2022" s="2">
        <v>45028</v>
      </c>
      <c r="B2022" s="1">
        <v>4.1294009161747969</v>
      </c>
      <c r="C2022" s="1">
        <f>IRS_returns_2015_25[[#This Row],[IRSrtn]]-AVERAGE($B$2:$B$2600)</f>
        <v>4.1236244221081808</v>
      </c>
      <c r="D2022" s="1">
        <f>w+a*C2021^2+b*D2021</f>
        <v>7.7107517441517501</v>
      </c>
      <c r="E2022" s="1">
        <f t="shared" si="31"/>
        <v>-3.0428806545131541</v>
      </c>
      <c r="F2022" s="7">
        <f>SQRT(IRS_returns_2015_25[[#This Row],[  σ2]])</f>
        <v>2.7768240391050618</v>
      </c>
    </row>
    <row r="2023" spans="1:6" x14ac:dyDescent="0.3">
      <c r="A2023" s="2">
        <v>45029</v>
      </c>
      <c r="B2023" s="1">
        <v>-0.64933745711599489</v>
      </c>
      <c r="C2023" s="1">
        <f>IRS_returns_2015_25[[#This Row],[IRSrtn]]-AVERAGE($B$2:$B$2600)</f>
        <v>-0.65511395118261073</v>
      </c>
      <c r="D2023" s="1">
        <f>w+a*C2022^2+b*D2022</f>
        <v>10.621529256944028</v>
      </c>
      <c r="E2023" s="1">
        <f t="shared" si="31"/>
        <v>-2.120583071460711</v>
      </c>
      <c r="F2023" s="7">
        <f>SQRT(IRS_returns_2015_25[[#This Row],[  σ2]])</f>
        <v>3.259068771435182</v>
      </c>
    </row>
    <row r="2024" spans="1:6" x14ac:dyDescent="0.3">
      <c r="A2024" s="2">
        <v>45033</v>
      </c>
      <c r="B2024" s="1">
        <v>-1.4766425534048278</v>
      </c>
      <c r="C2024" s="1">
        <f>IRS_returns_2015_25[[#This Row],[IRSrtn]]-AVERAGE($B$2:$B$2600)</f>
        <v>-1.4824190474714436</v>
      </c>
      <c r="D2024" s="1">
        <f>w+a*C2023^2+b*D2023</f>
        <v>8.5207622185014351</v>
      </c>
      <c r="E2024" s="1">
        <f t="shared" si="31"/>
        <v>-2.1191450507525023</v>
      </c>
      <c r="F2024" s="7">
        <f>SQRT(IRS_returns_2015_25[[#This Row],[  σ2]])</f>
        <v>2.9190344668231369</v>
      </c>
    </row>
    <row r="2025" spans="1:6" x14ac:dyDescent="0.3">
      <c r="A2025" s="2">
        <v>45034</v>
      </c>
      <c r="B2025" s="1">
        <v>-0.33113602010585996</v>
      </c>
      <c r="C2025" s="1">
        <f>IRS_returns_2015_25[[#This Row],[IRSrtn]]-AVERAGE($B$2:$B$2600)</f>
        <v>-0.33691251417247575</v>
      </c>
      <c r="D2025" s="1">
        <f>w+a*C2024^2+b*D2024</f>
        <v>7.5531147782512233</v>
      </c>
      <c r="E2025" s="1">
        <f t="shared" si="31"/>
        <v>-1.9374326703638887</v>
      </c>
      <c r="F2025" s="7">
        <f>SQRT(IRS_returns_2015_25[[#This Row],[  σ2]])</f>
        <v>2.7482930662961005</v>
      </c>
    </row>
    <row r="2026" spans="1:6" x14ac:dyDescent="0.3">
      <c r="A2026" s="2">
        <v>45035</v>
      </c>
      <c r="B2026" s="1">
        <v>-3.3730022153835471</v>
      </c>
      <c r="C2026" s="1">
        <f>IRS_returns_2015_25[[#This Row],[IRSrtn]]-AVERAGE($B$2:$B$2600)</f>
        <v>-3.3787787094501627</v>
      </c>
      <c r="D2026" s="1">
        <f>w+a*C2025^2+b*D2025</f>
        <v>6.4011558958903327</v>
      </c>
      <c r="E2026" s="1">
        <f t="shared" si="31"/>
        <v>-2.738903143675838</v>
      </c>
      <c r="F2026" s="7">
        <f>SQRT(IRS_returns_2015_25[[#This Row],[  σ2]])</f>
        <v>2.5300505718049062</v>
      </c>
    </row>
    <row r="2027" spans="1:6" x14ac:dyDescent="0.3">
      <c r="A2027" s="2">
        <v>45036</v>
      </c>
      <c r="B2027" s="1">
        <v>-0.51590058466930433</v>
      </c>
      <c r="C2027" s="1">
        <f>IRS_returns_2015_25[[#This Row],[IRSrtn]]-AVERAGE($B$2:$B$2600)</f>
        <v>-0.52167707873592017</v>
      </c>
      <c r="D2027" s="1">
        <f>w+a*C2026^2+b*D2026</f>
        <v>8.3881621468401804</v>
      </c>
      <c r="E2027" s="1">
        <f t="shared" si="31"/>
        <v>-1.998571340978174</v>
      </c>
      <c r="F2027" s="7">
        <f>SQRT(IRS_returns_2015_25[[#This Row],[  σ2]])</f>
        <v>2.8962324055296702</v>
      </c>
    </row>
    <row r="2028" spans="1:6" x14ac:dyDescent="0.3">
      <c r="A2028" s="2">
        <v>45037</v>
      </c>
      <c r="B2028" s="1">
        <v>-1.7391794757249501</v>
      </c>
      <c r="C2028" s="1">
        <f>IRS_returns_2015_25[[#This Row],[IRSrtn]]-AVERAGE($B$2:$B$2600)</f>
        <v>-1.744955969791566</v>
      </c>
      <c r="D2028" s="1">
        <f>w+a*C2027^2+b*D2027</f>
        <v>6.995712737440047</v>
      </c>
      <c r="E2028" s="1">
        <f t="shared" si="31"/>
        <v>-2.1092113780038315</v>
      </c>
      <c r="F2028" s="7">
        <f>SQRT(IRS_returns_2015_25[[#This Row],[  σ2]])</f>
        <v>2.6449409705019971</v>
      </c>
    </row>
    <row r="2029" spans="1:6" x14ac:dyDescent="0.3">
      <c r="A2029" s="2">
        <v>45040</v>
      </c>
      <c r="B2029" s="1">
        <v>-0.52770730724422954</v>
      </c>
      <c r="C2029" s="1">
        <f>IRS_returns_2015_25[[#This Row],[IRSrtn]]-AVERAGE($B$2:$B$2600)</f>
        <v>-0.53348380131084538</v>
      </c>
      <c r="D2029" s="1">
        <f>w+a*C2028^2+b*D2028</f>
        <v>6.7443095427649959</v>
      </c>
      <c r="E2029" s="1">
        <f t="shared" si="31"/>
        <v>-1.8943877295154881</v>
      </c>
      <c r="F2029" s="7">
        <f>SQRT(IRS_returns_2015_25[[#This Row],[  σ2]])</f>
        <v>2.5969808514436519</v>
      </c>
    </row>
    <row r="2030" spans="1:6" x14ac:dyDescent="0.3">
      <c r="A2030" s="2">
        <v>45041</v>
      </c>
      <c r="B2030" s="1">
        <v>-4.5093343055097046</v>
      </c>
      <c r="C2030" s="1">
        <f>IRS_returns_2015_25[[#This Row],[IRSrtn]]-AVERAGE($B$2:$B$2600)</f>
        <v>-4.5151107995763207</v>
      </c>
      <c r="D2030" s="1">
        <f>w+a*C2029^2+b*D2029</f>
        <v>5.9044079714843818</v>
      </c>
      <c r="E2030" s="1">
        <f t="shared" si="31"/>
        <v>-3.5331445729103135</v>
      </c>
      <c r="F2030" s="7">
        <f>SQRT(IRS_returns_2015_25[[#This Row],[  σ2]])</f>
        <v>2.4298987574556232</v>
      </c>
    </row>
    <row r="2031" spans="1:6" x14ac:dyDescent="0.3">
      <c r="A2031" s="2">
        <v>45042</v>
      </c>
      <c r="B2031" s="1">
        <v>-0.74073641999756745</v>
      </c>
      <c r="C2031" s="1">
        <f>IRS_returns_2015_25[[#This Row],[IRSrtn]]-AVERAGE($B$2:$B$2600)</f>
        <v>-0.7465129140641833</v>
      </c>
      <c r="D2031" s="1">
        <f>w+a*C2030^2+b*D2030</f>
        <v>10.243026660408908</v>
      </c>
      <c r="E2031" s="1">
        <f t="shared" si="31"/>
        <v>-2.1094400791308421</v>
      </c>
      <c r="F2031" s="7">
        <f>SQRT(IRS_returns_2015_25[[#This Row],[  σ2]])</f>
        <v>3.2004728807488605</v>
      </c>
    </row>
    <row r="2032" spans="1:6" x14ac:dyDescent="0.3">
      <c r="A2032" s="2">
        <v>45043</v>
      </c>
      <c r="B2032" s="1">
        <v>0.92508864035381055</v>
      </c>
      <c r="C2032" s="1">
        <f>IRS_returns_2015_25[[#This Row],[IRSrtn]]-AVERAGE($B$2:$B$2600)</f>
        <v>0.91931214628719471</v>
      </c>
      <c r="D2032" s="1">
        <f>w+a*C2031^2+b*D2031</f>
        <v>8.300000013799135</v>
      </c>
      <c r="E2032" s="1">
        <f t="shared" si="31"/>
        <v>-2.0279780276363839</v>
      </c>
      <c r="F2032" s="7">
        <f>SQRT(IRS_returns_2015_25[[#This Row],[  σ2]])</f>
        <v>2.8809720605724616</v>
      </c>
    </row>
    <row r="2033" spans="1:6" x14ac:dyDescent="0.3">
      <c r="A2033" s="2">
        <v>45044</v>
      </c>
      <c r="B2033" s="1">
        <v>1.6438675755427123</v>
      </c>
      <c r="C2033" s="1">
        <f>IRS_returns_2015_25[[#This Row],[IRSrtn]]-AVERAGE($B$2:$B$2600)</f>
        <v>1.6380910814760965</v>
      </c>
      <c r="D2033" s="1">
        <f>w+a*C2032^2+b*D2032</f>
        <v>7.0766300886139808</v>
      </c>
      <c r="E2033" s="1">
        <f t="shared" si="31"/>
        <v>-2.0869292648014683</v>
      </c>
      <c r="F2033" s="7">
        <f>SQRT(IRS_returns_2015_25[[#This Row],[  σ2]])</f>
        <v>2.6601936186326705</v>
      </c>
    </row>
    <row r="2034" spans="1:6" x14ac:dyDescent="0.3">
      <c r="A2034" s="2">
        <v>45047</v>
      </c>
      <c r="B2034" s="1">
        <v>-0.90993688654037452</v>
      </c>
      <c r="C2034" s="1">
        <f>IRS_returns_2015_25[[#This Row],[IRSrtn]]-AVERAGE($B$2:$B$2600)</f>
        <v>-0.91571338060699037</v>
      </c>
      <c r="D2034" s="1">
        <f>w+a*C2033^2+b*D2033</f>
        <v>6.7100911319202581</v>
      </c>
      <c r="E2034" s="1">
        <f t="shared" si="31"/>
        <v>-1.9332276315253163</v>
      </c>
      <c r="F2034" s="7">
        <f>SQRT(IRS_returns_2015_25[[#This Row],[  σ2]])</f>
        <v>2.5903843598818028</v>
      </c>
    </row>
    <row r="2035" spans="1:6" x14ac:dyDescent="0.3">
      <c r="A2035" s="2">
        <v>45048</v>
      </c>
      <c r="B2035" s="1">
        <v>-1.287970236517455</v>
      </c>
      <c r="C2035" s="1">
        <f>IRS_returns_2015_25[[#This Row],[IRSrtn]]-AVERAGE($B$2:$B$2600)</f>
        <v>-1.2937467305840709</v>
      </c>
      <c r="D2035" s="1">
        <f>w+a*C2034^2+b*D2034</f>
        <v>6.016592152392068</v>
      </c>
      <c r="E2035" s="1">
        <f t="shared" si="31"/>
        <v>-1.9552961025283075</v>
      </c>
      <c r="F2035" s="7">
        <f>SQRT(IRS_returns_2015_25[[#This Row],[  σ2]])</f>
        <v>2.4528742634697092</v>
      </c>
    </row>
    <row r="2036" spans="1:6" x14ac:dyDescent="0.3">
      <c r="A2036" s="2">
        <v>45049</v>
      </c>
      <c r="B2036" s="1">
        <v>-2.4368565131772213</v>
      </c>
      <c r="C2036" s="1">
        <f>IRS_returns_2015_25[[#This Row],[IRSrtn]]-AVERAGE($B$2:$B$2600)</f>
        <v>-2.4426330072438369</v>
      </c>
      <c r="D2036" s="1">
        <f>w+a*C2035^2+b*D2035</f>
        <v>5.7584266647580868</v>
      </c>
      <c r="E2036" s="1">
        <f t="shared" si="31"/>
        <v>-2.3123337142725497</v>
      </c>
      <c r="F2036" s="7">
        <f>SQRT(IRS_returns_2015_25[[#This Row],[  σ2]])</f>
        <v>2.3996721994385166</v>
      </c>
    </row>
    <row r="2037" spans="1:6" x14ac:dyDescent="0.3">
      <c r="A2037" s="2">
        <v>45050</v>
      </c>
      <c r="B2037" s="1">
        <v>-0.76192106961237016</v>
      </c>
      <c r="C2037" s="1">
        <f>IRS_returns_2015_25[[#This Row],[IRSrtn]]-AVERAGE($B$2:$B$2600)</f>
        <v>-0.76769756367898601</v>
      </c>
      <c r="D2037" s="1">
        <f>w+a*C2036^2+b*D2036</f>
        <v>6.6324709546321516</v>
      </c>
      <c r="E2037" s="1">
        <f t="shared" si="31"/>
        <v>-1.9093571099054258</v>
      </c>
      <c r="F2037" s="7">
        <f>SQRT(IRS_returns_2015_25[[#This Row],[  σ2]])</f>
        <v>2.5753584128490061</v>
      </c>
    </row>
    <row r="2038" spans="1:6" x14ac:dyDescent="0.3">
      <c r="A2038" s="2">
        <v>45051</v>
      </c>
      <c r="B2038" s="1">
        <v>2.2685555324391871</v>
      </c>
      <c r="C2038" s="1">
        <f>IRS_returns_2015_25[[#This Row],[IRSrtn]]-AVERAGE($B$2:$B$2600)</f>
        <v>2.2627790383725714</v>
      </c>
      <c r="D2038" s="1">
        <f>w+a*C2037^2+b*D2037</f>
        <v>5.9042085378479268</v>
      </c>
      <c r="E2038" s="1">
        <f t="shared" si="31"/>
        <v>-2.2403745681522365</v>
      </c>
      <c r="F2038" s="7">
        <f>SQRT(IRS_returns_2015_25[[#This Row],[  σ2]])</f>
        <v>2.4298577196716531</v>
      </c>
    </row>
    <row r="2039" spans="1:6" x14ac:dyDescent="0.3">
      <c r="A2039" s="2">
        <v>45054</v>
      </c>
      <c r="B2039" s="1">
        <v>7.730696650017066</v>
      </c>
      <c r="C2039" s="1">
        <f>IRS_returns_2015_25[[#This Row],[IRSrtn]]-AVERAGE($B$2:$B$2600)</f>
        <v>7.7249201559504499</v>
      </c>
      <c r="D2039" s="1">
        <f>w+a*C2038^2+b*D2038</f>
        <v>6.5233227445064745</v>
      </c>
      <c r="E2039" s="1">
        <f t="shared" si="31"/>
        <v>-6.4305564986851635</v>
      </c>
      <c r="F2039" s="7">
        <f>SQRT(IRS_returns_2015_25[[#This Row],[  σ2]])</f>
        <v>2.5540796276753932</v>
      </c>
    </row>
    <row r="2040" spans="1:6" x14ac:dyDescent="0.3">
      <c r="A2040" s="2">
        <v>45055</v>
      </c>
      <c r="B2040" s="1">
        <v>0.86133440064040112</v>
      </c>
      <c r="C2040" s="1">
        <f>IRS_returns_2015_25[[#This Row],[IRSrtn]]-AVERAGE($B$2:$B$2600)</f>
        <v>0.85555790657378528</v>
      </c>
      <c r="D2040" s="1">
        <f>w+a*C2039^2+b*D2039</f>
        <v>20.227601101063481</v>
      </c>
      <c r="E2040" s="1">
        <f t="shared" si="31"/>
        <v>-2.4405561420285085</v>
      </c>
      <c r="F2040" s="7">
        <f>SQRT(IRS_returns_2015_25[[#This Row],[  σ2]])</f>
        <v>4.4975105448529504</v>
      </c>
    </row>
    <row r="2041" spans="1:6" x14ac:dyDescent="0.3">
      <c r="A2041" s="2">
        <v>45057</v>
      </c>
      <c r="B2041" s="1">
        <v>-2.9593104562444905</v>
      </c>
      <c r="C2041" s="1">
        <f>IRS_returns_2015_25[[#This Row],[IRSrtn]]-AVERAGE($B$2:$B$2600)</f>
        <v>-2.9650869503111061</v>
      </c>
      <c r="D2041" s="1">
        <f>w+a*C2040^2+b*D2040</f>
        <v>14.98946317308819</v>
      </c>
      <c r="E2041" s="1">
        <f t="shared" si="31"/>
        <v>-2.5658763083554237</v>
      </c>
      <c r="F2041" s="7">
        <f>SQRT(IRS_returns_2015_25[[#This Row],[  σ2]])</f>
        <v>3.8716228087312676</v>
      </c>
    </row>
    <row r="2042" spans="1:6" x14ac:dyDescent="0.3">
      <c r="A2042" s="2">
        <v>45058</v>
      </c>
      <c r="B2042" s="1">
        <v>0.52863719510845009</v>
      </c>
      <c r="C2042" s="1">
        <f>IRS_returns_2015_25[[#This Row],[IRSrtn]]-AVERAGE($B$2:$B$2600)</f>
        <v>0.52286070104183424</v>
      </c>
      <c r="D2042" s="1">
        <f>w+a*C2041^2+b*D2041</f>
        <v>13.466106182582132</v>
      </c>
      <c r="E2042" s="1">
        <f t="shared" si="31"/>
        <v>-2.2291772638663447</v>
      </c>
      <c r="F2042" s="7">
        <f>SQRT(IRS_returns_2015_25[[#This Row],[  σ2]])</f>
        <v>3.6696193511837345</v>
      </c>
    </row>
    <row r="2043" spans="1:6" x14ac:dyDescent="0.3">
      <c r="A2043" s="2">
        <v>45061</v>
      </c>
      <c r="B2043" s="1">
        <v>-1.2378717572410824</v>
      </c>
      <c r="C2043" s="1">
        <f>IRS_returns_2015_25[[#This Row],[IRSrtn]]-AVERAGE($B$2:$B$2600)</f>
        <v>-1.2436482513076983</v>
      </c>
      <c r="D2043" s="1">
        <f>w+a*C2042^2+b*D2042</f>
        <v>10.376486184873286</v>
      </c>
      <c r="E2043" s="1">
        <f t="shared" si="31"/>
        <v>-2.1632368869385603</v>
      </c>
      <c r="F2043" s="7">
        <f>SQRT(IRS_returns_2015_25[[#This Row],[  σ2]])</f>
        <v>3.2212553740542345</v>
      </c>
    </row>
    <row r="2044" spans="1:6" x14ac:dyDescent="0.3">
      <c r="A2044" s="2">
        <v>45062</v>
      </c>
      <c r="B2044" s="1">
        <v>-1.4337014625543265</v>
      </c>
      <c r="C2044" s="1">
        <f>IRS_returns_2015_25[[#This Row],[IRSrtn]]-AVERAGE($B$2:$B$2600)</f>
        <v>-1.4394779566209424</v>
      </c>
      <c r="D2044" s="1">
        <f>w+a*C2043^2+b*D2043</f>
        <v>8.6299083220658055</v>
      </c>
      <c r="E2044" s="1">
        <f t="shared" si="31"/>
        <v>-2.1166087070525279</v>
      </c>
      <c r="F2044" s="7">
        <f>SQRT(IRS_returns_2015_25[[#This Row],[  σ2]])</f>
        <v>2.9376705605063691</v>
      </c>
    </row>
    <row r="2045" spans="1:6" x14ac:dyDescent="0.3">
      <c r="A2045" s="2">
        <v>45063</v>
      </c>
      <c r="B2045" s="1">
        <v>2.4956806133347609</v>
      </c>
      <c r="C2045" s="1">
        <f>IRS_returns_2015_25[[#This Row],[IRSrtn]]-AVERAGE($B$2:$B$2600)</f>
        <v>2.4899041192681453</v>
      </c>
      <c r="D2045" s="1">
        <f>w+a*C2044^2+b*D2044</f>
        <v>7.5952045623995712</v>
      </c>
      <c r="E2045" s="1">
        <f t="shared" si="31"/>
        <v>-2.3408244904809115</v>
      </c>
      <c r="F2045" s="7">
        <f>SQRT(IRS_returns_2015_25[[#This Row],[  σ2]])</f>
        <v>2.755939869155271</v>
      </c>
    </row>
    <row r="2046" spans="1:6" x14ac:dyDescent="0.3">
      <c r="A2046" s="2">
        <v>45064</v>
      </c>
      <c r="B2046" s="1">
        <v>-1.5972089002106227</v>
      </c>
      <c r="C2046" s="1">
        <f>IRS_returns_2015_25[[#This Row],[IRSrtn]]-AVERAGE($B$2:$B$2600)</f>
        <v>-1.6029853942772385</v>
      </c>
      <c r="D2046" s="1">
        <f>w+a*C2045^2+b*D2045</f>
        <v>7.9120556672322362</v>
      </c>
      <c r="E2046" s="1">
        <f t="shared" si="31"/>
        <v>-2.1155150640927505</v>
      </c>
      <c r="F2046" s="7">
        <f>SQRT(IRS_returns_2015_25[[#This Row],[  σ2]])</f>
        <v>2.812837653906147</v>
      </c>
    </row>
    <row r="2047" spans="1:6" x14ac:dyDescent="0.3">
      <c r="A2047" s="2">
        <v>45065</v>
      </c>
      <c r="B2047" s="1">
        <v>0.35715391865822621</v>
      </c>
      <c r="C2047" s="1">
        <f>IRS_returns_2015_25[[#This Row],[IRSrtn]]-AVERAGE($B$2:$B$2600)</f>
        <v>0.35137742459161042</v>
      </c>
      <c r="D2047" s="1">
        <f>w+a*C2046^2+b*D2046</f>
        <v>7.2385253787968997</v>
      </c>
      <c r="E2047" s="1">
        <f t="shared" si="31"/>
        <v>-1.9171756885746118</v>
      </c>
      <c r="F2047" s="7">
        <f>SQRT(IRS_returns_2015_25[[#This Row],[  σ2]])</f>
        <v>2.690450776133416</v>
      </c>
    </row>
    <row r="2048" spans="1:6" x14ac:dyDescent="0.3">
      <c r="A2048" s="2">
        <v>45068</v>
      </c>
      <c r="B2048" s="1">
        <v>1.9418048993408155</v>
      </c>
      <c r="C2048" s="1">
        <f>IRS_returns_2015_25[[#This Row],[IRSrtn]]-AVERAGE($B$2:$B$2600)</f>
        <v>1.9360284052741996</v>
      </c>
      <c r="D2048" s="1">
        <f>w+a*C2047^2+b*D2047</f>
        <v>6.1941542646814813</v>
      </c>
      <c r="E2048" s="1">
        <f t="shared" si="31"/>
        <v>-2.1333014747035395</v>
      </c>
      <c r="F2048" s="7">
        <f>SQRT(IRS_returns_2015_25[[#This Row],[  σ2]])</f>
        <v>2.488805790872699</v>
      </c>
    </row>
    <row r="2049" spans="1:6" x14ac:dyDescent="0.3">
      <c r="A2049" s="2">
        <v>45069</v>
      </c>
      <c r="B2049" s="1">
        <v>3.2677031752336161</v>
      </c>
      <c r="C2049" s="1">
        <f>IRS_returns_2015_25[[#This Row],[IRSrtn]]-AVERAGE($B$2:$B$2600)</f>
        <v>3.2619266811670005</v>
      </c>
      <c r="D2049" s="1">
        <f>w+a*C2048^2+b*D2048</f>
        <v>6.382065995453317</v>
      </c>
      <c r="E2049" s="1">
        <f t="shared" si="31"/>
        <v>-2.6792833116229882</v>
      </c>
      <c r="F2049" s="7">
        <f>SQRT(IRS_returns_2015_25[[#This Row],[  σ2]])</f>
        <v>2.5262751226763323</v>
      </c>
    </row>
    <row r="2050" spans="1:6" x14ac:dyDescent="0.3">
      <c r="A2050" s="2">
        <v>45070</v>
      </c>
      <c r="B2050" s="1">
        <v>0.33783010441008621</v>
      </c>
      <c r="C2050" s="1">
        <f>IRS_returns_2015_25[[#This Row],[IRSrtn]]-AVERAGE($B$2:$B$2600)</f>
        <v>0.33205361034347042</v>
      </c>
      <c r="D2050" s="1">
        <f>w+a*C2049^2+b*D2049</f>
        <v>8.1863863593047164</v>
      </c>
      <c r="E2050" s="1">
        <f t="shared" ref="E2050:E2113" si="32">-0.5*(LN(2*PI())+LN(D2050)+C2050^2/D2050)</f>
        <v>-1.9769091471475464</v>
      </c>
      <c r="F2050" s="7">
        <f>SQRT(IRS_returns_2015_25[[#This Row],[  σ2]])</f>
        <v>2.8611861804686387</v>
      </c>
    </row>
    <row r="2051" spans="1:6" x14ac:dyDescent="0.3">
      <c r="A2051" s="2">
        <v>45071</v>
      </c>
      <c r="B2051" s="1">
        <v>0.33670169105906034</v>
      </c>
      <c r="C2051" s="1">
        <f>IRS_returns_2015_25[[#This Row],[IRSrtn]]-AVERAGE($B$2:$B$2600)</f>
        <v>0.33092519699244455</v>
      </c>
      <c r="D2051" s="1">
        <f>w+a*C2050^2+b*D2050</f>
        <v>6.8219434020130034</v>
      </c>
      <c r="E2051" s="1">
        <f t="shared" si="32"/>
        <v>-1.8870371411322808</v>
      </c>
      <c r="F2051" s="7">
        <f>SQRT(IRS_returns_2015_25[[#This Row],[  σ2]])</f>
        <v>2.6118850284828778</v>
      </c>
    </row>
    <row r="2052" spans="1:6" x14ac:dyDescent="0.3">
      <c r="A2052" s="2">
        <v>45072</v>
      </c>
      <c r="B2052" s="1">
        <v>-0.33670169105906034</v>
      </c>
      <c r="C2052" s="1">
        <f>IRS_returns_2015_25[[#This Row],[IRSrtn]]-AVERAGE($B$2:$B$2600)</f>
        <v>-0.34247818512567613</v>
      </c>
      <c r="D2052" s="1">
        <f>w+a*C2051^2+b*D2051</f>
        <v>5.9134286431312333</v>
      </c>
      <c r="E2052" s="1">
        <f t="shared" si="32"/>
        <v>-1.8174688050908103</v>
      </c>
      <c r="F2052" s="7">
        <f>SQRT(IRS_returns_2015_25[[#This Row],[  σ2]])</f>
        <v>2.4317542316466181</v>
      </c>
    </row>
    <row r="2053" spans="1:6" x14ac:dyDescent="0.3">
      <c r="A2053" s="2">
        <v>45076</v>
      </c>
      <c r="B2053" s="1">
        <v>1.8379766060437452</v>
      </c>
      <c r="C2053" s="1">
        <f>IRS_returns_2015_25[[#This Row],[IRSrtn]]-AVERAGE($B$2:$B$2600)</f>
        <v>1.8322001119771294</v>
      </c>
      <c r="D2053" s="1">
        <f>w+a*C2052^2+b*D2052</f>
        <v>5.3105107354993057</v>
      </c>
      <c r="E2053" s="1">
        <f t="shared" si="32"/>
        <v>-2.0698498093738538</v>
      </c>
      <c r="F2053" s="7">
        <f>SQRT(IRS_returns_2015_25[[#This Row],[  σ2]])</f>
        <v>2.3044545418600269</v>
      </c>
    </row>
    <row r="2054" spans="1:6" x14ac:dyDescent="0.3">
      <c r="A2054" s="2">
        <v>45077</v>
      </c>
      <c r="B2054" s="1">
        <v>0.82441836474393959</v>
      </c>
      <c r="C2054" s="1">
        <f>IRS_returns_2015_25[[#This Row],[IRSrtn]]-AVERAGE($B$2:$B$2600)</f>
        <v>0.81864187067732375</v>
      </c>
      <c r="D2054" s="1">
        <f>w+a*C2053^2+b*D2053</f>
        <v>5.69848206547959</v>
      </c>
      <c r="E2054" s="1">
        <f t="shared" si="32"/>
        <v>-1.8478413481380163</v>
      </c>
      <c r="F2054" s="7">
        <f>SQRT(IRS_returns_2015_25[[#This Row],[  σ2]])</f>
        <v>2.3871493596923488</v>
      </c>
    </row>
    <row r="2055" spans="1:6" x14ac:dyDescent="0.3">
      <c r="A2055" s="2">
        <v>45078</v>
      </c>
      <c r="B2055" s="1">
        <v>4.9649886019182299</v>
      </c>
      <c r="C2055" s="1">
        <f>IRS_returns_2015_25[[#This Row],[IRSrtn]]-AVERAGE($B$2:$B$2600)</f>
        <v>4.9592121078516138</v>
      </c>
      <c r="D2055" s="1">
        <f>w+a*C2054^2+b*D2054</f>
        <v>5.3021270713634481</v>
      </c>
      <c r="E2055" s="1">
        <f t="shared" si="32"/>
        <v>-4.0722301517495119</v>
      </c>
      <c r="F2055" s="7">
        <f>SQRT(IRS_returns_2015_25[[#This Row],[  σ2]])</f>
        <v>2.3026348106817651</v>
      </c>
    </row>
    <row r="2056" spans="1:6" x14ac:dyDescent="0.3">
      <c r="A2056" s="2">
        <v>45079</v>
      </c>
      <c r="B2056" s="1">
        <v>2.523203793613904</v>
      </c>
      <c r="C2056" s="1">
        <f>IRS_returns_2015_25[[#This Row],[IRSrtn]]-AVERAGE($B$2:$B$2600)</f>
        <v>2.5174272995472884</v>
      </c>
      <c r="D2056" s="1">
        <f>w+a*C2055^2+b*D2055</f>
        <v>10.867249024733422</v>
      </c>
      <c r="E2056" s="1">
        <f t="shared" si="32"/>
        <v>-2.4033997111827095</v>
      </c>
      <c r="F2056" s="7">
        <f>SQRT(IRS_returns_2015_25[[#This Row],[  σ2]])</f>
        <v>3.2965510802554574</v>
      </c>
    </row>
    <row r="2057" spans="1:6" x14ac:dyDescent="0.3">
      <c r="A2057" s="2">
        <v>45082</v>
      </c>
      <c r="B2057" s="1">
        <v>1.9868268216593155</v>
      </c>
      <c r="C2057" s="1">
        <f>IRS_returns_2015_25[[#This Row],[IRSrtn]]-AVERAGE($B$2:$B$2600)</f>
        <v>1.9810503275926996</v>
      </c>
      <c r="D2057" s="1">
        <f>w+a*C2056^2+b*D2056</f>
        <v>10.123889599711429</v>
      </c>
      <c r="E2057" s="1">
        <f t="shared" si="32"/>
        <v>-2.2702142107992609</v>
      </c>
      <c r="F2057" s="7">
        <f>SQRT(IRS_returns_2015_25[[#This Row],[  σ2]])</f>
        <v>3.1818060279833889</v>
      </c>
    </row>
    <row r="2058" spans="1:6" x14ac:dyDescent="0.3">
      <c r="A2058" s="2">
        <v>45083</v>
      </c>
      <c r="B2058" s="1">
        <v>10.125374322336555</v>
      </c>
      <c r="C2058" s="1">
        <f>IRS_returns_2015_25[[#This Row],[IRSrtn]]-AVERAGE($B$2:$B$2600)</f>
        <v>10.119597828269939</v>
      </c>
      <c r="D2058" s="1">
        <f>w+a*C2057^2+b*D2057</f>
        <v>9.0411251992124839</v>
      </c>
      <c r="E2058" s="1">
        <f t="shared" si="32"/>
        <v>-7.6831885033078109</v>
      </c>
      <c r="F2058" s="7">
        <f>SQRT(IRS_returns_2015_25[[#This Row],[  σ2]])</f>
        <v>3.0068463876979954</v>
      </c>
    </row>
    <row r="2059" spans="1:6" x14ac:dyDescent="0.3">
      <c r="A2059" s="2">
        <v>45084</v>
      </c>
      <c r="B2059" s="1">
        <v>-3.1605405666102149</v>
      </c>
      <c r="C2059" s="1">
        <f>IRS_returns_2015_25[[#This Row],[IRSrtn]]-AVERAGE($B$2:$B$2600)</f>
        <v>-3.1663170606768305</v>
      </c>
      <c r="D2059" s="1">
        <f>w+a*C2058^2+b*D2058</f>
        <v>32.31535422501701</v>
      </c>
      <c r="E2059" s="1">
        <f t="shared" si="32"/>
        <v>-2.8118305196472138</v>
      </c>
      <c r="F2059" s="7">
        <f>SQRT(IRS_returns_2015_25[[#This Row],[  σ2]])</f>
        <v>5.6846595522526249</v>
      </c>
    </row>
    <row r="2060" spans="1:6" x14ac:dyDescent="0.3">
      <c r="A2060" s="2">
        <v>45085</v>
      </c>
      <c r="B2060" s="1">
        <v>-1.696267090542003</v>
      </c>
      <c r="C2060" s="1">
        <f>IRS_returns_2015_25[[#This Row],[IRSrtn]]-AVERAGE($B$2:$B$2600)</f>
        <v>-1.7020435846086188</v>
      </c>
      <c r="D2060" s="1">
        <f>w+a*C2059^2+b*D2059</f>
        <v>25.30086214348146</v>
      </c>
      <c r="E2060" s="1">
        <f t="shared" si="32"/>
        <v>-2.5916078412916992</v>
      </c>
      <c r="F2060" s="7">
        <f>SQRT(IRS_returns_2015_25[[#This Row],[  σ2]])</f>
        <v>5.0299962369251787</v>
      </c>
    </row>
    <row r="2061" spans="1:6" x14ac:dyDescent="0.3">
      <c r="A2061" s="2">
        <v>45086</v>
      </c>
      <c r="B2061" s="1">
        <v>2.4578866567782187</v>
      </c>
      <c r="C2061" s="1">
        <f>IRS_returns_2015_25[[#This Row],[IRSrtn]]-AVERAGE($B$2:$B$2600)</f>
        <v>2.4521101627116031</v>
      </c>
      <c r="D2061" s="1">
        <f>w+a*C2060^2+b*D2060</f>
        <v>18.894313018774945</v>
      </c>
      <c r="E2061" s="1">
        <f t="shared" si="32"/>
        <v>-2.547486854378247</v>
      </c>
      <c r="F2061" s="7">
        <f>SQRT(IRS_returns_2015_25[[#This Row],[  σ2]])</f>
        <v>4.3467589096676322</v>
      </c>
    </row>
    <row r="2062" spans="1:6" x14ac:dyDescent="0.3">
      <c r="A2062" s="2">
        <v>45089</v>
      </c>
      <c r="B2062" s="1">
        <v>-1.0678945212057034</v>
      </c>
      <c r="C2062" s="1">
        <f>IRS_returns_2015_25[[#This Row],[IRSrtn]]-AVERAGE($B$2:$B$2600)</f>
        <v>-1.0736710152723192</v>
      </c>
      <c r="D2062" s="1">
        <f>w+a*C2061^2+b*D2061</f>
        <v>15.388552529249633</v>
      </c>
      <c r="E2062" s="1">
        <f t="shared" si="32"/>
        <v>-2.3232059002901297</v>
      </c>
      <c r="F2062" s="7">
        <f>SQRT(IRS_returns_2015_25[[#This Row],[  σ2]])</f>
        <v>3.922824560090552</v>
      </c>
    </row>
    <row r="2063" spans="1:6" x14ac:dyDescent="0.3">
      <c r="A2063" s="2">
        <v>45090</v>
      </c>
      <c r="B2063" s="1">
        <v>-2.0140109900806058</v>
      </c>
      <c r="C2063" s="1">
        <f>IRS_returns_2015_25[[#This Row],[IRSrtn]]-AVERAGE($B$2:$B$2600)</f>
        <v>-2.0197874841472214</v>
      </c>
      <c r="D2063" s="1">
        <f>w+a*C2062^2+b*D2062</f>
        <v>11.870553077079382</v>
      </c>
      <c r="E2063" s="1">
        <f t="shared" si="32"/>
        <v>-2.3278034500617149</v>
      </c>
      <c r="F2063" s="7">
        <f>SQRT(IRS_returns_2015_25[[#This Row],[  σ2]])</f>
        <v>3.4453669002124263</v>
      </c>
    </row>
    <row r="2064" spans="1:6" x14ac:dyDescent="0.3">
      <c r="A2064" s="2">
        <v>45091</v>
      </c>
      <c r="B2064" s="1">
        <v>2.9300434537343545</v>
      </c>
      <c r="C2064" s="1">
        <f>IRS_returns_2015_25[[#This Row],[IRSrtn]]-AVERAGE($B$2:$B$2600)</f>
        <v>2.9242669596677389</v>
      </c>
      <c r="D2064" s="1">
        <f>w+a*C2063^2+b*D2063</f>
        <v>10.241669373111657</v>
      </c>
      <c r="E2064" s="1">
        <f t="shared" si="32"/>
        <v>-2.4996485537694002</v>
      </c>
      <c r="F2064" s="7">
        <f>SQRT(IRS_returns_2015_25[[#This Row],[  σ2]])</f>
        <v>3.2002608289187395</v>
      </c>
    </row>
    <row r="2065" spans="1:6" x14ac:dyDescent="0.3">
      <c r="A2065" s="2">
        <v>45092</v>
      </c>
      <c r="B2065" s="1">
        <v>2.5507830579259538</v>
      </c>
      <c r="C2065" s="1">
        <f>IRS_returns_2015_25[[#This Row],[IRSrtn]]-AVERAGE($B$2:$B$2600)</f>
        <v>2.5450065638593382</v>
      </c>
      <c r="D2065" s="1">
        <f>w+a*C2064^2+b*D2064</f>
        <v>10.246846272652679</v>
      </c>
      <c r="E2065" s="1">
        <f t="shared" si="32"/>
        <v>-2.3984748336456274</v>
      </c>
      <c r="F2065" s="7">
        <f>SQRT(IRS_returns_2015_25[[#This Row],[  σ2]])</f>
        <v>3.2010695513613383</v>
      </c>
    </row>
    <row r="2066" spans="1:6" x14ac:dyDescent="0.3">
      <c r="A2066" s="2">
        <v>45093</v>
      </c>
      <c r="B2066" s="1">
        <v>5.7569804114032008</v>
      </c>
      <c r="C2066" s="1">
        <f>IRS_returns_2015_25[[#This Row],[IRSrtn]]-AVERAGE($B$2:$B$2600)</f>
        <v>5.7512039173365848</v>
      </c>
      <c r="D2066" s="1">
        <f>w+a*C2065^2+b*D2065</f>
        <v>9.7448950611882914</v>
      </c>
      <c r="E2066" s="1">
        <f t="shared" si="32"/>
        <v>-3.7544217923029262</v>
      </c>
      <c r="F2066" s="7">
        <f>SQRT(IRS_returns_2015_25[[#This Row],[  σ2]])</f>
        <v>3.1216814477438746</v>
      </c>
    </row>
    <row r="2067" spans="1:6" x14ac:dyDescent="0.3">
      <c r="A2067" s="2">
        <v>45097</v>
      </c>
      <c r="B2067" s="1">
        <v>8.7011388408965153</v>
      </c>
      <c r="C2067" s="1">
        <f>IRS_returns_2015_25[[#This Row],[IRSrtn]]-AVERAGE($B$2:$B$2600)</f>
        <v>8.6953623468298993</v>
      </c>
      <c r="D2067" s="1">
        <f>w+a*C2066^2+b*D2066</f>
        <v>15.89164814219669</v>
      </c>
      <c r="E2067" s="1">
        <f t="shared" si="32"/>
        <v>-4.6807367287657069</v>
      </c>
      <c r="F2067" s="7">
        <f>SQRT(IRS_returns_2015_25[[#This Row],[  σ2]])</f>
        <v>3.9864330098719445</v>
      </c>
    </row>
    <row r="2068" spans="1:6" x14ac:dyDescent="0.3">
      <c r="A2068" s="2">
        <v>45098</v>
      </c>
      <c r="B2068" s="1">
        <v>-1.0309424655092769</v>
      </c>
      <c r="C2068" s="1">
        <f>IRS_returns_2015_25[[#This Row],[IRSrtn]]-AVERAGE($B$2:$B$2600)</f>
        <v>-1.0367189595758928</v>
      </c>
      <c r="D2068" s="1">
        <f>w+a*C2067^2+b*D2067</f>
        <v>30.34679510414648</v>
      </c>
      <c r="E2068" s="1">
        <f t="shared" si="32"/>
        <v>-2.6429923873973094</v>
      </c>
      <c r="F2068" s="7">
        <f>SQRT(IRS_returns_2015_25[[#This Row],[  σ2]])</f>
        <v>5.5087925268743314</v>
      </c>
    </row>
    <row r="2069" spans="1:6" x14ac:dyDescent="0.3">
      <c r="A2069" s="2">
        <v>45099</v>
      </c>
      <c r="B2069" s="1">
        <v>-5.7310756299865817</v>
      </c>
      <c r="C2069" s="1">
        <f>IRS_returns_2015_25[[#This Row],[IRSrtn]]-AVERAGE($B$2:$B$2600)</f>
        <v>-5.7368521240531978</v>
      </c>
      <c r="D2069" s="1">
        <f>w+a*C2068^2+b*D2068</f>
        <v>21.80950456081457</v>
      </c>
      <c r="E2069" s="1">
        <f t="shared" si="32"/>
        <v>-3.2146327840472559</v>
      </c>
      <c r="F2069" s="7">
        <f>SQRT(IRS_returns_2015_25[[#This Row],[  σ2]])</f>
        <v>4.6700647276900318</v>
      </c>
    </row>
    <row r="2070" spans="1:6" x14ac:dyDescent="0.3">
      <c r="A2070" s="2">
        <v>45100</v>
      </c>
      <c r="B2070" s="1">
        <v>6.6337229581469925</v>
      </c>
      <c r="C2070" s="1">
        <f>IRS_returns_2015_25[[#This Row],[IRSrtn]]-AVERAGE($B$2:$B$2600)</f>
        <v>6.6279464640803765</v>
      </c>
      <c r="D2070" s="1">
        <f>w+a*C2069^2+b*D2069</f>
        <v>23.883088763763567</v>
      </c>
      <c r="E2070" s="1">
        <f t="shared" si="32"/>
        <v>-3.425205440791188</v>
      </c>
      <c r="F2070" s="7">
        <f>SQRT(IRS_returns_2015_25[[#This Row],[  σ2]])</f>
        <v>4.8870327156428539</v>
      </c>
    </row>
    <row r="2071" spans="1:6" x14ac:dyDescent="0.3">
      <c r="A2071" s="2">
        <v>45103</v>
      </c>
      <c r="B2071" s="1">
        <v>3.2831177254089905</v>
      </c>
      <c r="C2071" s="1">
        <f>IRS_returns_2015_25[[#This Row],[IRSrtn]]-AVERAGE($B$2:$B$2600)</f>
        <v>3.2773412313423749</v>
      </c>
      <c r="D2071" s="1">
        <f>w+a*C2070^2+b*D2070</f>
        <v>27.948090802628887</v>
      </c>
      <c r="E2071" s="1">
        <f t="shared" si="32"/>
        <v>-2.7762721781529138</v>
      </c>
      <c r="F2071" s="7">
        <f>SQRT(IRS_returns_2015_25[[#This Row],[  σ2]])</f>
        <v>5.2865953885869574</v>
      </c>
    </row>
    <row r="2072" spans="1:6" x14ac:dyDescent="0.3">
      <c r="A2072" s="2">
        <v>45104</v>
      </c>
      <c r="B2072" s="1">
        <v>-0.62304383083739978</v>
      </c>
      <c r="C2072" s="1">
        <f>IRS_returns_2015_25[[#This Row],[IRSrtn]]-AVERAGE($B$2:$B$2600)</f>
        <v>-0.62882032490401563</v>
      </c>
      <c r="D2072" s="1">
        <f>w+a*C2071^2+b*D2071</f>
        <v>22.567809379214033</v>
      </c>
      <c r="E2072" s="1">
        <f t="shared" si="32"/>
        <v>-2.4859613945521595</v>
      </c>
      <c r="F2072" s="7">
        <f>SQRT(IRS_returns_2015_25[[#This Row],[  σ2]])</f>
        <v>4.7505588491475432</v>
      </c>
    </row>
    <row r="2073" spans="1:6" x14ac:dyDescent="0.3">
      <c r="A2073" s="2">
        <v>45105</v>
      </c>
      <c r="B2073" s="1">
        <v>-2.0202691071183665</v>
      </c>
      <c r="C2073" s="1">
        <f>IRS_returns_2015_25[[#This Row],[IRSrtn]]-AVERAGE($B$2:$B$2600)</f>
        <v>-2.0260456011849821</v>
      </c>
      <c r="D2073" s="1">
        <f>w+a*C2072^2+b*D2072</f>
        <v>16.465375115216798</v>
      </c>
      <c r="E2073" s="1">
        <f t="shared" si="32"/>
        <v>-2.4442196808190211</v>
      </c>
      <c r="F2073" s="7">
        <f>SQRT(IRS_returns_2015_25[[#This Row],[  σ2]])</f>
        <v>4.0577549353326896</v>
      </c>
    </row>
    <row r="2074" spans="1:6" x14ac:dyDescent="0.3">
      <c r="A2074" s="2">
        <v>45106</v>
      </c>
      <c r="B2074" s="1">
        <v>-0.12762763978826364</v>
      </c>
      <c r="C2074" s="1">
        <f>IRS_returns_2015_25[[#This Row],[IRSrtn]]-AVERAGE($B$2:$B$2600)</f>
        <v>-0.13340413385487943</v>
      </c>
      <c r="D2074" s="1">
        <f>w+a*C2073^2+b*D2073</f>
        <v>13.306688239495227</v>
      </c>
      <c r="E2074" s="1">
        <f t="shared" si="32"/>
        <v>-2.2137406363941783</v>
      </c>
      <c r="F2074" s="7">
        <f>SQRT(IRS_returns_2015_25[[#This Row],[  σ2]])</f>
        <v>3.6478333623529497</v>
      </c>
    </row>
    <row r="2075" spans="1:6" x14ac:dyDescent="0.3">
      <c r="A2075" s="2">
        <v>45107</v>
      </c>
      <c r="B2075" s="1">
        <v>3.6367568198229172</v>
      </c>
      <c r="C2075" s="1">
        <f>IRS_returns_2015_25[[#This Row],[IRSrtn]]-AVERAGE($B$2:$B$2600)</f>
        <v>3.6309803257563016</v>
      </c>
      <c r="D2075" s="1">
        <f>w+a*C2074^2+b*D2074</f>
        <v>10.208085367645802</v>
      </c>
      <c r="E2075" s="1">
        <f t="shared" si="32"/>
        <v>-2.7262920904075632</v>
      </c>
      <c r="F2075" s="7">
        <f>SQRT(IRS_returns_2015_25[[#This Row],[  σ2]])</f>
        <v>3.195009447191949</v>
      </c>
    </row>
    <row r="2076" spans="1:6" x14ac:dyDescent="0.3">
      <c r="A2076" s="2">
        <v>45110</v>
      </c>
      <c r="B2076" s="1">
        <v>0.61388248509048893</v>
      </c>
      <c r="C2076" s="1">
        <f>IRS_returns_2015_25[[#This Row],[IRSrtn]]-AVERAGE($B$2:$B$2600)</f>
        <v>0.60810599102387308</v>
      </c>
      <c r="D2076" s="1">
        <f>w+a*C2075^2+b*D2075</f>
        <v>11.353240462713256</v>
      </c>
      <c r="E2076" s="1">
        <f t="shared" si="32"/>
        <v>-2.1499759227706852</v>
      </c>
      <c r="F2076" s="7">
        <f>SQRT(IRS_returns_2015_25[[#This Row],[  σ2]])</f>
        <v>3.3694569981991545</v>
      </c>
    </row>
    <row r="2077" spans="1:6" x14ac:dyDescent="0.3">
      <c r="A2077" s="2">
        <v>45112</v>
      </c>
      <c r="B2077" s="1">
        <v>0.61012503007948915</v>
      </c>
      <c r="C2077" s="1">
        <f>IRS_returns_2015_25[[#This Row],[IRSrtn]]-AVERAGE($B$2:$B$2600)</f>
        <v>0.60434853601287331</v>
      </c>
      <c r="D2077" s="1">
        <f>w+a*C2076^2+b*D2076</f>
        <v>8.9934063349047175</v>
      </c>
      <c r="E2077" s="1">
        <f t="shared" si="32"/>
        <v>-2.0374902024854635</v>
      </c>
      <c r="F2077" s="7">
        <f>SQRT(IRS_returns_2015_25[[#This Row],[  σ2]])</f>
        <v>2.9989008544639679</v>
      </c>
    </row>
    <row r="2078" spans="1:6" x14ac:dyDescent="0.3">
      <c r="A2078" s="2">
        <v>45113</v>
      </c>
      <c r="B2078" s="1">
        <v>-4.0974056081860777</v>
      </c>
      <c r="C2078" s="1">
        <f>IRS_returns_2015_25[[#This Row],[IRSrtn]]-AVERAGE($B$2:$B$2600)</f>
        <v>-4.1031821022526938</v>
      </c>
      <c r="D2078" s="1">
        <f>w+a*C2077^2+b*D2077</f>
        <v>7.4213153095414111</v>
      </c>
      <c r="E2078" s="1">
        <f t="shared" si="32"/>
        <v>-3.055423926144222</v>
      </c>
      <c r="F2078" s="7">
        <f>SQRT(IRS_returns_2015_25[[#This Row],[  σ2]])</f>
        <v>2.7242091163384301</v>
      </c>
    </row>
    <row r="2079" spans="1:6" x14ac:dyDescent="0.3">
      <c r="A2079" s="2">
        <v>45114</v>
      </c>
      <c r="B2079" s="1">
        <v>1.6342227872632176</v>
      </c>
      <c r="C2079" s="1">
        <f>IRS_returns_2015_25[[#This Row],[IRSrtn]]-AVERAGE($B$2:$B$2600)</f>
        <v>1.6284462931966017</v>
      </c>
      <c r="D2079" s="1">
        <f>w+a*C2078^2+b*D2078</f>
        <v>10.387870782595309</v>
      </c>
      <c r="E2079" s="1">
        <f t="shared" si="32"/>
        <v>-2.2168990038682121</v>
      </c>
      <c r="F2079" s="7">
        <f>SQRT(IRS_returns_2015_25[[#This Row],[  σ2]])</f>
        <v>3.2230219953632506</v>
      </c>
    </row>
    <row r="2080" spans="1:6" x14ac:dyDescent="0.3">
      <c r="A2080" s="2">
        <v>45117</v>
      </c>
      <c r="B2080" s="1">
        <v>-2.0151737567529082</v>
      </c>
      <c r="C2080" s="1">
        <f>IRS_returns_2015_25[[#This Row],[IRSrtn]]-AVERAGE($B$2:$B$2600)</f>
        <v>-2.0209502508195238</v>
      </c>
      <c r="D2080" s="1">
        <f>w+a*C2079^2+b*D2079</f>
        <v>8.9067632028181833</v>
      </c>
      <c r="E2080" s="1">
        <f t="shared" si="32"/>
        <v>-2.2416214328599948</v>
      </c>
      <c r="F2080" s="7">
        <f>SQRT(IRS_returns_2015_25[[#This Row],[  σ2]])</f>
        <v>2.9844200781421812</v>
      </c>
    </row>
    <row r="2081" spans="1:6" x14ac:dyDescent="0.3">
      <c r="A2081" s="2">
        <v>45118</v>
      </c>
      <c r="B2081" s="1">
        <v>2.5126989979013636</v>
      </c>
      <c r="C2081" s="1">
        <f>IRS_returns_2015_25[[#This Row],[IRSrtn]]-AVERAGE($B$2:$B$2600)</f>
        <v>2.506922503834748</v>
      </c>
      <c r="D2081" s="1">
        <f>w+a*C2080^2+b*D2080</f>
        <v>8.2697696916807111</v>
      </c>
      <c r="E2081" s="1">
        <f t="shared" si="32"/>
        <v>-2.3552198235675563</v>
      </c>
      <c r="F2081" s="7">
        <f>SQRT(IRS_returns_2015_25[[#This Row],[  σ2]])</f>
        <v>2.8757207256061412</v>
      </c>
    </row>
    <row r="2082" spans="1:6" x14ac:dyDescent="0.3">
      <c r="A2082" s="2">
        <v>45119</v>
      </c>
      <c r="B2082" s="1">
        <v>2.208673842451736</v>
      </c>
      <c r="C2082" s="1">
        <f>IRS_returns_2015_25[[#This Row],[IRSrtn]]-AVERAGE($B$2:$B$2600)</f>
        <v>2.2028973483851204</v>
      </c>
      <c r="D2082" s="1">
        <f>w+a*C2081^2+b*D2081</f>
        <v>8.3818444168524007</v>
      </c>
      <c r="E2082" s="1">
        <f t="shared" si="32"/>
        <v>-2.2714527706992276</v>
      </c>
      <c r="F2082" s="7">
        <f>SQRT(IRS_returns_2015_25[[#This Row],[  σ2]])</f>
        <v>2.8951415193134169</v>
      </c>
    </row>
    <row r="2083" spans="1:6" x14ac:dyDescent="0.3">
      <c r="A2083" s="2">
        <v>45120</v>
      </c>
      <c r="B2083" s="1">
        <v>-0.85314129275682049</v>
      </c>
      <c r="C2083" s="1">
        <f>IRS_returns_2015_25[[#This Row],[IRSrtn]]-AVERAGE($B$2:$B$2600)</f>
        <v>-0.85891778682343634</v>
      </c>
      <c r="D2083" s="1">
        <f>w+a*C2082^2+b*D2082</f>
        <v>8.1075714260645881</v>
      </c>
      <c r="E2083" s="1">
        <f t="shared" si="32"/>
        <v>-2.0108346813478812</v>
      </c>
      <c r="F2083" s="7">
        <f>SQRT(IRS_returns_2015_25[[#This Row],[  σ2]])</f>
        <v>2.8473797474282541</v>
      </c>
    </row>
    <row r="2084" spans="1:6" x14ac:dyDescent="0.3">
      <c r="A2084" s="2">
        <v>45121</v>
      </c>
      <c r="B2084" s="1">
        <v>-5.7950702087059991</v>
      </c>
      <c r="C2084" s="1">
        <f>IRS_returns_2015_25[[#This Row],[IRSrtn]]-AVERAGE($B$2:$B$2600)</f>
        <v>-5.8008467027726152</v>
      </c>
      <c r="D2084" s="1">
        <f>w+a*C2083^2+b*D2083</f>
        <v>6.9223603806425142</v>
      </c>
      <c r="E2084" s="1">
        <f t="shared" si="32"/>
        <v>-4.3168334526273551</v>
      </c>
      <c r="F2084" s="7">
        <f>SQRT(IRS_returns_2015_25[[#This Row],[  σ2]])</f>
        <v>2.631037890385183</v>
      </c>
    </row>
    <row r="2085" spans="1:6" x14ac:dyDescent="0.3">
      <c r="A2085" s="2">
        <v>45124</v>
      </c>
      <c r="B2085" s="1">
        <v>0.51746512807633316</v>
      </c>
      <c r="C2085" s="1">
        <f>IRS_returns_2015_25[[#This Row],[IRSrtn]]-AVERAGE($B$2:$B$2600)</f>
        <v>0.51168863400971731</v>
      </c>
      <c r="D2085" s="1">
        <f>w+a*C2084^2+b*D2084</f>
        <v>14.152366918966234</v>
      </c>
      <c r="E2085" s="1">
        <f t="shared" si="32"/>
        <v>-2.2531297035573785</v>
      </c>
      <c r="F2085" s="7">
        <f>SQRT(IRS_returns_2015_25[[#This Row],[  σ2]])</f>
        <v>3.7619631735260559</v>
      </c>
    </row>
    <row r="2086" spans="1:6" x14ac:dyDescent="0.3">
      <c r="A2086" s="2">
        <v>45126</v>
      </c>
      <c r="B2086" s="1">
        <v>-0.25840102046785773</v>
      </c>
      <c r="C2086" s="1">
        <f>IRS_returns_2015_25[[#This Row],[IRSrtn]]-AVERAGE($B$2:$B$2600)</f>
        <v>-0.26417751453447352</v>
      </c>
      <c r="D2086" s="1">
        <f>w+a*C2085^2+b*D2085</f>
        <v>10.830525309470802</v>
      </c>
      <c r="E2086" s="1">
        <f t="shared" si="32"/>
        <v>-2.1133447165701527</v>
      </c>
      <c r="F2086" s="7">
        <f>SQRT(IRS_returns_2015_25[[#This Row],[  σ2]])</f>
        <v>3.2909763459300043</v>
      </c>
    </row>
    <row r="2087" spans="1:6" x14ac:dyDescent="0.3">
      <c r="A2087" s="2">
        <v>45127</v>
      </c>
      <c r="B2087" s="1">
        <v>-2.7542782619053741</v>
      </c>
      <c r="C2087" s="1">
        <f>IRS_returns_2015_25[[#This Row],[IRSrtn]]-AVERAGE($B$2:$B$2600)</f>
        <v>-2.7600547559719897</v>
      </c>
      <c r="D2087" s="1">
        <f>w+a*C2086^2+b*D2086</f>
        <v>8.5723304260967996</v>
      </c>
      <c r="E2087" s="1">
        <f t="shared" si="32"/>
        <v>-2.4375392259216113</v>
      </c>
      <c r="F2087" s="7">
        <f>SQRT(IRS_returns_2015_25[[#This Row],[  σ2]])</f>
        <v>2.9278542358008193</v>
      </c>
    </row>
    <row r="2088" spans="1:6" x14ac:dyDescent="0.3">
      <c r="A2088" s="2">
        <v>45128</v>
      </c>
      <c r="B2088" s="1">
        <v>4.2947438977556152</v>
      </c>
      <c r="C2088" s="1">
        <f>IRS_returns_2015_25[[#This Row],[IRSrtn]]-AVERAGE($B$2:$B$2600)</f>
        <v>4.2889674036889991</v>
      </c>
      <c r="D2088" s="1">
        <f>w+a*C2087^2+b*D2087</f>
        <v>8.9081082146404107</v>
      </c>
      <c r="E2088" s="1">
        <f t="shared" si="32"/>
        <v>-3.0449193655067806</v>
      </c>
      <c r="F2088" s="7">
        <f>SQRT(IRS_returns_2015_25[[#This Row],[  σ2]])</f>
        <v>2.9846454085268506</v>
      </c>
    </row>
    <row r="2089" spans="1:6" x14ac:dyDescent="0.3">
      <c r="A2089" s="2">
        <v>45131</v>
      </c>
      <c r="B2089" s="1">
        <v>-0.25509883966612357</v>
      </c>
      <c r="C2089" s="1">
        <f>IRS_returns_2015_25[[#This Row],[IRSrtn]]-AVERAGE($B$2:$B$2600)</f>
        <v>-0.26087533373273936</v>
      </c>
      <c r="D2089" s="1">
        <f>w+a*C2088^2+b*D2088</f>
        <v>11.757537288172891</v>
      </c>
      <c r="E2089" s="1">
        <f t="shared" si="32"/>
        <v>-2.1540799272670275</v>
      </c>
      <c r="F2089" s="7">
        <f>SQRT(IRS_returns_2015_25[[#This Row],[  σ2]])</f>
        <v>3.4289265504196633</v>
      </c>
    </row>
    <row r="2090" spans="1:6" x14ac:dyDescent="0.3">
      <c r="A2090" s="2">
        <v>45132</v>
      </c>
      <c r="B2090" s="1">
        <v>-0.12779700068201727</v>
      </c>
      <c r="C2090" s="1">
        <f>IRS_returns_2015_25[[#This Row],[IRSrtn]]-AVERAGE($B$2:$B$2600)</f>
        <v>-0.13357349474863306</v>
      </c>
      <c r="D2090" s="1">
        <f>w+a*C2089^2+b*D2089</f>
        <v>9.1890353490650245</v>
      </c>
      <c r="E2090" s="1">
        <f t="shared" si="32"/>
        <v>-2.0289148392527578</v>
      </c>
      <c r="F2090" s="7">
        <f>SQRT(IRS_returns_2015_25[[#This Row],[  σ2]])</f>
        <v>3.0313421695785228</v>
      </c>
    </row>
    <row r="2091" spans="1:6" x14ac:dyDescent="0.3">
      <c r="A2091" s="2">
        <v>45133</v>
      </c>
      <c r="B2091" s="1">
        <v>-1.5464212517574349</v>
      </c>
      <c r="C2091" s="1">
        <f>IRS_returns_2015_25[[#This Row],[IRSrtn]]-AVERAGE($B$2:$B$2600)</f>
        <v>-1.5521977458240508</v>
      </c>
      <c r="D2091" s="1">
        <f>w+a*C2090^2+b*D2090</f>
        <v>7.4669060355862396</v>
      </c>
      <c r="E2091" s="1">
        <f t="shared" si="32"/>
        <v>-2.0855119735003811</v>
      </c>
      <c r="F2091" s="7">
        <f>SQRT(IRS_returns_2015_25[[#This Row],[  σ2]])</f>
        <v>2.7325640039322483</v>
      </c>
    </row>
    <row r="2092" spans="1:6" x14ac:dyDescent="0.3">
      <c r="A2092" s="2">
        <v>45134</v>
      </c>
      <c r="B2092" s="1">
        <v>-2.6317350732047551</v>
      </c>
      <c r="C2092" s="1">
        <f>IRS_returns_2015_25[[#This Row],[IRSrtn]]-AVERAGE($B$2:$B$2600)</f>
        <v>-2.6375115672713707</v>
      </c>
      <c r="D2092" s="1">
        <f>w+a*C2091^2+b*D2091</f>
        <v>6.9031383346146376</v>
      </c>
      <c r="E2092" s="1">
        <f t="shared" si="32"/>
        <v>-2.3887892614244199</v>
      </c>
      <c r="F2092" s="7">
        <f>SQRT(IRS_returns_2015_25[[#This Row],[  σ2]])</f>
        <v>2.6273824111869666</v>
      </c>
    </row>
    <row r="2093" spans="1:6" x14ac:dyDescent="0.3">
      <c r="A2093" s="2">
        <v>45135</v>
      </c>
      <c r="B2093" s="1">
        <v>2.6317350732047551</v>
      </c>
      <c r="C2093" s="1">
        <f>IRS_returns_2015_25[[#This Row],[IRSrtn]]-AVERAGE($B$2:$B$2600)</f>
        <v>2.6259585791381395</v>
      </c>
      <c r="D2093" s="1">
        <f>w+a*C2092^2+b*D2092</f>
        <v>7.6357406596085999</v>
      </c>
      <c r="E2093" s="1">
        <f t="shared" si="32"/>
        <v>-2.3868967877854548</v>
      </c>
      <c r="F2093" s="7">
        <f>SQRT(IRS_returns_2015_25[[#This Row],[  σ2]])</f>
        <v>2.7632843971637446</v>
      </c>
    </row>
    <row r="2094" spans="1:6" x14ac:dyDescent="0.3">
      <c r="A2094" s="2">
        <v>45138</v>
      </c>
      <c r="B2094" s="1">
        <v>-1.3072102495645499</v>
      </c>
      <c r="C2094" s="1">
        <f>IRS_returns_2015_25[[#This Row],[IRSrtn]]-AVERAGE($B$2:$B$2600)</f>
        <v>-1.3129867436311657</v>
      </c>
      <c r="D2094" s="1">
        <f>w+a*C2093^2+b*D2093</f>
        <v>8.1086302195348665</v>
      </c>
      <c r="E2094" s="1">
        <f t="shared" si="32"/>
        <v>-2.0717054398194019</v>
      </c>
      <c r="F2094" s="7">
        <f>SQRT(IRS_returns_2015_25[[#This Row],[  σ2]])</f>
        <v>2.8475656655351895</v>
      </c>
    </row>
    <row r="2095" spans="1:6" x14ac:dyDescent="0.3">
      <c r="A2095" s="2">
        <v>45139</v>
      </c>
      <c r="B2095" s="1">
        <v>-1.9934247346695244</v>
      </c>
      <c r="C2095" s="1">
        <f>IRS_returns_2015_25[[#This Row],[IRSrtn]]-AVERAGE($B$2:$B$2600)</f>
        <v>-1.9992012287361403</v>
      </c>
      <c r="D2095" s="1">
        <f>w+a*C2094^2+b*D2094</f>
        <v>7.1633512806074071</v>
      </c>
      <c r="E2095" s="1">
        <f t="shared" si="32"/>
        <v>-2.1824034535870158</v>
      </c>
      <c r="F2095" s="7">
        <f>SQRT(IRS_returns_2015_25[[#This Row],[  σ2]])</f>
        <v>2.67644377497593</v>
      </c>
    </row>
    <row r="2096" spans="1:6" x14ac:dyDescent="0.3">
      <c r="A2096" s="2">
        <v>45140</v>
      </c>
      <c r="B2096" s="1">
        <v>-1.7603639918917002</v>
      </c>
      <c r="C2096" s="1">
        <f>IRS_returns_2015_25[[#This Row],[IRSrtn]]-AVERAGE($B$2:$B$2600)</f>
        <v>-1.7661404859583161</v>
      </c>
      <c r="D2096" s="1">
        <f>w+a*C2095^2+b*D2095</f>
        <v>7.0878478744574505</v>
      </c>
      <c r="E2096" s="1">
        <f t="shared" si="32"/>
        <v>-2.1181716746376824</v>
      </c>
      <c r="F2096" s="7">
        <f>SQRT(IRS_returns_2015_25[[#This Row],[  σ2]])</f>
        <v>2.6623012366104346</v>
      </c>
    </row>
    <row r="2097" spans="1:6" x14ac:dyDescent="0.3">
      <c r="A2097" s="2">
        <v>45141</v>
      </c>
      <c r="B2097" s="1">
        <v>-2.9108144588052776</v>
      </c>
      <c r="C2097" s="1">
        <f>IRS_returns_2015_25[[#This Row],[IRSrtn]]-AVERAGE($B$2:$B$2600)</f>
        <v>-2.9165909528718932</v>
      </c>
      <c r="D2097" s="1">
        <f>w+a*C2096^2+b*D2096</f>
        <v>6.8237683274831085</v>
      </c>
      <c r="E2097" s="1">
        <f t="shared" si="32"/>
        <v>-2.5024439641385268</v>
      </c>
      <c r="F2097" s="7">
        <f>SQRT(IRS_returns_2015_25[[#This Row],[  σ2]])</f>
        <v>2.6122343553906315</v>
      </c>
    </row>
    <row r="2098" spans="1:6" x14ac:dyDescent="0.3">
      <c r="A2098" s="2">
        <v>45142</v>
      </c>
      <c r="B2098" s="1">
        <v>2.637226781501556</v>
      </c>
      <c r="C2098" s="1">
        <f>IRS_returns_2015_25[[#This Row],[IRSrtn]]-AVERAGE($B$2:$B$2600)</f>
        <v>2.6314502874349404</v>
      </c>
      <c r="D2098" s="1">
        <f>w+a*C2097^2+b*D2097</f>
        <v>7.9605685150564574</v>
      </c>
      <c r="E2098" s="1">
        <f t="shared" si="32"/>
        <v>-2.3911156326947411</v>
      </c>
      <c r="F2098" s="7">
        <f>SQRT(IRS_returns_2015_25[[#This Row],[  σ2]])</f>
        <v>2.8214479465438411</v>
      </c>
    </row>
    <row r="2099" spans="1:6" x14ac:dyDescent="0.3">
      <c r="A2099" s="2">
        <v>45145</v>
      </c>
      <c r="B2099" s="1">
        <v>-0.68730246116064375</v>
      </c>
      <c r="C2099" s="1">
        <f>IRS_returns_2015_25[[#This Row],[IRSrtn]]-AVERAGE($B$2:$B$2600)</f>
        <v>-0.6930789552272596</v>
      </c>
      <c r="D2099" s="1">
        <f>w+a*C2098^2+b*D2098</f>
        <v>8.3319082459659004</v>
      </c>
      <c r="E2099" s="1">
        <f t="shared" si="32"/>
        <v>-2.007811224664187</v>
      </c>
      <c r="F2099" s="7">
        <f>SQRT(IRS_returns_2015_25[[#This Row],[  σ2]])</f>
        <v>2.8865045030219338</v>
      </c>
    </row>
    <row r="2100" spans="1:6" x14ac:dyDescent="0.3">
      <c r="A2100" s="2">
        <v>45146</v>
      </c>
      <c r="B2100" s="1">
        <v>2.5869408223806234</v>
      </c>
      <c r="C2100" s="1">
        <f>IRS_returns_2015_25[[#This Row],[IRSrtn]]-AVERAGE($B$2:$B$2600)</f>
        <v>2.5811643283140078</v>
      </c>
      <c r="D2100" s="1">
        <f>w+a*C2099^2+b*D2099</f>
        <v>7.0089942504203409</v>
      </c>
      <c r="E2100" s="1">
        <f t="shared" si="32"/>
        <v>-2.3678113412667825</v>
      </c>
      <c r="F2100" s="7">
        <f>SQRT(IRS_returns_2015_25[[#This Row],[  σ2]])</f>
        <v>2.647450518974876</v>
      </c>
    </row>
    <row r="2101" spans="1:6" x14ac:dyDescent="0.3">
      <c r="A2101" s="2">
        <v>45148</v>
      </c>
      <c r="B2101" s="1">
        <v>0.13431330797544216</v>
      </c>
      <c r="C2101" s="1">
        <f>IRS_returns_2015_25[[#This Row],[IRSrtn]]-AVERAGE($B$2:$B$2600)</f>
        <v>0.12853681390882638</v>
      </c>
      <c r="D2101" s="1">
        <f>w+a*C2100^2+b*D2100</f>
        <v>7.6345635536913852</v>
      </c>
      <c r="E2101" s="1">
        <f t="shared" si="32"/>
        <v>-1.9363634536366061</v>
      </c>
      <c r="F2101" s="7">
        <f>SQRT(IRS_returns_2015_25[[#This Row],[  σ2]])</f>
        <v>2.7630713985873374</v>
      </c>
    </row>
    <row r="2102" spans="1:6" x14ac:dyDescent="0.3">
      <c r="A2102" s="2">
        <v>45149</v>
      </c>
      <c r="B2102" s="1">
        <v>-0.80862577458198359</v>
      </c>
      <c r="C2102" s="1">
        <f>IRS_returns_2015_25[[#This Row],[IRSrtn]]-AVERAGE($B$2:$B$2600)</f>
        <v>-0.81440226864859944</v>
      </c>
      <c r="D2102" s="1">
        <f>w+a*C2101^2+b*D2101</f>
        <v>6.4317465228834028</v>
      </c>
      <c r="E2102" s="1">
        <f t="shared" si="32"/>
        <v>-1.9011223215308743</v>
      </c>
      <c r="F2102" s="7">
        <f>SQRT(IRS_returns_2015_25[[#This Row],[  σ2]])</f>
        <v>2.5360888239340915</v>
      </c>
    </row>
    <row r="2103" spans="1:6" x14ac:dyDescent="0.3">
      <c r="A2103" s="2">
        <v>45152</v>
      </c>
      <c r="B2103" s="1">
        <v>-5.994833157167756</v>
      </c>
      <c r="C2103" s="1">
        <f>IRS_returns_2015_25[[#This Row],[IRSrtn]]-AVERAGE($B$2:$B$2600)</f>
        <v>-6.0006096512343721</v>
      </c>
      <c r="D2103" s="1">
        <f>w+a*C2102^2+b*D2102</f>
        <v>5.7885865771860185</v>
      </c>
      <c r="E2103" s="1">
        <f t="shared" si="32"/>
        <v>-4.9070819367263372</v>
      </c>
      <c r="F2103" s="7">
        <f>SQRT(IRS_returns_2015_25[[#This Row],[  σ2]])</f>
        <v>2.4059481659391624</v>
      </c>
    </row>
    <row r="2104" spans="1:6" x14ac:dyDescent="0.3">
      <c r="A2104" s="2">
        <v>45153</v>
      </c>
      <c r="B2104" s="1">
        <v>-1.885473223219325</v>
      </c>
      <c r="C2104" s="1">
        <f>IRS_returns_2015_25[[#This Row],[IRSrtn]]-AVERAGE($B$2:$B$2600)</f>
        <v>-1.8912497172859408</v>
      </c>
      <c r="D2104" s="1">
        <f>w+a*C2103^2+b*D2103</f>
        <v>13.971997547958418</v>
      </c>
      <c r="E2104" s="1">
        <f t="shared" si="32"/>
        <v>-2.3654658985383299</v>
      </c>
      <c r="F2104" s="7">
        <f>SQRT(IRS_returns_2015_25[[#This Row],[  σ2]])</f>
        <v>3.7379135286892899</v>
      </c>
    </row>
    <row r="2105" spans="1:6" x14ac:dyDescent="0.3">
      <c r="A2105" s="2">
        <v>45154</v>
      </c>
      <c r="B2105" s="1">
        <v>1.7416971442369311</v>
      </c>
      <c r="C2105" s="1">
        <f>IRS_returns_2015_25[[#This Row],[IRSrtn]]-AVERAGE($B$2:$B$2600)</f>
        <v>1.7359206501703153</v>
      </c>
      <c r="D2105" s="1">
        <f>w+a*C2104^2+b*D2104</f>
        <v>11.518149445276681</v>
      </c>
      <c r="E2105" s="1">
        <f t="shared" si="32"/>
        <v>-2.2717123690515439</v>
      </c>
      <c r="F2105" s="7">
        <f>SQRT(IRS_returns_2015_25[[#This Row],[  σ2]])</f>
        <v>3.3938399262894943</v>
      </c>
    </row>
    <row r="2106" spans="1:6" x14ac:dyDescent="0.3">
      <c r="A2106" s="2">
        <v>45155</v>
      </c>
      <c r="B2106" s="1">
        <v>1.5703431066093732</v>
      </c>
      <c r="C2106" s="1">
        <f>IRS_returns_2015_25[[#This Row],[IRSrtn]]-AVERAGE($B$2:$B$2600)</f>
        <v>1.5645666125427573</v>
      </c>
      <c r="D2106" s="1">
        <f>w+a*C2105^2+b*D2105</f>
        <v>9.7473082559734134</v>
      </c>
      <c r="E2106" s="1">
        <f t="shared" si="32"/>
        <v>-2.1830005118430691</v>
      </c>
      <c r="F2106" s="7">
        <f>SQRT(IRS_returns_2015_25[[#This Row],[  σ2]])</f>
        <v>3.1220679454447198</v>
      </c>
    </row>
    <row r="2107" spans="1:6" x14ac:dyDescent="0.3">
      <c r="A2107" s="2">
        <v>45156</v>
      </c>
      <c r="B2107" s="1">
        <v>1.1267715127932787</v>
      </c>
      <c r="C2107" s="1">
        <f>IRS_returns_2015_25[[#This Row],[IRSrtn]]-AVERAGE($B$2:$B$2600)</f>
        <v>1.1209950187266629</v>
      </c>
      <c r="D2107" s="1">
        <f>w+a*C2106^2+b*D2106</f>
        <v>8.4306331097935949</v>
      </c>
      <c r="E2107" s="1">
        <f t="shared" si="32"/>
        <v>-2.0594020763713634</v>
      </c>
      <c r="F2107" s="7">
        <f>SQRT(IRS_returns_2015_25[[#This Row],[  σ2]])</f>
        <v>2.9035552534425095</v>
      </c>
    </row>
    <row r="2108" spans="1:6" x14ac:dyDescent="0.3">
      <c r="A2108" s="2">
        <v>45159</v>
      </c>
      <c r="B2108" s="1">
        <v>-1.4104698378883063</v>
      </c>
      <c r="C2108" s="1">
        <f>IRS_returns_2015_25[[#This Row],[IRSrtn]]-AVERAGE($B$2:$B$2600)</f>
        <v>-1.4162463319549221</v>
      </c>
      <c r="D2108" s="1">
        <f>w+a*C2107^2+b*D2107</f>
        <v>7.2638553878859442</v>
      </c>
      <c r="E2108" s="1">
        <f t="shared" si="32"/>
        <v>-2.0484578868024284</v>
      </c>
      <c r="F2108" s="7">
        <f>SQRT(IRS_returns_2015_25[[#This Row],[  σ2]])</f>
        <v>2.6951540564290464</v>
      </c>
    </row>
    <row r="2109" spans="1:6" x14ac:dyDescent="0.3">
      <c r="A2109" s="2">
        <v>45160</v>
      </c>
      <c r="B2109" s="1">
        <v>2.9393360988617223</v>
      </c>
      <c r="C2109" s="1">
        <f>IRS_returns_2015_25[[#This Row],[IRSrtn]]-AVERAGE($B$2:$B$2600)</f>
        <v>2.9335596047951067</v>
      </c>
      <c r="D2109" s="1">
        <f>w+a*C2108^2+b*D2108</f>
        <v>6.6696358082473726</v>
      </c>
      <c r="E2109" s="1">
        <f t="shared" si="32"/>
        <v>-2.5128667290289837</v>
      </c>
      <c r="F2109" s="7">
        <f>SQRT(IRS_returns_2015_25[[#This Row],[  σ2]])</f>
        <v>2.5825638052616187</v>
      </c>
    </row>
    <row r="2110" spans="1:6" x14ac:dyDescent="0.3">
      <c r="A2110" s="2">
        <v>45161</v>
      </c>
      <c r="B2110" s="1">
        <v>2.0478498014618429</v>
      </c>
      <c r="C2110" s="1">
        <f>IRS_returns_2015_25[[#This Row],[IRSrtn]]-AVERAGE($B$2:$B$2600)</f>
        <v>2.0420733073952273</v>
      </c>
      <c r="D2110" s="1">
        <f>w+a*C2109^2+b*D2109</f>
        <v>7.8821468308865468</v>
      </c>
      <c r="E2110" s="1">
        <f t="shared" si="32"/>
        <v>-2.2157645502846162</v>
      </c>
      <c r="F2110" s="7">
        <f>SQRT(IRS_returns_2015_25[[#This Row],[  σ2]])</f>
        <v>2.8075161319013908</v>
      </c>
    </row>
    <row r="2111" spans="1:6" x14ac:dyDescent="0.3">
      <c r="A2111" s="2">
        <v>45162</v>
      </c>
      <c r="B2111" s="1">
        <v>-3.4367632856448616</v>
      </c>
      <c r="C2111" s="1">
        <f>IRS_returns_2015_25[[#This Row],[IRSrtn]]-AVERAGE($B$2:$B$2600)</f>
        <v>-3.4425397797114772</v>
      </c>
      <c r="D2111" s="1">
        <f>w+a*C2110^2+b*D2110</f>
        <v>7.6085763183411608</v>
      </c>
      <c r="E2111" s="1">
        <f t="shared" si="32"/>
        <v>-2.712374050772687</v>
      </c>
      <c r="F2111" s="7">
        <f>SQRT(IRS_returns_2015_25[[#This Row],[  σ2]])</f>
        <v>2.7583647906578928</v>
      </c>
    </row>
    <row r="2112" spans="1:6" x14ac:dyDescent="0.3">
      <c r="A2112" s="2">
        <v>45163</v>
      </c>
      <c r="B2112" s="1">
        <v>-0.13995277679039742</v>
      </c>
      <c r="C2112" s="1">
        <f>IRS_returns_2015_25[[#This Row],[IRSrtn]]-AVERAGE($B$2:$B$2600)</f>
        <v>-0.1457292708570132</v>
      </c>
      <c r="D2112" s="1">
        <f>w+a*C2111^2+b*D2111</f>
        <v>9.297933808857362</v>
      </c>
      <c r="E2112" s="1">
        <f t="shared" si="32"/>
        <v>-2.0349766644124703</v>
      </c>
      <c r="F2112" s="7">
        <f>SQRT(IRS_returns_2015_25[[#This Row],[  σ2]])</f>
        <v>3.0492513521940694</v>
      </c>
    </row>
    <row r="2113" spans="1:6" x14ac:dyDescent="0.3">
      <c r="A2113" s="2">
        <v>45166</v>
      </c>
      <c r="B2113" s="1">
        <v>3.576716062435259</v>
      </c>
      <c r="C2113" s="1">
        <f>IRS_returns_2015_25[[#This Row],[IRSrtn]]-AVERAGE($B$2:$B$2600)</f>
        <v>3.5709395683686433</v>
      </c>
      <c r="D2113" s="1">
        <f>w+a*C2112^2+b*D2112</f>
        <v>7.5402287858603394</v>
      </c>
      <c r="E2113" s="1">
        <f t="shared" si="32"/>
        <v>-2.7746365786969927</v>
      </c>
      <c r="F2113" s="7">
        <f>SQRT(IRS_returns_2015_25[[#This Row],[  σ2]])</f>
        <v>2.7459477026812329</v>
      </c>
    </row>
    <row r="2114" spans="1:6" x14ac:dyDescent="0.3">
      <c r="A2114" s="2">
        <v>45167</v>
      </c>
      <c r="B2114" s="1">
        <v>-1.3605473403011992</v>
      </c>
      <c r="C2114" s="1">
        <f>IRS_returns_2015_25[[#This Row],[IRSrtn]]-AVERAGE($B$2:$B$2600)</f>
        <v>-1.366323834367815</v>
      </c>
      <c r="D2114" s="1">
        <f>w+a*C2113^2+b*D2113</f>
        <v>9.471847461595825</v>
      </c>
      <c r="E2114" s="1">
        <f t="shared" ref="E2114:E2177" si="33">-0.5*(LN(2*PI())+LN(D2114)+C2114^2/D2114)</f>
        <v>-2.1416473362681745</v>
      </c>
      <c r="F2114" s="7">
        <f>SQRT(IRS_returns_2015_25[[#This Row],[  σ2]])</f>
        <v>3.0776366682238216</v>
      </c>
    </row>
    <row r="2115" spans="1:6" x14ac:dyDescent="0.3">
      <c r="A2115" s="2">
        <v>45168</v>
      </c>
      <c r="B2115" s="1">
        <v>-1.3793478718007623</v>
      </c>
      <c r="C2115" s="1">
        <f>IRS_returns_2015_25[[#This Row],[IRSrtn]]-AVERAGE($B$2:$B$2600)</f>
        <v>-1.3851243658673782</v>
      </c>
      <c r="D2115" s="1">
        <f>w+a*C2114^2+b*D2114</f>
        <v>8.1056869502337783</v>
      </c>
      <c r="E2115" s="1">
        <f t="shared" si="33"/>
        <v>-2.0835686131347999</v>
      </c>
      <c r="F2115" s="7">
        <f>SQRT(IRS_returns_2015_25[[#This Row],[  σ2]])</f>
        <v>2.8470488141642001</v>
      </c>
    </row>
    <row r="2116" spans="1:6" x14ac:dyDescent="0.3">
      <c r="A2116" s="2">
        <v>45170</v>
      </c>
      <c r="B2116" s="1">
        <v>0.13879411288768573</v>
      </c>
      <c r="C2116" s="1">
        <f>IRS_returns_2015_25[[#This Row],[IRSrtn]]-AVERAGE($B$2:$B$2600)</f>
        <v>0.13301761882106994</v>
      </c>
      <c r="D2116" s="1">
        <f>w+a*C2115^2+b*D2115</f>
        <v>7.2088147477429221</v>
      </c>
      <c r="E2116" s="1">
        <f t="shared" si="33"/>
        <v>-1.907818032873319</v>
      </c>
      <c r="F2116" s="7">
        <f>SQRT(IRS_returns_2015_25[[#This Row],[  σ2]])</f>
        <v>2.684923601844738</v>
      </c>
    </row>
    <row r="2117" spans="1:6" x14ac:dyDescent="0.3">
      <c r="A2117" s="2">
        <v>45174</v>
      </c>
      <c r="B2117" s="1">
        <v>-5.2681192543665434</v>
      </c>
      <c r="C2117" s="1">
        <f>IRS_returns_2015_25[[#This Row],[IRSrtn]]-AVERAGE($B$2:$B$2600)</f>
        <v>-5.2738957484331594</v>
      </c>
      <c r="D2117" s="1">
        <f>w+a*C2116^2+b*D2116</f>
        <v>6.148603978374517</v>
      </c>
      <c r="E2117" s="1">
        <f t="shared" si="33"/>
        <v>-4.0888633759877546</v>
      </c>
      <c r="F2117" s="7">
        <f>SQRT(IRS_returns_2015_25[[#This Row],[  σ2]])</f>
        <v>2.4796378724270438</v>
      </c>
    </row>
    <row r="2118" spans="1:6" x14ac:dyDescent="0.3">
      <c r="A2118" s="2">
        <v>45175</v>
      </c>
      <c r="B2118" s="1">
        <v>-1.7699634652207585</v>
      </c>
      <c r="C2118" s="1">
        <f>IRS_returns_2015_25[[#This Row],[IRSrtn]]-AVERAGE($B$2:$B$2600)</f>
        <v>-1.7757399592873744</v>
      </c>
      <c r="D2118" s="1">
        <f>w+a*C2117^2+b*D2117</f>
        <v>12.215361796296268</v>
      </c>
      <c r="E2118" s="1">
        <f t="shared" si="33"/>
        <v>-2.2993548315471233</v>
      </c>
      <c r="F2118" s="7">
        <f>SQRT(IRS_returns_2015_25[[#This Row],[  σ2]])</f>
        <v>3.4950481822567578</v>
      </c>
    </row>
    <row r="2119" spans="1:6" x14ac:dyDescent="0.3">
      <c r="A2119" s="2">
        <v>45176</v>
      </c>
      <c r="B2119" s="1">
        <v>-5.035386389906793</v>
      </c>
      <c r="C2119" s="1">
        <f>IRS_returns_2015_25[[#This Row],[IRSrtn]]-AVERAGE($B$2:$B$2600)</f>
        <v>-5.0411628839734091</v>
      </c>
      <c r="D2119" s="1">
        <f>w+a*C2118^2+b*D2118</f>
        <v>10.245524180716334</v>
      </c>
      <c r="E2119" s="1">
        <f t="shared" si="33"/>
        <v>-3.3225748684414871</v>
      </c>
      <c r="F2119" s="7">
        <f>SQRT(IRS_returns_2015_25[[#This Row],[  σ2]])</f>
        <v>3.2008630368568309</v>
      </c>
    </row>
    <row r="2120" spans="1:6" x14ac:dyDescent="0.3">
      <c r="A2120" s="2">
        <v>45177</v>
      </c>
      <c r="B2120" s="1">
        <v>-1.1015109238066367</v>
      </c>
      <c r="C2120" s="1">
        <f>IRS_returns_2015_25[[#This Row],[IRSrtn]]-AVERAGE($B$2:$B$2600)</f>
        <v>-1.1072874178732526</v>
      </c>
      <c r="D2120" s="1">
        <f>w+a*C2119^2+b*D2119</f>
        <v>14.357831465102933</v>
      </c>
      <c r="E2120" s="1">
        <f t="shared" si="33"/>
        <v>-2.2937837477767706</v>
      </c>
      <c r="F2120" s="7">
        <f>SQRT(IRS_returns_2015_25[[#This Row],[  σ2]])</f>
        <v>3.7891729262601532</v>
      </c>
    </row>
    <row r="2121" spans="1:6" x14ac:dyDescent="0.3">
      <c r="A2121" s="2">
        <v>45180</v>
      </c>
      <c r="B2121" s="1">
        <v>2.9620281877414278</v>
      </c>
      <c r="C2121" s="1">
        <f>IRS_returns_2015_25[[#This Row],[IRSrtn]]-AVERAGE($B$2:$B$2600)</f>
        <v>2.9562516936748122</v>
      </c>
      <c r="D2121" s="1">
        <f>w+a*C2120^2+b*D2120</f>
        <v>11.202248258682276</v>
      </c>
      <c r="E2121" s="1">
        <f t="shared" si="33"/>
        <v>-2.5170703389797211</v>
      </c>
      <c r="F2121" s="7">
        <f>SQRT(IRS_returns_2015_25[[#This Row],[  σ2]])</f>
        <v>3.3469759871684586</v>
      </c>
    </row>
    <row r="2122" spans="1:6" x14ac:dyDescent="0.3">
      <c r="A2122" s="2">
        <v>45181</v>
      </c>
      <c r="B2122" s="1">
        <v>3.9161708178643506</v>
      </c>
      <c r="C2122" s="1">
        <f>IRS_returns_2015_25[[#This Row],[IRSrtn]]-AVERAGE($B$2:$B$2600)</f>
        <v>3.910394323797735</v>
      </c>
      <c r="D2122" s="1">
        <f>w+a*C2121^2+b*D2121</f>
        <v>10.932147002646719</v>
      </c>
      <c r="E2122" s="1">
        <f t="shared" si="33"/>
        <v>-2.8141602167895856</v>
      </c>
      <c r="F2122" s="7">
        <f>SQRT(IRS_returns_2015_25[[#This Row],[  σ2]])</f>
        <v>3.3063797426561155</v>
      </c>
    </row>
    <row r="2123" spans="1:6" x14ac:dyDescent="0.3">
      <c r="A2123" s="2">
        <v>45182</v>
      </c>
      <c r="B2123" s="1">
        <v>1.0286617733284098</v>
      </c>
      <c r="C2123" s="1">
        <f>IRS_returns_2015_25[[#This Row],[IRSrtn]]-AVERAGE($B$2:$B$2600)</f>
        <v>1.022885279261794</v>
      </c>
      <c r="D2123" s="1">
        <f>w+a*C2122^2+b*D2122</f>
        <v>12.348670815895629</v>
      </c>
      <c r="E2123" s="1">
        <f t="shared" si="33"/>
        <v>-2.2180774011683324</v>
      </c>
      <c r="F2123" s="7">
        <f>SQRT(IRS_returns_2015_25[[#This Row],[  σ2]])</f>
        <v>3.5140675599503814</v>
      </c>
    </row>
    <row r="2124" spans="1:6" x14ac:dyDescent="0.3">
      <c r="A2124" s="2">
        <v>45183</v>
      </c>
      <c r="B2124" s="1">
        <v>-0.43956616394784653</v>
      </c>
      <c r="C2124" s="1">
        <f>IRS_returns_2015_25[[#This Row],[IRSrtn]]-AVERAGE($B$2:$B$2600)</f>
        <v>-0.44534265801446232</v>
      </c>
      <c r="D2124" s="1">
        <f>w+a*C2123^2+b*D2123</f>
        <v>9.820910367201293</v>
      </c>
      <c r="E2124" s="1">
        <f t="shared" si="33"/>
        <v>-2.0712927819379856</v>
      </c>
      <c r="F2124" s="7">
        <f>SQRT(IRS_returns_2015_25[[#This Row],[  σ2]])</f>
        <v>3.1338331747560035</v>
      </c>
    </row>
    <row r="2125" spans="1:6" x14ac:dyDescent="0.3">
      <c r="A2125" s="2">
        <v>45184</v>
      </c>
      <c r="B2125" s="1">
        <v>-2.0772279970667773</v>
      </c>
      <c r="C2125" s="1">
        <f>IRS_returns_2015_25[[#This Row],[IRSrtn]]-AVERAGE($B$2:$B$2600)</f>
        <v>-2.0830044911333929</v>
      </c>
      <c r="D2125" s="1">
        <f>w+a*C2124^2+b*D2124</f>
        <v>7.9315317051913183</v>
      </c>
      <c r="E2125" s="1">
        <f t="shared" si="33"/>
        <v>-2.2278843041888057</v>
      </c>
      <c r="F2125" s="7">
        <f>SQRT(IRS_returns_2015_25[[#This Row],[  σ2]])</f>
        <v>2.8162975171652795</v>
      </c>
    </row>
    <row r="2126" spans="1:6" x14ac:dyDescent="0.3">
      <c r="A2126" s="2">
        <v>45188</v>
      </c>
      <c r="B2126" s="1">
        <v>-1.3585122403785732</v>
      </c>
      <c r="C2126" s="1">
        <f>IRS_returns_2015_25[[#This Row],[IRSrtn]]-AVERAGE($B$2:$B$2600)</f>
        <v>-1.3642887344451891</v>
      </c>
      <c r="D2126" s="1">
        <f>w+a*C2125^2+b*D2125</f>
        <v>7.6825915334176882</v>
      </c>
      <c r="E2126" s="1">
        <f t="shared" si="33"/>
        <v>-2.0595534492899339</v>
      </c>
      <c r="F2126" s="7">
        <f>SQRT(IRS_returns_2015_25[[#This Row],[  σ2]])</f>
        <v>2.771748822209128</v>
      </c>
    </row>
    <row r="2127" spans="1:6" x14ac:dyDescent="0.3">
      <c r="A2127" s="2">
        <v>45189</v>
      </c>
      <c r="B2127" s="1">
        <v>-2.306024599226264</v>
      </c>
      <c r="C2127" s="1">
        <f>IRS_returns_2015_25[[#This Row],[IRSrtn]]-AVERAGE($B$2:$B$2600)</f>
        <v>-2.3118010932928796</v>
      </c>
      <c r="D2127" s="1">
        <f>w+a*C2126^2+b*D2126</f>
        <v>6.9131953957521537</v>
      </c>
      <c r="E2127" s="1">
        <f t="shared" si="33"/>
        <v>-2.272192430883901</v>
      </c>
      <c r="F2127" s="7">
        <f>SQRT(IRS_returns_2015_25[[#This Row],[  σ2]])</f>
        <v>2.6292956082860202</v>
      </c>
    </row>
    <row r="2128" spans="1:6" x14ac:dyDescent="0.3">
      <c r="A2128" s="2">
        <v>45190</v>
      </c>
      <c r="B2128" s="1">
        <v>-3.3204547348555824</v>
      </c>
      <c r="C2128" s="1">
        <f>IRS_returns_2015_25[[#This Row],[IRSrtn]]-AVERAGE($B$2:$B$2600)</f>
        <v>-3.326231228922198</v>
      </c>
      <c r="D2128" s="1">
        <f>w+a*C2127^2+b*D2127</f>
        <v>7.2496619158186855</v>
      </c>
      <c r="E2128" s="1">
        <f t="shared" si="33"/>
        <v>-2.6724732022148663</v>
      </c>
      <c r="F2128" s="7">
        <f>SQRT(IRS_returns_2015_25[[#This Row],[  σ2]])</f>
        <v>2.6925196221789518</v>
      </c>
    </row>
    <row r="2129" spans="1:6" x14ac:dyDescent="0.3">
      <c r="A2129" s="2">
        <v>45191</v>
      </c>
      <c r="B2129" s="1">
        <v>-1.4575164640459937</v>
      </c>
      <c r="C2129" s="1">
        <f>IRS_returns_2015_25[[#This Row],[IRSrtn]]-AVERAGE($B$2:$B$2600)</f>
        <v>-1.4632929581126095</v>
      </c>
      <c r="D2129" s="1">
        <f>w+a*C2128^2+b*D2128</f>
        <v>8.8671813266017168</v>
      </c>
      <c r="E2129" s="1">
        <f t="shared" si="33"/>
        <v>-2.1308558528196713</v>
      </c>
      <c r="F2129" s="7">
        <f>SQRT(IRS_returns_2015_25[[#This Row],[  σ2]])</f>
        <v>2.977781275816227</v>
      </c>
    </row>
    <row r="2130" spans="1:6" x14ac:dyDescent="0.3">
      <c r="A2130" s="2">
        <v>45194</v>
      </c>
      <c r="B2130" s="1">
        <v>-0.32679339941299457</v>
      </c>
      <c r="C2130" s="1">
        <f>IRS_returns_2015_25[[#This Row],[IRSrtn]]-AVERAGE($B$2:$B$2600)</f>
        <v>-0.33256989347961036</v>
      </c>
      <c r="D2130" s="1">
        <f>w+a*C2129^2+b*D2129</f>
        <v>7.7700045522847141</v>
      </c>
      <c r="E2130" s="1">
        <f t="shared" si="33"/>
        <v>-1.9511911972176532</v>
      </c>
      <c r="F2130" s="7">
        <f>SQRT(IRS_returns_2015_25[[#This Row],[  σ2]])</f>
        <v>2.7874727895146734</v>
      </c>
    </row>
    <row r="2131" spans="1:6" x14ac:dyDescent="0.3">
      <c r="A2131" s="2">
        <v>45195</v>
      </c>
      <c r="B2131" s="1">
        <v>-1.8167349389825782</v>
      </c>
      <c r="C2131" s="1">
        <f>IRS_returns_2015_25[[#This Row],[IRSrtn]]-AVERAGE($B$2:$B$2600)</f>
        <v>-1.8225114330491941</v>
      </c>
      <c r="D2131" s="1">
        <f>w+a*C2130^2+b*D2130</f>
        <v>6.544834678453169</v>
      </c>
      <c r="E2131" s="1">
        <f t="shared" si="33"/>
        <v>-2.1120299893229499</v>
      </c>
      <c r="F2131" s="7">
        <f>SQRT(IRS_returns_2015_25[[#This Row],[  σ2]])</f>
        <v>2.5582874503177258</v>
      </c>
    </row>
    <row r="2132" spans="1:6" x14ac:dyDescent="0.3">
      <c r="A2132" s="2">
        <v>45196</v>
      </c>
      <c r="B2132" s="1">
        <v>-1.0050286369715167</v>
      </c>
      <c r="C2132" s="1">
        <f>IRS_returns_2015_25[[#This Row],[IRSrtn]]-AVERAGE($B$2:$B$2600)</f>
        <v>-1.0108051310381325</v>
      </c>
      <c r="D2132" s="1">
        <f>w+a*C2131^2+b*D2131</f>
        <v>6.5115646696885214</v>
      </c>
      <c r="E2132" s="1">
        <f t="shared" si="33"/>
        <v>-1.9341832216008044</v>
      </c>
      <c r="F2132" s="7">
        <f>SQRT(IRS_returns_2015_25[[#This Row],[  σ2]])</f>
        <v>2.5517767672130964</v>
      </c>
    </row>
    <row r="2133" spans="1:6" x14ac:dyDescent="0.3">
      <c r="A2133" s="2">
        <v>45197</v>
      </c>
      <c r="B2133" s="1">
        <v>3.1485569753670894</v>
      </c>
      <c r="C2133" s="1">
        <f>IRS_returns_2015_25[[#This Row],[IRSrtn]]-AVERAGE($B$2:$B$2600)</f>
        <v>3.1427804813004738</v>
      </c>
      <c r="D2133" s="1">
        <f>w+a*C2132^2+b*D2132</f>
        <v>5.9290654357499832</v>
      </c>
      <c r="E2133" s="1">
        <f t="shared" si="33"/>
        <v>-2.641808260363427</v>
      </c>
      <c r="F2133" s="7">
        <f>SQRT(IRS_returns_2015_25[[#This Row],[  σ2]])</f>
        <v>2.4349672350464973</v>
      </c>
    </row>
    <row r="2134" spans="1:6" x14ac:dyDescent="0.3">
      <c r="A2134" s="2">
        <v>45198</v>
      </c>
      <c r="B2134" s="1">
        <v>-4.5045171316127286</v>
      </c>
      <c r="C2134" s="1">
        <f>IRS_returns_2015_25[[#This Row],[IRSrtn]]-AVERAGE($B$2:$B$2600)</f>
        <v>-4.5102936256793447</v>
      </c>
      <c r="D2134" s="1">
        <f>w+a*C2133^2+b*D2133</f>
        <v>7.6988880250141802</v>
      </c>
      <c r="E2134" s="1">
        <f t="shared" si="33"/>
        <v>-3.2606249770310711</v>
      </c>
      <c r="F2134" s="7">
        <f>SQRT(IRS_returns_2015_25[[#This Row],[  σ2]])</f>
        <v>2.7746870138835802</v>
      </c>
    </row>
    <row r="2135" spans="1:6" x14ac:dyDescent="0.3">
      <c r="A2135" s="2">
        <v>45201</v>
      </c>
      <c r="B2135" s="1">
        <v>-1.7212157618240909</v>
      </c>
      <c r="C2135" s="1">
        <f>IRS_returns_2015_25[[#This Row],[IRSrtn]]-AVERAGE($B$2:$B$2600)</f>
        <v>-1.7269922558907067</v>
      </c>
      <c r="D2135" s="1">
        <f>w+a*C2134^2+b*D2134</f>
        <v>11.427048876756487</v>
      </c>
      <c r="E2135" s="1">
        <f t="shared" si="33"/>
        <v>-2.2674320193417095</v>
      </c>
      <c r="F2135" s="7">
        <f>SQRT(IRS_returns_2015_25[[#This Row],[  σ2]])</f>
        <v>3.3803918229632028</v>
      </c>
    </row>
    <row r="2136" spans="1:6" x14ac:dyDescent="0.3">
      <c r="A2136" s="2">
        <v>45202</v>
      </c>
      <c r="B2136" s="1">
        <v>-5.3463027204266433</v>
      </c>
      <c r="C2136" s="1">
        <f>IRS_returns_2015_25[[#This Row],[IRSrtn]]-AVERAGE($B$2:$B$2600)</f>
        <v>-5.3520792144932594</v>
      </c>
      <c r="D2136" s="1">
        <f>w+a*C2135^2+b*D2135</f>
        <v>9.6791278600195927</v>
      </c>
      <c r="E2136" s="1">
        <f t="shared" si="33"/>
        <v>-3.5336420448363581</v>
      </c>
      <c r="F2136" s="7">
        <f>SQRT(IRS_returns_2015_25[[#This Row],[  σ2]])</f>
        <v>3.111129675860457</v>
      </c>
    </row>
    <row r="2137" spans="1:6" x14ac:dyDescent="0.3">
      <c r="A2137" s="2">
        <v>45203</v>
      </c>
      <c r="B2137" s="1">
        <v>4.5462407971377017</v>
      </c>
      <c r="C2137" s="1">
        <f>IRS_returns_2015_25[[#This Row],[IRSrtn]]-AVERAGE($B$2:$B$2600)</f>
        <v>4.5404643030710856</v>
      </c>
      <c r="D2137" s="1">
        <f>w+a*C2136^2+b*D2136</f>
        <v>14.768108822434471</v>
      </c>
      <c r="E2137" s="1">
        <f t="shared" si="33"/>
        <v>-2.9631578527456615</v>
      </c>
      <c r="F2137" s="7">
        <f>SQRT(IRS_returns_2015_25[[#This Row],[  σ2]])</f>
        <v>3.8429297186436382</v>
      </c>
    </row>
    <row r="2138" spans="1:6" x14ac:dyDescent="0.3">
      <c r="A2138" s="2">
        <v>45204</v>
      </c>
      <c r="B2138" s="1">
        <v>4.0440980797956438</v>
      </c>
      <c r="C2138" s="1">
        <f>IRS_returns_2015_25[[#This Row],[IRSrtn]]-AVERAGE($B$2:$B$2600)</f>
        <v>4.0383215857290278</v>
      </c>
      <c r="D2138" s="1">
        <f>w+a*C2137^2+b*D2137</f>
        <v>16.199680144418952</v>
      </c>
      <c r="E2138" s="1">
        <f t="shared" si="33"/>
        <v>-2.8147788261185775</v>
      </c>
      <c r="F2138" s="7">
        <f>SQRT(IRS_returns_2015_25[[#This Row],[  σ2]])</f>
        <v>4.0248826249244773</v>
      </c>
    </row>
    <row r="2139" spans="1:6" x14ac:dyDescent="0.3">
      <c r="A2139" s="2">
        <v>45205</v>
      </c>
      <c r="B2139" s="1">
        <v>3.2986550729214636</v>
      </c>
      <c r="C2139" s="1">
        <f>IRS_returns_2015_25[[#This Row],[IRSrtn]]-AVERAGE($B$2:$B$2600)</f>
        <v>3.292878578854848</v>
      </c>
      <c r="D2139" s="1">
        <f>w+a*C2138^2+b*D2138</f>
        <v>16.103112751868686</v>
      </c>
      <c r="E2139" s="1">
        <f t="shared" si="33"/>
        <v>-2.6451203993570402</v>
      </c>
      <c r="F2139" s="7">
        <f>SQRT(IRS_returns_2015_25[[#This Row],[  σ2]])</f>
        <v>4.0128683945363433</v>
      </c>
    </row>
    <row r="2140" spans="1:6" x14ac:dyDescent="0.3">
      <c r="A2140" s="2">
        <v>45208</v>
      </c>
      <c r="B2140" s="1">
        <v>-1.1869652603378578</v>
      </c>
      <c r="C2140" s="1">
        <f>IRS_returns_2015_25[[#This Row],[IRSrtn]]-AVERAGE($B$2:$B$2600)</f>
        <v>-1.1927417544044736</v>
      </c>
      <c r="D2140" s="1">
        <f>w+a*C2139^2+b*D2139</f>
        <v>14.707282213320141</v>
      </c>
      <c r="E2140" s="1">
        <f t="shared" si="33"/>
        <v>-2.3114748275665336</v>
      </c>
      <c r="F2140" s="7">
        <f>SQRT(IRS_returns_2015_25[[#This Row],[  σ2]])</f>
        <v>3.8350074593565187</v>
      </c>
    </row>
    <row r="2141" spans="1:6" x14ac:dyDescent="0.3">
      <c r="A2141" s="2">
        <v>45209</v>
      </c>
      <c r="B2141" s="1">
        <v>-3.030530112630947</v>
      </c>
      <c r="C2141" s="1">
        <f>IRS_returns_2015_25[[#This Row],[IRSrtn]]-AVERAGE($B$2:$B$2600)</f>
        <v>-3.0363066066975626</v>
      </c>
      <c r="D2141" s="1">
        <f>w+a*C2140^2+b*D2140</f>
        <v>11.482772207117263</v>
      </c>
      <c r="E2141" s="1">
        <f t="shared" si="33"/>
        <v>-2.5407967793535549</v>
      </c>
      <c r="F2141" s="7">
        <f>SQRT(IRS_returns_2015_25[[#This Row],[  σ2]])</f>
        <v>3.3886239400555001</v>
      </c>
    </row>
    <row r="2142" spans="1:6" x14ac:dyDescent="0.3">
      <c r="A2142" s="2">
        <v>45210</v>
      </c>
      <c r="B2142" s="1">
        <v>5.2446372867877677</v>
      </c>
      <c r="C2142" s="1">
        <f>IRS_returns_2015_25[[#This Row],[IRSrtn]]-AVERAGE($B$2:$B$2600)</f>
        <v>5.2388607927211517</v>
      </c>
      <c r="D2142" s="1">
        <f>w+a*C2141^2+b*D2141</f>
        <v>11.235783496841503</v>
      </c>
      <c r="E2142" s="1">
        <f t="shared" si="33"/>
        <v>-3.3498409789614243</v>
      </c>
      <c r="F2142" s="7">
        <f>SQRT(IRS_returns_2015_25[[#This Row],[  σ2]])</f>
        <v>3.3519820251369938</v>
      </c>
    </row>
    <row r="2143" spans="1:6" x14ac:dyDescent="0.3">
      <c r="A2143" s="2">
        <v>45211</v>
      </c>
      <c r="B2143" s="1">
        <v>-3.7178966206267816</v>
      </c>
      <c r="C2143" s="1">
        <f>IRS_returns_2015_25[[#This Row],[IRSrtn]]-AVERAGE($B$2:$B$2600)</f>
        <v>-3.7236731146933972</v>
      </c>
      <c r="D2143" s="1">
        <f>w+a*C2142^2+b*D2142</f>
        <v>15.512242614274406</v>
      </c>
      <c r="E2143" s="1">
        <f t="shared" si="33"/>
        <v>-2.7366822899690821</v>
      </c>
      <c r="F2143" s="7">
        <f>SQRT(IRS_returns_2015_25[[#This Row],[  σ2]])</f>
        <v>3.9385584436789061</v>
      </c>
    </row>
    <row r="2144" spans="1:6" x14ac:dyDescent="0.3">
      <c r="A2144" s="2">
        <v>45212</v>
      </c>
      <c r="B2144" s="1">
        <v>-2.7651462496093293</v>
      </c>
      <c r="C2144" s="1">
        <f>IRS_returns_2015_25[[#This Row],[IRSrtn]]-AVERAGE($B$2:$B$2600)</f>
        <v>-2.7709227436759449</v>
      </c>
      <c r="D2144" s="1">
        <f>w+a*C2143^2+b*D2143</f>
        <v>15.050408325802312</v>
      </c>
      <c r="E2144" s="1">
        <f t="shared" si="33"/>
        <v>-2.5297176571409676</v>
      </c>
      <c r="F2144" s="7">
        <f>SQRT(IRS_returns_2015_25[[#This Row],[  σ2]])</f>
        <v>3.8794855748929282</v>
      </c>
    </row>
    <row r="2145" spans="1:6" x14ac:dyDescent="0.3">
      <c r="A2145" s="2">
        <v>45215</v>
      </c>
      <c r="B2145" s="1">
        <v>1.6988810641308527</v>
      </c>
      <c r="C2145" s="1">
        <f>IRS_returns_2015_25[[#This Row],[IRSrtn]]-AVERAGE($B$2:$B$2600)</f>
        <v>1.6931045700642369</v>
      </c>
      <c r="D2145" s="1">
        <f>w+a*C2144^2+b*D2144</f>
        <v>13.235318875366172</v>
      </c>
      <c r="E2145" s="1">
        <f t="shared" si="33"/>
        <v>-2.318676689325883</v>
      </c>
      <c r="F2145" s="7">
        <f>SQRT(IRS_returns_2015_25[[#This Row],[  σ2]])</f>
        <v>3.638037778166435</v>
      </c>
    </row>
    <row r="2146" spans="1:6" x14ac:dyDescent="0.3">
      <c r="A2146" s="2">
        <v>45216</v>
      </c>
      <c r="B2146" s="1">
        <v>7.8038098375516229</v>
      </c>
      <c r="C2146" s="1">
        <f>IRS_returns_2015_25[[#This Row],[IRSrtn]]-AVERAGE($B$2:$B$2600)</f>
        <v>7.7980333434850069</v>
      </c>
      <c r="D2146" s="1">
        <f>w+a*C2145^2+b*D2145</f>
        <v>10.854684615121668</v>
      </c>
      <c r="E2146" s="1">
        <f t="shared" si="33"/>
        <v>-4.9123005119242471</v>
      </c>
      <c r="F2146" s="7">
        <f>SQRT(IRS_returns_2015_25[[#This Row],[  σ2]])</f>
        <v>3.2946448389958012</v>
      </c>
    </row>
    <row r="2147" spans="1:6" x14ac:dyDescent="0.3">
      <c r="A2147" s="2">
        <v>45217</v>
      </c>
      <c r="B2147" s="1">
        <v>2.5176092759104485</v>
      </c>
      <c r="C2147" s="1">
        <f>IRS_returns_2015_25[[#This Row],[IRSrtn]]-AVERAGE($B$2:$B$2600)</f>
        <v>2.5118327818438329</v>
      </c>
      <c r="D2147" s="1">
        <f>w+a*C2146^2+b*D2146</f>
        <v>23.387587157828762</v>
      </c>
      <c r="E2147" s="1">
        <f t="shared" si="33"/>
        <v>-2.6299269806919066</v>
      </c>
      <c r="F2147" s="7">
        <f>SQRT(IRS_returns_2015_25[[#This Row],[  σ2]])</f>
        <v>4.8360714591317571</v>
      </c>
    </row>
    <row r="2148" spans="1:6" x14ac:dyDescent="0.3">
      <c r="A2148" s="2">
        <v>45218</v>
      </c>
      <c r="B2148" s="1">
        <v>-2.0935738114233438</v>
      </c>
      <c r="C2148" s="1">
        <f>IRS_returns_2015_25[[#This Row],[IRSrtn]]-AVERAGE($B$2:$B$2600)</f>
        <v>-2.0993503054899594</v>
      </c>
      <c r="D2148" s="1">
        <f>w+a*C2147^2+b*D2147</f>
        <v>18.452032552143223</v>
      </c>
      <c r="E2148" s="1">
        <f t="shared" si="33"/>
        <v>-2.4959508992030477</v>
      </c>
      <c r="F2148" s="7">
        <f>SQRT(IRS_returns_2015_25[[#This Row],[  σ2]])</f>
        <v>4.2955829117994249</v>
      </c>
    </row>
    <row r="2149" spans="1:6" x14ac:dyDescent="0.3">
      <c r="A2149" s="2">
        <v>45219</v>
      </c>
      <c r="B2149" s="1">
        <v>0.84269190981609565</v>
      </c>
      <c r="C2149" s="1">
        <f>IRS_returns_2015_25[[#This Row],[IRSrtn]]-AVERAGE($B$2:$B$2600)</f>
        <v>0.83691541574947981</v>
      </c>
      <c r="D2149" s="1">
        <f>w+a*C2148^2+b*D2148</f>
        <v>14.702921651355602</v>
      </c>
      <c r="E2149" s="1">
        <f t="shared" si="33"/>
        <v>-2.2867809736558717</v>
      </c>
      <c r="F2149" s="7">
        <f>SQRT(IRS_returns_2015_25[[#This Row],[  σ2]])</f>
        <v>3.8344388965473946</v>
      </c>
    </row>
    <row r="2150" spans="1:6" x14ac:dyDescent="0.3">
      <c r="A2150" s="2">
        <v>45222</v>
      </c>
      <c r="B2150" s="1">
        <v>-11.081433034011079</v>
      </c>
      <c r="C2150" s="1">
        <f>IRS_returns_2015_25[[#This Row],[IRSrtn]]-AVERAGE($B$2:$B$2600)</f>
        <v>-11.087209528077695</v>
      </c>
      <c r="D2150" s="1">
        <f>w+a*C2149^2+b*D2149</f>
        <v>11.303904110047437</v>
      </c>
      <c r="E2150" s="1">
        <f t="shared" si="33"/>
        <v>-7.5688470930077809</v>
      </c>
      <c r="F2150" s="7">
        <f>SQRT(IRS_returns_2015_25[[#This Row],[  σ2]])</f>
        <v>3.3621279139924818</v>
      </c>
    </row>
    <row r="2151" spans="1:6" x14ac:dyDescent="0.3">
      <c r="A2151" s="2">
        <v>45223</v>
      </c>
      <c r="B2151" s="1">
        <v>1.2422516872858669</v>
      </c>
      <c r="C2151" s="1">
        <f>IRS_returns_2015_25[[#This Row],[IRSrtn]]-AVERAGE($B$2:$B$2600)</f>
        <v>1.236475193219251</v>
      </c>
      <c r="D2151" s="1">
        <f>w+a*C2150^2+b*D2150</f>
        <v>38.821406233987446</v>
      </c>
      <c r="E2151" s="1">
        <f t="shared" si="33"/>
        <v>-2.7681155149065075</v>
      </c>
      <c r="F2151" s="7">
        <f>SQRT(IRS_returns_2015_25[[#This Row],[  σ2]])</f>
        <v>6.2306826459054587</v>
      </c>
    </row>
    <row r="2152" spans="1:6" x14ac:dyDescent="0.3">
      <c r="A2152" s="2">
        <v>45224</v>
      </c>
      <c r="B2152" s="1">
        <v>1.9863148795602914</v>
      </c>
      <c r="C2152" s="1">
        <f>IRS_returns_2015_25[[#This Row],[IRSrtn]]-AVERAGE($B$2:$B$2600)</f>
        <v>1.9805383854936756</v>
      </c>
      <c r="D2152" s="1">
        <f>w+a*C2151^2+b*D2151</f>
        <v>27.561832461573289</v>
      </c>
      <c r="E2152" s="1">
        <f t="shared" si="33"/>
        <v>-2.6483132719820413</v>
      </c>
      <c r="F2152" s="7">
        <f>SQRT(IRS_returns_2015_25[[#This Row],[  σ2]])</f>
        <v>5.2499364245268048</v>
      </c>
    </row>
    <row r="2153" spans="1:6" x14ac:dyDescent="0.3">
      <c r="A2153" s="2">
        <v>45225</v>
      </c>
      <c r="B2153" s="1">
        <v>-0.30303250643746171</v>
      </c>
      <c r="C2153" s="1">
        <f>IRS_returns_2015_25[[#This Row],[IRSrtn]]-AVERAGE($B$2:$B$2600)</f>
        <v>-0.3088090005040775</v>
      </c>
      <c r="D2153" s="1">
        <f>w+a*C2152^2+b*D2152</f>
        <v>20.649361061247077</v>
      </c>
      <c r="E2153" s="1">
        <f t="shared" si="33"/>
        <v>-2.4350898248913664</v>
      </c>
      <c r="F2153" s="7">
        <f>SQRT(IRS_returns_2015_25[[#This Row],[  σ2]])</f>
        <v>4.5441568042098943</v>
      </c>
    </row>
    <row r="2154" spans="1:6" x14ac:dyDescent="0.3">
      <c r="A2154" s="2">
        <v>45226</v>
      </c>
      <c r="B2154" s="1">
        <v>-4.6592245095986584</v>
      </c>
      <c r="C2154" s="1">
        <f>IRS_returns_2015_25[[#This Row],[IRSrtn]]-AVERAGE($B$2:$B$2600)</f>
        <v>-4.6650010036652745</v>
      </c>
      <c r="D2154" s="1">
        <f>w+a*C2153^2+b*D2153</f>
        <v>15.115124405345354</v>
      </c>
      <c r="E2154" s="1">
        <f t="shared" si="33"/>
        <v>-2.9966692032419675</v>
      </c>
      <c r="F2154" s="7">
        <f>SQRT(IRS_returns_2015_25[[#This Row],[  σ2]])</f>
        <v>3.8878174346727437</v>
      </c>
    </row>
    <row r="2155" spans="1:6" x14ac:dyDescent="0.3">
      <c r="A2155" s="2">
        <v>45229</v>
      </c>
      <c r="B2155" s="1">
        <v>-2.7399021893530495</v>
      </c>
      <c r="C2155" s="1">
        <f>IRS_returns_2015_25[[#This Row],[IRSrtn]]-AVERAGE($B$2:$B$2600)</f>
        <v>-2.7456786834196651</v>
      </c>
      <c r="D2155" s="1">
        <f>w+a*C2154^2+b*D2154</f>
        <v>16.710018765764751</v>
      </c>
      <c r="E2155" s="1">
        <f t="shared" si="33"/>
        <v>-2.5525185579534124</v>
      </c>
      <c r="F2155" s="7">
        <f>SQRT(IRS_returns_2015_25[[#This Row],[  σ2]])</f>
        <v>4.0877889825386964</v>
      </c>
    </row>
    <row r="2156" spans="1:6" x14ac:dyDescent="0.3">
      <c r="A2156" s="2">
        <v>45230</v>
      </c>
      <c r="B2156" s="1">
        <v>-2.9852888266635125</v>
      </c>
      <c r="C2156" s="1">
        <f>IRS_returns_2015_25[[#This Row],[IRSrtn]]-AVERAGE($B$2:$B$2600)</f>
        <v>-2.9910653207301281</v>
      </c>
      <c r="D2156" s="1">
        <f>w+a*C2155^2+b*D2155</f>
        <v>14.306218270359523</v>
      </c>
      <c r="E2156" s="1">
        <f t="shared" si="33"/>
        <v>-2.5619634082115841</v>
      </c>
      <c r="F2156" s="7">
        <f>SQRT(IRS_returns_2015_25[[#This Row],[  σ2]])</f>
        <v>3.7823561797323535</v>
      </c>
    </row>
    <row r="2157" spans="1:6" x14ac:dyDescent="0.3">
      <c r="A2157" s="2">
        <v>45231</v>
      </c>
      <c r="B2157" s="1">
        <v>2.0000616290361872</v>
      </c>
      <c r="C2157" s="1">
        <f>IRS_returns_2015_25[[#This Row],[IRSrtn]]-AVERAGE($B$2:$B$2600)</f>
        <v>1.9942851349695714</v>
      </c>
      <c r="D2157" s="1">
        <f>w+a*C2156^2+b*D2156</f>
        <v>13.0489588355784</v>
      </c>
      <c r="E2157" s="1">
        <f t="shared" si="33"/>
        <v>-2.355686980494935</v>
      </c>
      <c r="F2157" s="7">
        <f>SQRT(IRS_returns_2015_25[[#This Row],[  σ2]])</f>
        <v>3.6123342640982714</v>
      </c>
    </row>
    <row r="2158" spans="1:6" x14ac:dyDescent="0.3">
      <c r="A2158" s="2">
        <v>45232</v>
      </c>
      <c r="B2158" s="1">
        <v>3.5660236317289762</v>
      </c>
      <c r="C2158" s="1">
        <f>IRS_returns_2015_25[[#This Row],[IRSrtn]]-AVERAGE($B$2:$B$2600)</f>
        <v>3.5602471376623606</v>
      </c>
      <c r="D2158" s="1">
        <f>w+a*C2157^2+b*D2157</f>
        <v>11.001211773491836</v>
      </c>
      <c r="E2158" s="1">
        <f t="shared" si="33"/>
        <v>-2.694030497268411</v>
      </c>
      <c r="F2158" s="7">
        <f>SQRT(IRS_returns_2015_25[[#This Row],[  σ2]])</f>
        <v>3.3168074670519898</v>
      </c>
    </row>
    <row r="2159" spans="1:6" x14ac:dyDescent="0.3">
      <c r="A2159" s="2">
        <v>45233</v>
      </c>
      <c r="B2159" s="1">
        <v>-1.4434943942471357</v>
      </c>
      <c r="C2159" s="1">
        <f>IRS_returns_2015_25[[#This Row],[IRSrtn]]-AVERAGE($B$2:$B$2600)</f>
        <v>-1.4492708883137515</v>
      </c>
      <c r="D2159" s="1">
        <f>w+a*C2158^2+b*D2158</f>
        <v>11.757303454415004</v>
      </c>
      <c r="E2159" s="1">
        <f t="shared" si="33"/>
        <v>-2.2404984541811879</v>
      </c>
      <c r="F2159" s="7">
        <f>SQRT(IRS_returns_2015_25[[#This Row],[  σ2]])</f>
        <v>3.4288924530254667</v>
      </c>
    </row>
    <row r="2160" spans="1:6" x14ac:dyDescent="0.3">
      <c r="A2160" s="2">
        <v>45236</v>
      </c>
      <c r="B2160" s="1">
        <v>-1.1373020398545153</v>
      </c>
      <c r="C2160" s="1">
        <f>IRS_returns_2015_25[[#This Row],[IRSrtn]]-AVERAGE($B$2:$B$2600)</f>
        <v>-1.1430785339211311</v>
      </c>
      <c r="D2160" s="1">
        <f>w+a*C2159^2+b*D2159</f>
        <v>9.6840564574742576</v>
      </c>
      <c r="E2160" s="1">
        <f t="shared" si="33"/>
        <v>-2.1216418403538024</v>
      </c>
      <c r="F2160" s="7">
        <f>SQRT(IRS_returns_2015_25[[#This Row],[  σ2]])</f>
        <v>3.1119216663460953</v>
      </c>
    </row>
    <row r="2161" spans="1:6" x14ac:dyDescent="0.3">
      <c r="A2161" s="2">
        <v>45237</v>
      </c>
      <c r="B2161" s="1">
        <v>1.9418124892975897</v>
      </c>
      <c r="C2161" s="1">
        <f>IRS_returns_2015_25[[#This Row],[IRSrtn]]-AVERAGE($B$2:$B$2600)</f>
        <v>1.9360359952309738</v>
      </c>
      <c r="D2161" s="1">
        <f>w+a*C2160^2+b*D2160</f>
        <v>8.1104624316574121</v>
      </c>
      <c r="E2161" s="1">
        <f t="shared" si="33"/>
        <v>-2.1965900616801415</v>
      </c>
      <c r="F2161" s="7">
        <f>SQRT(IRS_returns_2015_25[[#This Row],[  σ2]])</f>
        <v>2.8478873628810204</v>
      </c>
    </row>
    <row r="2162" spans="1:6" x14ac:dyDescent="0.3">
      <c r="A2162" s="2">
        <v>45238</v>
      </c>
      <c r="B2162" s="1">
        <v>0.16013349635659591</v>
      </c>
      <c r="C2162" s="1">
        <f>IRS_returns_2015_25[[#This Row],[IRSrtn]]-AVERAGE($B$2:$B$2600)</f>
        <v>0.15435700228998012</v>
      </c>
      <c r="D2162" s="1">
        <f>w+a*C2161^2+b*D2161</f>
        <v>7.6577915306614806</v>
      </c>
      <c r="E2162" s="1">
        <f t="shared" si="33"/>
        <v>-1.9383560242791897</v>
      </c>
      <c r="F2162" s="7">
        <f>SQRT(IRS_returns_2015_25[[#This Row],[  σ2]])</f>
        <v>2.7672714956544255</v>
      </c>
    </row>
    <row r="2163" spans="1:6" x14ac:dyDescent="0.3">
      <c r="A2163" s="2">
        <v>45239</v>
      </c>
      <c r="B2163" s="1">
        <v>-0.96464394579967028</v>
      </c>
      <c r="C2163" s="1">
        <f>IRS_returns_2015_25[[#This Row],[IRSrtn]]-AVERAGE($B$2:$B$2600)</f>
        <v>-0.97042043986628612</v>
      </c>
      <c r="D2163" s="1">
        <f>w+a*C2162^2+b*D2162</f>
        <v>6.4489894838266544</v>
      </c>
      <c r="E2163" s="1">
        <f t="shared" si="33"/>
        <v>-1.9239129238588968</v>
      </c>
      <c r="F2163" s="7">
        <f>SQRT(IRS_returns_2015_25[[#This Row],[  σ2]])</f>
        <v>2.539486066869959</v>
      </c>
    </row>
    <row r="2164" spans="1:6" x14ac:dyDescent="0.3">
      <c r="A2164" s="2">
        <v>45240</v>
      </c>
      <c r="B2164" s="1">
        <v>0.96464394579967028</v>
      </c>
      <c r="C2164" s="1">
        <f>IRS_returns_2015_25[[#This Row],[IRSrtn]]-AVERAGE($B$2:$B$2600)</f>
        <v>0.95886745173305443</v>
      </c>
      <c r="D2164" s="1">
        <f>w+a*C2163^2+b*D2163</f>
        <v>5.8679133824901832</v>
      </c>
      <c r="E2164" s="1">
        <f t="shared" si="33"/>
        <v>-1.8820316719081909</v>
      </c>
      <c r="F2164" s="7">
        <f>SQRT(IRS_returns_2015_25[[#This Row],[  σ2]])</f>
        <v>2.4223776300342155</v>
      </c>
    </row>
    <row r="2165" spans="1:6" x14ac:dyDescent="0.3">
      <c r="A2165" s="2">
        <v>45243</v>
      </c>
      <c r="B2165" s="1">
        <v>1.4297268306572075</v>
      </c>
      <c r="C2165" s="1">
        <f>IRS_returns_2015_25[[#This Row],[IRSrtn]]-AVERAGE($B$2:$B$2600)</f>
        <v>1.4239503365905917</v>
      </c>
      <c r="D2165" s="1">
        <f>w+a*C2164^2+b*D2164</f>
        <v>5.4756505906476027</v>
      </c>
      <c r="E2165" s="1">
        <f t="shared" si="33"/>
        <v>-1.9542441869663991</v>
      </c>
      <c r="F2165" s="7">
        <f>SQRT(IRS_returns_2015_25[[#This Row],[  σ2]])</f>
        <v>2.3400108099424677</v>
      </c>
    </row>
    <row r="2166" spans="1:6" x14ac:dyDescent="0.3">
      <c r="A2166" s="2">
        <v>45244</v>
      </c>
      <c r="B2166" s="1">
        <v>-0.15785851851017885</v>
      </c>
      <c r="C2166" s="1">
        <f>IRS_returns_2015_25[[#This Row],[IRSrtn]]-AVERAGE($B$2:$B$2600)</f>
        <v>-0.16363501257679464</v>
      </c>
      <c r="D2166" s="1">
        <f>w+a*C2165^2+b*D2165</f>
        <v>5.4845292612557364</v>
      </c>
      <c r="E2166" s="1">
        <f t="shared" si="33"/>
        <v>-1.7723452529600834</v>
      </c>
      <c r="F2166" s="7">
        <f>SQRT(IRS_returns_2015_25[[#This Row],[  σ2]])</f>
        <v>2.3419071845945854</v>
      </c>
    </row>
    <row r="2167" spans="1:6" x14ac:dyDescent="0.3">
      <c r="A2167" s="2">
        <v>45245</v>
      </c>
      <c r="B2167" s="1">
        <v>-1.2718683121470287</v>
      </c>
      <c r="C2167" s="1">
        <f>IRS_returns_2015_25[[#This Row],[IRSrtn]]-AVERAGE($B$2:$B$2600)</f>
        <v>-1.2776448062136445</v>
      </c>
      <c r="D2167" s="1">
        <f>w+a*C2166^2+b*D2166</f>
        <v>5.0029313166469702</v>
      </c>
      <c r="E2167" s="1">
        <f t="shared" si="33"/>
        <v>-1.8870925161173857</v>
      </c>
      <c r="F2167" s="7">
        <f>SQRT(IRS_returns_2015_25[[#This Row],[  σ2]])</f>
        <v>2.2367233437881784</v>
      </c>
    </row>
    <row r="2168" spans="1:6" x14ac:dyDescent="0.3">
      <c r="A2168" s="2">
        <v>45246</v>
      </c>
      <c r="B2168" s="1">
        <v>-0.80322671766668297</v>
      </c>
      <c r="C2168" s="1">
        <f>IRS_returns_2015_25[[#This Row],[IRSrtn]]-AVERAGE($B$2:$B$2600)</f>
        <v>-0.80900321173329881</v>
      </c>
      <c r="D2168" s="1">
        <f>w+a*C2167^2+b*D2167</f>
        <v>5.0735275439586607</v>
      </c>
      <c r="E2168" s="1">
        <f t="shared" si="33"/>
        <v>-1.7954568177439436</v>
      </c>
      <c r="F2168" s="7">
        <f>SQRT(IRS_returns_2015_25[[#This Row],[  σ2]])</f>
        <v>2.2524492322710983</v>
      </c>
    </row>
    <row r="2169" spans="1:6" x14ac:dyDescent="0.3">
      <c r="A2169" s="2">
        <v>45247</v>
      </c>
      <c r="B2169" s="1">
        <v>4.2626796938029177</v>
      </c>
      <c r="C2169" s="1">
        <f>IRS_returns_2015_25[[#This Row],[IRSrtn]]-AVERAGE($B$2:$B$2600)</f>
        <v>4.2569031997363016</v>
      </c>
      <c r="D2169" s="1">
        <f>w+a*C2168^2+b*D2168</f>
        <v>4.8822619467957216</v>
      </c>
      <c r="E2169" s="1">
        <f t="shared" si="33"/>
        <v>-3.5675655212473498</v>
      </c>
      <c r="F2169" s="7">
        <f>SQRT(IRS_returns_2015_25[[#This Row],[  σ2]])</f>
        <v>2.2095841117268473</v>
      </c>
    </row>
    <row r="2170" spans="1:6" x14ac:dyDescent="0.3">
      <c r="A2170" s="2">
        <v>45250</v>
      </c>
      <c r="B2170" s="1">
        <v>12.479943938862004</v>
      </c>
      <c r="C2170" s="1">
        <f>IRS_returns_2015_25[[#This Row],[IRSrtn]]-AVERAGE($B$2:$B$2600)</f>
        <v>12.474167444795388</v>
      </c>
      <c r="D2170" s="1">
        <f>w+a*C2169^2+b*D2169</f>
        <v>9.0107000762859641</v>
      </c>
      <c r="E2170" s="1">
        <f t="shared" si="33"/>
        <v>-10.652593524312158</v>
      </c>
      <c r="F2170" s="7">
        <f>SQRT(IRS_returns_2015_25[[#This Row],[  σ2]])</f>
        <v>3.0017828163086624</v>
      </c>
    </row>
    <row r="2171" spans="1:6" x14ac:dyDescent="0.3">
      <c r="A2171" s="2">
        <v>45251</v>
      </c>
      <c r="B2171" s="1">
        <v>0.81522720080118294</v>
      </c>
      <c r="C2171" s="1">
        <f>IRS_returns_2015_25[[#This Row],[IRSrtn]]-AVERAGE($B$2:$B$2600)</f>
        <v>0.80945070673456709</v>
      </c>
      <c r="D2171" s="1">
        <f>w+a*C2170^2+b*D2170</f>
        <v>45.256924651733712</v>
      </c>
      <c r="E2171" s="1">
        <f t="shared" si="33"/>
        <v>-2.8323551645917209</v>
      </c>
      <c r="F2171" s="7">
        <f>SQRT(IRS_returns_2015_25[[#This Row],[  σ2]])</f>
        <v>6.7273267091567446</v>
      </c>
    </row>
    <row r="2172" spans="1:6" x14ac:dyDescent="0.3">
      <c r="A2172" s="2">
        <v>45252</v>
      </c>
      <c r="B2172" s="1">
        <v>2.9335410982112009</v>
      </c>
      <c r="C2172" s="1">
        <f>IRS_returns_2015_25[[#This Row],[IRSrtn]]-AVERAGE($B$2:$B$2600)</f>
        <v>2.9277646041445853</v>
      </c>
      <c r="D2172" s="1">
        <f>w+a*C2171^2+b*D2171</f>
        <v>31.633197462896316</v>
      </c>
      <c r="E2172" s="1">
        <f t="shared" si="33"/>
        <v>-2.7815295924274155</v>
      </c>
      <c r="F2172" s="7">
        <f>SQRT(IRS_returns_2015_25[[#This Row],[  σ2]])</f>
        <v>5.6243397357286584</v>
      </c>
    </row>
    <row r="2173" spans="1:6" x14ac:dyDescent="0.3">
      <c r="A2173" s="2">
        <v>45254</v>
      </c>
      <c r="B2173" s="1">
        <v>6.486695782581009</v>
      </c>
      <c r="C2173" s="1">
        <f>IRS_returns_2015_25[[#This Row],[IRSrtn]]-AVERAGE($B$2:$B$2600)</f>
        <v>6.4809192885143929</v>
      </c>
      <c r="D2173" s="1">
        <f>w+a*C2172^2+b*D2172</f>
        <v>24.492531148410343</v>
      </c>
      <c r="E2173" s="1">
        <f t="shared" si="33"/>
        <v>-3.3755741366713035</v>
      </c>
      <c r="F2173" s="7">
        <f>SQRT(IRS_returns_2015_25[[#This Row],[  σ2]])</f>
        <v>4.9489929428531561</v>
      </c>
    </row>
    <row r="2174" spans="1:6" x14ac:dyDescent="0.3">
      <c r="A2174" s="2">
        <v>45257</v>
      </c>
      <c r="B2174" s="1">
        <v>10.400487196977149</v>
      </c>
      <c r="C2174" s="1">
        <f>IRS_returns_2015_25[[#This Row],[IRSrtn]]-AVERAGE($B$2:$B$2600)</f>
        <v>10.394710702910533</v>
      </c>
      <c r="D2174" s="1">
        <f>w+a*C2173^2+b*D2173</f>
        <v>27.884206085842436</v>
      </c>
      <c r="E2174" s="1">
        <f t="shared" si="33"/>
        <v>-4.5204456571667171</v>
      </c>
      <c r="F2174" s="7">
        <f>SQRT(IRS_returns_2015_25[[#This Row],[  σ2]])</f>
        <v>5.2805497901111051</v>
      </c>
    </row>
    <row r="2175" spans="1:6" x14ac:dyDescent="0.3">
      <c r="A2175" s="2">
        <v>45258</v>
      </c>
      <c r="B2175" s="1">
        <v>0.44297747863657477</v>
      </c>
      <c r="C2175" s="1">
        <f>IRS_returns_2015_25[[#This Row],[IRSrtn]]-AVERAGE($B$2:$B$2600)</f>
        <v>0.43720098456995898</v>
      </c>
      <c r="D2175" s="1">
        <f>w+a*C2174^2+b*D2174</f>
        <v>46.234606579469244</v>
      </c>
      <c r="E2175" s="1">
        <f t="shared" si="33"/>
        <v>-2.8378699393256923</v>
      </c>
      <c r="F2175" s="7">
        <f>SQRT(IRS_returns_2015_25[[#This Row],[  σ2]])</f>
        <v>6.7996034133961993</v>
      </c>
    </row>
    <row r="2176" spans="1:6" x14ac:dyDescent="0.3">
      <c r="A2176" s="2">
        <v>45259</v>
      </c>
      <c r="B2176" s="1">
        <v>1.6438743858484095</v>
      </c>
      <c r="C2176" s="1">
        <f>IRS_returns_2015_25[[#This Row],[IRSrtn]]-AVERAGE($B$2:$B$2600)</f>
        <v>1.6380978917817937</v>
      </c>
      <c r="D2176" s="1">
        <f>w+a*C2175^2+b*D2175</f>
        <v>32.17098715087289</v>
      </c>
      <c r="E2176" s="1">
        <f t="shared" si="33"/>
        <v>-2.6961757768961205</v>
      </c>
      <c r="F2176" s="7">
        <f>SQRT(IRS_returns_2015_25[[#This Row],[  σ2]])</f>
        <v>5.67194738611642</v>
      </c>
    </row>
    <row r="2177" spans="1:6" x14ac:dyDescent="0.3">
      <c r="A2177" s="2">
        <v>45260</v>
      </c>
      <c r="B2177" s="1">
        <v>-3.540191647275881</v>
      </c>
      <c r="C2177" s="1">
        <f>IRS_returns_2015_25[[#This Row],[IRSrtn]]-AVERAGE($B$2:$B$2600)</f>
        <v>-3.5459681413424966</v>
      </c>
      <c r="D2177" s="1">
        <f>w+a*C2176^2+b*D2176</f>
        <v>23.41582947464109</v>
      </c>
      <c r="E2177" s="1">
        <f t="shared" si="33"/>
        <v>-2.7641359040423881</v>
      </c>
      <c r="F2177" s="7">
        <f>SQRT(IRS_returns_2015_25[[#This Row],[  σ2]])</f>
        <v>4.8389905429377613</v>
      </c>
    </row>
    <row r="2178" spans="1:6" x14ac:dyDescent="0.3">
      <c r="A2178" s="2">
        <v>45261</v>
      </c>
      <c r="B2178" s="1">
        <v>0.56147832581570079</v>
      </c>
      <c r="C2178" s="1">
        <f>IRS_returns_2015_25[[#This Row],[IRSrtn]]-AVERAGE($B$2:$B$2600)</f>
        <v>0.55570183174908494</v>
      </c>
      <c r="D2178" s="1">
        <f>w+a*C2177^2+b*D2177</f>
        <v>19.997198897696279</v>
      </c>
      <c r="E2178" s="1">
        <f t="shared" ref="E2178:E2241" si="34">-0.5*(LN(2*PI())+LN(D2178)+C2178^2/D2178)</f>
        <v>-2.4244558320577814</v>
      </c>
      <c r="F2178" s="7">
        <f>SQRT(IRS_returns_2015_25[[#This Row],[  σ2]])</f>
        <v>4.4718227712752974</v>
      </c>
    </row>
    <row r="2179" spans="1:6" x14ac:dyDescent="0.3">
      <c r="A2179" s="2">
        <v>45264</v>
      </c>
      <c r="B2179" s="1">
        <v>-3.7654158503492852</v>
      </c>
      <c r="C2179" s="1">
        <f>IRS_returns_2015_25[[#This Row],[IRSrtn]]-AVERAGE($B$2:$B$2600)</f>
        <v>-3.7711923444159008</v>
      </c>
      <c r="D2179" s="1">
        <f>w+a*C2178^2+b*D2178</f>
        <v>14.732974131972156</v>
      </c>
      <c r="E2179" s="1">
        <f t="shared" si="34"/>
        <v>-2.746637743829254</v>
      </c>
      <c r="F2179" s="7">
        <f>SQRT(IRS_returns_2015_25[[#This Row],[  σ2]])</f>
        <v>3.838355654700611</v>
      </c>
    </row>
    <row r="2180" spans="1:6" x14ac:dyDescent="0.3">
      <c r="A2180" s="2">
        <v>45265</v>
      </c>
      <c r="B2180" s="1">
        <v>10.058169594980626</v>
      </c>
      <c r="C2180" s="1">
        <f>IRS_returns_2015_25[[#This Row],[IRSrtn]]-AVERAGE($B$2:$B$2600)</f>
        <v>10.05239310091401</v>
      </c>
      <c r="D2180" s="1">
        <f>w+a*C2179^2+b*D2179</f>
        <v>14.618412194998371</v>
      </c>
      <c r="E2180" s="1">
        <f t="shared" si="34"/>
        <v>-5.7163579380877572</v>
      </c>
      <c r="F2180" s="7">
        <f>SQRT(IRS_returns_2015_25[[#This Row],[  σ2]])</f>
        <v>3.8234032216074687</v>
      </c>
    </row>
    <row r="2181" spans="1:6" x14ac:dyDescent="0.3">
      <c r="A2181" s="2">
        <v>45266</v>
      </c>
      <c r="B2181" s="1">
        <v>-6.8542320704470416</v>
      </c>
      <c r="C2181" s="1">
        <f>IRS_returns_2015_25[[#This Row],[IRSrtn]]-AVERAGE($B$2:$B$2600)</f>
        <v>-6.8600085645136577</v>
      </c>
      <c r="D2181" s="1">
        <f>w+a*C2180^2+b*D2180</f>
        <v>35.697942816455807</v>
      </c>
      <c r="E2181" s="1">
        <f t="shared" si="34"/>
        <v>-3.3656227318930889</v>
      </c>
      <c r="F2181" s="7">
        <f>SQRT(IRS_returns_2015_25[[#This Row],[  σ2]])</f>
        <v>5.9747755452783169</v>
      </c>
    </row>
    <row r="2182" spans="1:6" x14ac:dyDescent="0.3">
      <c r="A2182" s="2">
        <v>45267</v>
      </c>
      <c r="B2182" s="1">
        <v>-2.1628789770958168</v>
      </c>
      <c r="C2182" s="1">
        <f>IRS_returns_2015_25[[#This Row],[IRSrtn]]-AVERAGE($B$2:$B$2600)</f>
        <v>-2.1686554711624324</v>
      </c>
      <c r="D2182" s="1">
        <f>w+a*C2181^2+b*D2181</f>
        <v>36.576070906623599</v>
      </c>
      <c r="E2182" s="1">
        <f t="shared" si="34"/>
        <v>-2.7829272232400983</v>
      </c>
      <c r="F2182" s="7">
        <f>SQRT(IRS_returns_2015_25[[#This Row],[  σ2]])</f>
        <v>6.0478153829811641</v>
      </c>
    </row>
    <row r="2183" spans="1:6" x14ac:dyDescent="0.3">
      <c r="A2183" s="2">
        <v>45268</v>
      </c>
      <c r="B2183" s="1">
        <v>1.3714652140992545</v>
      </c>
      <c r="C2183" s="1">
        <f>IRS_returns_2015_25[[#This Row],[IRSrtn]]-AVERAGE($B$2:$B$2600)</f>
        <v>1.3656887200326386</v>
      </c>
      <c r="D2183" s="1">
        <f>w+a*C2182^2+b*D2182</f>
        <v>26.840467243019631</v>
      </c>
      <c r="E2183" s="1">
        <f t="shared" si="34"/>
        <v>-2.5986381782826413</v>
      </c>
      <c r="F2183" s="7">
        <f>SQRT(IRS_returns_2015_25[[#This Row],[  σ2]])</f>
        <v>5.18077863289097</v>
      </c>
    </row>
    <row r="2184" spans="1:6" x14ac:dyDescent="0.3">
      <c r="A2184" s="2">
        <v>45271</v>
      </c>
      <c r="B2184" s="1">
        <v>-0.68337222022156752</v>
      </c>
      <c r="C2184" s="1">
        <f>IRS_returns_2015_25[[#This Row],[IRSrtn]]-AVERAGE($B$2:$B$2600)</f>
        <v>-0.68914871428818336</v>
      </c>
      <c r="D2184" s="1">
        <f>w+a*C2183^2+b*D2183</f>
        <v>19.667844659540464</v>
      </c>
      <c r="E2184" s="1">
        <f t="shared" si="34"/>
        <v>-2.4205047242798425</v>
      </c>
      <c r="F2184" s="7">
        <f>SQRT(IRS_returns_2015_25[[#This Row],[  σ2]])</f>
        <v>4.4348443782776039</v>
      </c>
    </row>
    <row r="2185" spans="1:6" x14ac:dyDescent="0.3">
      <c r="A2185" s="2">
        <v>45272</v>
      </c>
      <c r="B2185" s="1">
        <v>0.79680677488509488</v>
      </c>
      <c r="C2185" s="1">
        <f>IRS_returns_2015_25[[#This Row],[IRSrtn]]-AVERAGE($B$2:$B$2600)</f>
        <v>0.79103028081847904</v>
      </c>
      <c r="D2185" s="1">
        <f>w+a*C2184^2+b*D2184</f>
        <v>14.554192957715365</v>
      </c>
      <c r="E2185" s="1">
        <f t="shared" si="34"/>
        <v>-2.2793746138923674</v>
      </c>
      <c r="F2185" s="7">
        <f>SQRT(IRS_returns_2015_25[[#This Row],[  σ2]])</f>
        <v>3.8149958004846303</v>
      </c>
    </row>
    <row r="2186" spans="1:6" x14ac:dyDescent="0.3">
      <c r="A2186" s="2">
        <v>45273</v>
      </c>
      <c r="B2186" s="1">
        <v>2.6847304380001713</v>
      </c>
      <c r="C2186" s="1">
        <f>IRS_returns_2015_25[[#This Row],[IRSrtn]]-AVERAGE($B$2:$B$2600)</f>
        <v>2.6789539439335557</v>
      </c>
      <c r="D2186" s="1">
        <f>w+a*C2185^2+b*D2185</f>
        <v>11.186692658752998</v>
      </c>
      <c r="E2186" s="1">
        <f t="shared" si="34"/>
        <v>-2.4470747201923069</v>
      </c>
      <c r="F2186" s="7">
        <f>SQRT(IRS_returns_2015_25[[#This Row],[  σ2]])</f>
        <v>3.3446513508515352</v>
      </c>
    </row>
    <row r="2187" spans="1:6" x14ac:dyDescent="0.3">
      <c r="A2187" s="2">
        <v>45274</v>
      </c>
      <c r="B2187" s="1">
        <v>-0.66445860396098233</v>
      </c>
      <c r="C2187" s="1">
        <f>IRS_returns_2015_25[[#This Row],[IRSrtn]]-AVERAGE($B$2:$B$2600)</f>
        <v>-0.67023509802759818</v>
      </c>
      <c r="D2187" s="1">
        <f>w+a*C2186^2+b*D2186</f>
        <v>10.541056979985864</v>
      </c>
      <c r="E2187" s="1">
        <f t="shared" si="34"/>
        <v>-2.1178853203979244</v>
      </c>
      <c r="F2187" s="7">
        <f>SQRT(IRS_returns_2015_25[[#This Row],[  σ2]])</f>
        <v>3.246699397847892</v>
      </c>
    </row>
    <row r="2188" spans="1:6" x14ac:dyDescent="0.3">
      <c r="A2188" s="2">
        <v>45275</v>
      </c>
      <c r="B2188" s="1">
        <v>-1.4549785547875782</v>
      </c>
      <c r="C2188" s="1">
        <f>IRS_returns_2015_25[[#This Row],[IRSrtn]]-AVERAGE($B$2:$B$2600)</f>
        <v>-1.460755048854194</v>
      </c>
      <c r="D2188" s="1">
        <f>w+a*C2187^2+b*D2187</f>
        <v>8.4720734144705752</v>
      </c>
      <c r="E2188" s="1">
        <f t="shared" si="34"/>
        <v>-2.1132578758626352</v>
      </c>
      <c r="F2188" s="7">
        <f>SQRT(IRS_returns_2015_25[[#This Row],[  σ2]])</f>
        <v>2.9106826371953667</v>
      </c>
    </row>
    <row r="2189" spans="1:6" x14ac:dyDescent="0.3">
      <c r="A2189" s="2">
        <v>45278</v>
      </c>
      <c r="B2189" s="1">
        <v>0.89787341282812072</v>
      </c>
      <c r="C2189" s="1">
        <f>IRS_returns_2015_25[[#This Row],[IRSrtn]]-AVERAGE($B$2:$B$2600)</f>
        <v>0.89209691876150488</v>
      </c>
      <c r="D2189" s="1">
        <f>w+a*C2188^2+b*D2188</f>
        <v>7.5051664943516965</v>
      </c>
      <c r="E2189" s="1">
        <f t="shared" si="34"/>
        <v>-1.9797536288486777</v>
      </c>
      <c r="F2189" s="7">
        <f>SQRT(IRS_returns_2015_25[[#This Row],[  σ2]])</f>
        <v>2.7395558936352615</v>
      </c>
    </row>
    <row r="2190" spans="1:6" x14ac:dyDescent="0.3">
      <c r="A2190" s="2">
        <v>45279</v>
      </c>
      <c r="B2190" s="1">
        <v>-0.33575168892272522</v>
      </c>
      <c r="C2190" s="1">
        <f>IRS_returns_2015_25[[#This Row],[IRSrtn]]-AVERAGE($B$2:$B$2600)</f>
        <v>-0.34152818298934101</v>
      </c>
      <c r="D2190" s="1">
        <f>w+a*C2189^2+b*D2189</f>
        <v>6.535484706074147</v>
      </c>
      <c r="E2190" s="1">
        <f t="shared" si="34"/>
        <v>-1.8664854976475591</v>
      </c>
      <c r="F2190" s="7">
        <f>SQRT(IRS_returns_2015_25[[#This Row],[  σ2]])</f>
        <v>2.5564594082586463</v>
      </c>
    </row>
    <row r="2191" spans="1:6" x14ac:dyDescent="0.3">
      <c r="A2191" s="2">
        <v>45280</v>
      </c>
      <c r="B2191" s="1">
        <v>-1.3544313458121238</v>
      </c>
      <c r="C2191" s="1">
        <f>IRS_returns_2015_25[[#This Row],[IRSrtn]]-AVERAGE($B$2:$B$2600)</f>
        <v>-1.3602078398787396</v>
      </c>
      <c r="D2191" s="1">
        <f>w+a*C2190^2+b*D2190</f>
        <v>5.7244655277746084</v>
      </c>
      <c r="E2191" s="1">
        <f t="shared" si="34"/>
        <v>-1.9529147086764529</v>
      </c>
      <c r="F2191" s="7">
        <f>SQRT(IRS_returns_2015_25[[#This Row],[  σ2]])</f>
        <v>2.3925855319663305</v>
      </c>
    </row>
    <row r="2192" spans="1:6" x14ac:dyDescent="0.3">
      <c r="A2192" s="2">
        <v>45281</v>
      </c>
      <c r="B2192" s="1">
        <v>-1.0279843451220128</v>
      </c>
      <c r="C2192" s="1">
        <f>IRS_returns_2015_25[[#This Row],[IRSrtn]]-AVERAGE($B$2:$B$2600)</f>
        <v>-1.0337608391886286</v>
      </c>
      <c r="D2192" s="1">
        <f>w+a*C2191^2+b*D2191</f>
        <v>5.60692919549113</v>
      </c>
      <c r="E2192" s="1">
        <f t="shared" si="34"/>
        <v>-1.8762384127742433</v>
      </c>
      <c r="F2192" s="7">
        <f>SQRT(IRS_returns_2015_25[[#This Row],[  σ2]])</f>
        <v>2.3678955203917105</v>
      </c>
    </row>
    <row r="2193" spans="1:6" x14ac:dyDescent="0.3">
      <c r="A2193" s="2">
        <v>45282</v>
      </c>
      <c r="B2193" s="1">
        <v>1.4815089432879347</v>
      </c>
      <c r="C2193" s="1">
        <f>IRS_returns_2015_25[[#This Row],[IRSrtn]]-AVERAGE($B$2:$B$2600)</f>
        <v>1.4757324492213189</v>
      </c>
      <c r="D2193" s="1">
        <f>w+a*C2192^2+b*D2192</f>
        <v>5.3382700513658374</v>
      </c>
      <c r="E2193" s="1">
        <f t="shared" si="34"/>
        <v>-1.9603680055666233</v>
      </c>
      <c r="F2193" s="7">
        <f>SQRT(IRS_returns_2015_25[[#This Row],[  σ2]])</f>
        <v>2.3104696603430734</v>
      </c>
    </row>
    <row r="2194" spans="1:6" x14ac:dyDescent="0.3">
      <c r="A2194" s="2">
        <v>45286</v>
      </c>
      <c r="B2194" s="1">
        <v>0.22598416255070752</v>
      </c>
      <c r="C2194" s="1">
        <f>IRS_returns_2015_25[[#This Row],[IRSrtn]]-AVERAGE($B$2:$B$2600)</f>
        <v>0.22020766848409173</v>
      </c>
      <c r="D2194" s="1">
        <f>w+a*C2193^2+b*D2193</f>
        <v>5.4296571673012988</v>
      </c>
      <c r="E2194" s="1">
        <f t="shared" si="34"/>
        <v>-1.7693419524356493</v>
      </c>
      <c r="F2194" s="7">
        <f>SQRT(IRS_returns_2015_25[[#This Row],[  σ2]])</f>
        <v>2.3301624765885531</v>
      </c>
    </row>
    <row r="2195" spans="1:6" x14ac:dyDescent="0.3">
      <c r="A2195" s="2">
        <v>45287</v>
      </c>
      <c r="B2195" s="1">
        <v>-0.33916804095022179</v>
      </c>
      <c r="C2195" s="1">
        <f>IRS_returns_2015_25[[#This Row],[IRSrtn]]-AVERAGE($B$2:$B$2600)</f>
        <v>-0.34494453501683758</v>
      </c>
      <c r="D2195" s="1">
        <f>w+a*C2194^2+b*D2194</f>
        <v>4.9716929013149596</v>
      </c>
      <c r="E2195" s="1">
        <f t="shared" si="34"/>
        <v>-1.7327851564138874</v>
      </c>
      <c r="F2195" s="7">
        <f>SQRT(IRS_returns_2015_25[[#This Row],[  σ2]])</f>
        <v>2.2297293336445478</v>
      </c>
    </row>
    <row r="2196" spans="1:6" x14ac:dyDescent="0.3">
      <c r="A2196" s="2">
        <v>45288</v>
      </c>
      <c r="B2196" s="1">
        <v>-2.9887351740066403</v>
      </c>
      <c r="C2196" s="1">
        <f>IRS_returns_2015_25[[#This Row],[IRSrtn]]-AVERAGE($B$2:$B$2600)</f>
        <v>-2.994511668073256</v>
      </c>
      <c r="D2196" s="1">
        <f>w+a*C2195^2+b*D2195</f>
        <v>4.6839946025357015</v>
      </c>
      <c r="E2196" s="1">
        <f t="shared" si="34"/>
        <v>-2.6482206768383403</v>
      </c>
      <c r="F2196" s="7">
        <f>SQRT(IRS_returns_2015_25[[#This Row],[  σ2]])</f>
        <v>2.1642538211900426</v>
      </c>
    </row>
    <row r="2197" spans="1:6" x14ac:dyDescent="0.3">
      <c r="A2197" s="2">
        <v>45289</v>
      </c>
      <c r="B2197" s="1">
        <v>0.34945248069480073</v>
      </c>
      <c r="C2197" s="1">
        <f>IRS_returns_2015_25[[#This Row],[IRSrtn]]-AVERAGE($B$2:$B$2600)</f>
        <v>0.34367598662818494</v>
      </c>
      <c r="D2197" s="1">
        <f>w+a*C2196^2+b*D2196</f>
        <v>6.6483098199463075</v>
      </c>
      <c r="E2197" s="1">
        <f t="shared" si="34"/>
        <v>-1.8750028114008432</v>
      </c>
      <c r="F2197" s="7">
        <f>SQRT(IRS_returns_2015_25[[#This Row],[  σ2]])</f>
        <v>2.578431658963702</v>
      </c>
    </row>
    <row r="2198" spans="1:6" x14ac:dyDescent="0.3">
      <c r="A2198" s="2">
        <v>45293</v>
      </c>
      <c r="B2198" s="1">
        <v>-3.9127658454782832</v>
      </c>
      <c r="C2198" s="1">
        <f>IRS_returns_2015_25[[#This Row],[IRSrtn]]-AVERAGE($B$2:$B$2600)</f>
        <v>-3.9185423395448988</v>
      </c>
      <c r="D2198" s="1">
        <f>w+a*C2197^2+b*D2197</f>
        <v>5.7999336672303228</v>
      </c>
      <c r="E2198" s="1">
        <f t="shared" si="34"/>
        <v>-3.12158157350312</v>
      </c>
      <c r="F2198" s="7">
        <f>SQRT(IRS_returns_2015_25[[#This Row],[  σ2]])</f>
        <v>2.4083051441273637</v>
      </c>
    </row>
    <row r="2199" spans="1:6" x14ac:dyDescent="0.3">
      <c r="A2199" s="2">
        <v>45294</v>
      </c>
      <c r="B2199" s="1">
        <v>-1.8304440441743841</v>
      </c>
      <c r="C2199" s="1">
        <f>IRS_returns_2015_25[[#This Row],[IRSrtn]]-AVERAGE($B$2:$B$2600)</f>
        <v>-1.836220538241</v>
      </c>
      <c r="D2199" s="1">
        <f>w+a*C2198^2+b*D2198</f>
        <v>8.9476131138217276</v>
      </c>
      <c r="E2199" s="1">
        <f t="shared" si="34"/>
        <v>-2.2030456403914185</v>
      </c>
      <c r="F2199" s="7">
        <f>SQRT(IRS_returns_2015_25[[#This Row],[  σ2]])</f>
        <v>2.9912561097006938</v>
      </c>
    </row>
    <row r="2200" spans="1:6" x14ac:dyDescent="0.3">
      <c r="A2200" s="2">
        <v>45295</v>
      </c>
      <c r="B2200" s="1">
        <v>1.9512744492850898</v>
      </c>
      <c r="C2200" s="1">
        <f>IRS_returns_2015_25[[#This Row],[IRSrtn]]-AVERAGE($B$2:$B$2600)</f>
        <v>1.9454979552184739</v>
      </c>
      <c r="D2200" s="1">
        <f>w+a*C2199^2+b*D2199</f>
        <v>8.1233554033642719</v>
      </c>
      <c r="E2200" s="1">
        <f t="shared" si="34"/>
        <v>-2.1992780931369902</v>
      </c>
      <c r="F2200" s="7">
        <f>SQRT(IRS_returns_2015_25[[#This Row],[  σ2]])</f>
        <v>2.8501500668147761</v>
      </c>
    </row>
    <row r="2201" spans="1:6" x14ac:dyDescent="0.3">
      <c r="A2201" s="2">
        <v>45296</v>
      </c>
      <c r="B2201" s="1">
        <v>-2.941381315903846</v>
      </c>
      <c r="C2201" s="1">
        <f>IRS_returns_2015_25[[#This Row],[IRSrtn]]-AVERAGE($B$2:$B$2600)</f>
        <v>-2.9471578099704616</v>
      </c>
      <c r="D2201" s="1">
        <f>w+a*C2200^2+b*D2200</f>
        <v>7.6753231027151934</v>
      </c>
      <c r="E2201" s="1">
        <f t="shared" si="34"/>
        <v>-2.5037661076475084</v>
      </c>
      <c r="F2201" s="7">
        <f>SQRT(IRS_returns_2015_25[[#This Row],[  σ2]])</f>
        <v>2.7704373486356255</v>
      </c>
    </row>
    <row r="2202" spans="1:6" x14ac:dyDescent="0.3">
      <c r="A2202" s="2">
        <v>45299</v>
      </c>
      <c r="B2202" s="1">
        <v>1.9705066491485068</v>
      </c>
      <c r="C2202" s="1">
        <f>IRS_returns_2015_25[[#This Row],[IRSrtn]]-AVERAGE($B$2:$B$2600)</f>
        <v>1.964730155081891</v>
      </c>
      <c r="D2202" s="1">
        <f>w+a*C2201^2+b*D2201</f>
        <v>8.5711336614616265</v>
      </c>
      <c r="E2202" s="1">
        <f t="shared" si="34"/>
        <v>-2.2183225514287312</v>
      </c>
      <c r="F2202" s="7">
        <f>SQRT(IRS_returns_2015_25[[#This Row],[  σ2]])</f>
        <v>2.9276498529471771</v>
      </c>
    </row>
    <row r="2203" spans="1:6" x14ac:dyDescent="0.3">
      <c r="A2203" s="2">
        <v>45300</v>
      </c>
      <c r="B2203" s="1">
        <v>-5.5151772201670113</v>
      </c>
      <c r="C2203" s="1">
        <f>IRS_returns_2015_25[[#This Row],[IRSrtn]]-AVERAGE($B$2:$B$2600)</f>
        <v>-5.5209537142336274</v>
      </c>
      <c r="D2203" s="1">
        <f>w+a*C2202^2+b*D2202</f>
        <v>7.9917395932029214</v>
      </c>
      <c r="E2203" s="1">
        <f t="shared" si="34"/>
        <v>-3.8651699841438285</v>
      </c>
      <c r="F2203" s="7">
        <f>SQRT(IRS_returns_2015_25[[#This Row],[  σ2]])</f>
        <v>2.8269665001911362</v>
      </c>
    </row>
    <row r="2204" spans="1:6" x14ac:dyDescent="0.3">
      <c r="A2204" s="2">
        <v>45301</v>
      </c>
      <c r="B2204" s="1">
        <v>4.0409460465005376</v>
      </c>
      <c r="C2204" s="1">
        <f>IRS_returns_2015_25[[#This Row],[IRSrtn]]-AVERAGE($B$2:$B$2600)</f>
        <v>4.0351695524339215</v>
      </c>
      <c r="D2204" s="1">
        <f>w+a*C2203^2+b*D2203</f>
        <v>14.092170595581983</v>
      </c>
      <c r="E2204" s="1">
        <f t="shared" si="34"/>
        <v>-2.8194659357709502</v>
      </c>
      <c r="F2204" s="7">
        <f>SQRT(IRS_returns_2015_25[[#This Row],[  σ2]])</f>
        <v>3.7539539948675427</v>
      </c>
    </row>
    <row r="2205" spans="1:6" x14ac:dyDescent="0.3">
      <c r="A2205" s="2">
        <v>45302</v>
      </c>
      <c r="B2205" s="1">
        <v>-0.99502613326787337</v>
      </c>
      <c r="C2205" s="1">
        <f>IRS_returns_2015_25[[#This Row],[IRSrtn]]-AVERAGE($B$2:$B$2600)</f>
        <v>-1.0008026273344892</v>
      </c>
      <c r="D2205" s="1">
        <f>w+a*C2204^2+b*D2204</f>
        <v>14.693908043632579</v>
      </c>
      <c r="E2205" s="1">
        <f t="shared" si="34"/>
        <v>-2.2967373799697381</v>
      </c>
      <c r="F2205" s="7">
        <f>SQRT(IRS_returns_2015_25[[#This Row],[  σ2]])</f>
        <v>3.8332633673715373</v>
      </c>
    </row>
    <row r="2206" spans="1:6" x14ac:dyDescent="0.3">
      <c r="A2206" s="2">
        <v>45303</v>
      </c>
      <c r="B2206" s="1">
        <v>2.5911383100263974</v>
      </c>
      <c r="C2206" s="1">
        <f>IRS_returns_2015_25[[#This Row],[IRSrtn]]-AVERAGE($B$2:$B$2600)</f>
        <v>2.5853618159597818</v>
      </c>
      <c r="D2206" s="1">
        <f>w+a*C2205^2+b*D2205</f>
        <v>11.371285669147202</v>
      </c>
      <c r="E2206" s="1">
        <f t="shared" si="34"/>
        <v>-2.4283865962088589</v>
      </c>
      <c r="F2206" s="7">
        <f>SQRT(IRS_returns_2015_25[[#This Row],[  σ2]])</f>
        <v>3.3721336968078832</v>
      </c>
    </row>
    <row r="2207" spans="1:6" x14ac:dyDescent="0.3">
      <c r="A2207" s="2">
        <v>45307</v>
      </c>
      <c r="B2207" s="1">
        <v>-4.4839413627338676</v>
      </c>
      <c r="C2207" s="1">
        <f>IRS_returns_2015_25[[#This Row],[IRSrtn]]-AVERAGE($B$2:$B$2600)</f>
        <v>-4.4897178568004836</v>
      </c>
      <c r="D2207" s="1">
        <f>w+a*C2206^2+b*D2206</f>
        <v>10.543897753096152</v>
      </c>
      <c r="E2207" s="1">
        <f t="shared" si="34"/>
        <v>-3.052599972549908</v>
      </c>
      <c r="F2207" s="7">
        <f>SQRT(IRS_returns_2015_25[[#This Row],[  σ2]])</f>
        <v>3.2471368546915529</v>
      </c>
    </row>
    <row r="2208" spans="1:6" x14ac:dyDescent="0.3">
      <c r="A2208" s="2">
        <v>45308</v>
      </c>
      <c r="B2208" s="1">
        <v>1.8928030527074702</v>
      </c>
      <c r="C2208" s="1">
        <f>IRS_returns_2015_25[[#This Row],[IRSrtn]]-AVERAGE($B$2:$B$2600)</f>
        <v>1.8870265586408543</v>
      </c>
      <c r="D2208" s="1">
        <f>w+a*C2207^2+b*D2207</f>
        <v>13.275899812779777</v>
      </c>
      <c r="E2208" s="1">
        <f t="shared" si="34"/>
        <v>-2.3460239850179008</v>
      </c>
      <c r="F2208" s="7">
        <f>SQRT(IRS_returns_2015_25[[#This Row],[  σ2]])</f>
        <v>3.6436108207079112</v>
      </c>
    </row>
    <row r="2209" spans="1:6" x14ac:dyDescent="0.3">
      <c r="A2209" s="2">
        <v>45309</v>
      </c>
      <c r="B2209" s="1">
        <v>0.99502613326787337</v>
      </c>
      <c r="C2209" s="1">
        <f>IRS_returns_2015_25[[#This Row],[IRSrtn]]-AVERAGE($B$2:$B$2600)</f>
        <v>0.98924963920125752</v>
      </c>
      <c r="D2209" s="1">
        <f>w+a*C2208^2+b*D2208</f>
        <v>11.050857809773948</v>
      </c>
      <c r="E2209" s="1">
        <f t="shared" si="34"/>
        <v>-2.1644703381964581</v>
      </c>
      <c r="F2209" s="7">
        <f>SQRT(IRS_returns_2015_25[[#This Row],[  σ2]])</f>
        <v>3.3242830519939104</v>
      </c>
    </row>
    <row r="2210" spans="1:6" x14ac:dyDescent="0.3">
      <c r="A2210" s="2">
        <v>45310</v>
      </c>
      <c r="B2210" s="1">
        <v>3.2869781129828635</v>
      </c>
      <c r="C2210" s="1">
        <f>IRS_returns_2015_25[[#This Row],[IRSrtn]]-AVERAGE($B$2:$B$2600)</f>
        <v>3.2812016189162478</v>
      </c>
      <c r="D2210" s="1">
        <f>w+a*C2209^2+b*D2209</f>
        <v>8.940444476922373</v>
      </c>
      <c r="E2210" s="1">
        <f t="shared" si="34"/>
        <v>-2.616342417325245</v>
      </c>
      <c r="F2210" s="7">
        <f>SQRT(IRS_returns_2015_25[[#This Row],[  σ2]])</f>
        <v>2.9900576042816254</v>
      </c>
    </row>
    <row r="2211" spans="1:6" x14ac:dyDescent="0.3">
      <c r="A2211" s="2">
        <v>45313</v>
      </c>
      <c r="B2211" s="1">
        <v>3.9911217152442946</v>
      </c>
      <c r="C2211" s="1">
        <f>IRS_returns_2015_25[[#This Row],[IRSrtn]]-AVERAGE($B$2:$B$2600)</f>
        <v>3.985345221177679</v>
      </c>
      <c r="D2211" s="1">
        <f>w+a*C2210^2+b*D2210</f>
        <v>9.9202703901467792</v>
      </c>
      <c r="E2211" s="1">
        <f t="shared" si="34"/>
        <v>-2.866760054679804</v>
      </c>
      <c r="F2211" s="7">
        <f>SQRT(IRS_returns_2015_25[[#This Row],[  σ2]])</f>
        <v>3.1496460737909553</v>
      </c>
    </row>
    <row r="2212" spans="1:6" x14ac:dyDescent="0.3">
      <c r="A2212" s="2">
        <v>45314</v>
      </c>
      <c r="B2212" s="1">
        <v>-1.9756381844448168</v>
      </c>
      <c r="C2212" s="1">
        <f>IRS_returns_2015_25[[#This Row],[IRSrtn]]-AVERAGE($B$2:$B$2600)</f>
        <v>-1.9814146785114326</v>
      </c>
      <c r="D2212" s="1">
        <f>w+a*C2211^2+b*D2211</f>
        <v>11.819237813321916</v>
      </c>
      <c r="E2212" s="1">
        <f t="shared" si="34"/>
        <v>-2.3198881311152224</v>
      </c>
      <c r="F2212" s="7">
        <f>SQRT(IRS_returns_2015_25[[#This Row],[  σ2]])</f>
        <v>3.4379118390851611</v>
      </c>
    </row>
    <row r="2213" spans="1:6" x14ac:dyDescent="0.3">
      <c r="A2213" s="2">
        <v>45315</v>
      </c>
      <c r="B2213" s="1">
        <v>0.46837530358128099</v>
      </c>
      <c r="C2213" s="1">
        <f>IRS_returns_2015_25[[#This Row],[IRSrtn]]-AVERAGE($B$2:$B$2600)</f>
        <v>0.4625988095146652</v>
      </c>
      <c r="D2213" s="1">
        <f>w+a*C2212^2+b*D2212</f>
        <v>10.170098603851685</v>
      </c>
      <c r="E2213" s="1">
        <f t="shared" si="34"/>
        <v>-2.0891854094802809</v>
      </c>
      <c r="F2213" s="7">
        <f>SQRT(IRS_returns_2015_25[[#This Row],[  σ2]])</f>
        <v>3.1890592035664191</v>
      </c>
    </row>
    <row r="2214" spans="1:6" x14ac:dyDescent="0.3">
      <c r="A2214" s="2">
        <v>45316</v>
      </c>
      <c r="B2214" s="1">
        <v>2.9921626496263176</v>
      </c>
      <c r="C2214" s="1">
        <f>IRS_returns_2015_25[[#This Row],[IRSrtn]]-AVERAGE($B$2:$B$2600)</f>
        <v>2.986386155559702</v>
      </c>
      <c r="D2214" s="1">
        <f>w+a*C2213^2+b*D2213</f>
        <v>8.1678095515769229</v>
      </c>
      <c r="E2214" s="1">
        <f t="shared" si="34"/>
        <v>-2.5149932628966534</v>
      </c>
      <c r="F2214" s="7">
        <f>SQRT(IRS_returns_2015_25[[#This Row],[  σ2]])</f>
        <v>2.8579379894561958</v>
      </c>
    </row>
    <row r="2215" spans="1:6" x14ac:dyDescent="0.3">
      <c r="A2215" s="2">
        <v>45317</v>
      </c>
      <c r="B2215" s="1">
        <v>-0.45454307063748089</v>
      </c>
      <c r="C2215" s="1">
        <f>IRS_returns_2015_25[[#This Row],[IRSrtn]]-AVERAGE($B$2:$B$2600)</f>
        <v>-0.46031956470409668</v>
      </c>
      <c r="D2215" s="1">
        <f>w+a*C2214^2+b*D2214</f>
        <v>8.9557028002708634</v>
      </c>
      <c r="E2215" s="1">
        <f t="shared" si="34"/>
        <v>-2.0269139114254635</v>
      </c>
      <c r="F2215" s="7">
        <f>SQRT(IRS_returns_2015_25[[#This Row],[  σ2]])</f>
        <v>2.9926080264997728</v>
      </c>
    </row>
    <row r="2216" spans="1:6" x14ac:dyDescent="0.3">
      <c r="A2216" s="2">
        <v>45320</v>
      </c>
      <c r="B2216" s="1">
        <v>-2.0714152455630686</v>
      </c>
      <c r="C2216" s="1">
        <f>IRS_returns_2015_25[[#This Row],[IRSrtn]]-AVERAGE($B$2:$B$2600)</f>
        <v>-2.0771917396296842</v>
      </c>
      <c r="D2216" s="1">
        <f>w+a*C2215^2+b*D2215</f>
        <v>7.3588534373877961</v>
      </c>
      <c r="E2216" s="1">
        <f t="shared" si="34"/>
        <v>-2.2100562126670176</v>
      </c>
      <c r="F2216" s="7">
        <f>SQRT(IRS_returns_2015_25[[#This Row],[  σ2]])</f>
        <v>2.7127206707266778</v>
      </c>
    </row>
    <row r="2217" spans="1:6" x14ac:dyDescent="0.3">
      <c r="A2217" s="2">
        <v>45321</v>
      </c>
      <c r="B2217" s="1">
        <v>0.46403469910849537</v>
      </c>
      <c r="C2217" s="1">
        <f>IRS_returns_2015_25[[#This Row],[IRSrtn]]-AVERAGE($B$2:$B$2600)</f>
        <v>0.45825820504187958</v>
      </c>
      <c r="D2217" s="1">
        <f>w+a*C2216^2+b*D2216</f>
        <v>7.295458054938817</v>
      </c>
      <c r="E2217" s="1">
        <f t="shared" si="34"/>
        <v>-1.926957074698139</v>
      </c>
      <c r="F2217" s="7">
        <f>SQRT(IRS_returns_2015_25[[#This Row],[  σ2]])</f>
        <v>2.7010105617969762</v>
      </c>
    </row>
    <row r="2218" spans="1:6" x14ac:dyDescent="0.3">
      <c r="A2218" s="2">
        <v>45322</v>
      </c>
      <c r="B2218" s="1">
        <v>1.379334953572009</v>
      </c>
      <c r="C2218" s="1">
        <f>IRS_returns_2015_25[[#This Row],[IRSrtn]]-AVERAGE($B$2:$B$2600)</f>
        <v>1.3735584595053931</v>
      </c>
      <c r="D2218" s="1">
        <f>w+a*C2217^2+b*D2217</f>
        <v>6.2531394067076036</v>
      </c>
      <c r="E2218" s="1">
        <f t="shared" si="34"/>
        <v>-1.9863376055307658</v>
      </c>
      <c r="F2218" s="7">
        <f>SQRT(IRS_returns_2015_25[[#This Row],[  σ2]])</f>
        <v>2.5006278025143214</v>
      </c>
    </row>
    <row r="2219" spans="1:6" x14ac:dyDescent="0.3">
      <c r="A2219" s="2">
        <v>45323</v>
      </c>
      <c r="B2219" s="1">
        <v>0.90909691903084955</v>
      </c>
      <c r="C2219" s="1">
        <f>IRS_returns_2015_25[[#This Row],[IRSrtn]]-AVERAGE($B$2:$B$2600)</f>
        <v>0.9033204249642337</v>
      </c>
      <c r="D2219" s="1">
        <f>w+a*C2218^2+b*D2218</f>
        <v>5.96776883369703</v>
      </c>
      <c r="E2219" s="1">
        <f t="shared" si="34"/>
        <v>-1.8804913335660673</v>
      </c>
      <c r="F2219" s="7">
        <f>SQRT(IRS_returns_2015_25[[#This Row],[  σ2]])</f>
        <v>2.4429017241176587</v>
      </c>
    </row>
    <row r="2220" spans="1:6" x14ac:dyDescent="0.3">
      <c r="A2220" s="2">
        <v>45324</v>
      </c>
      <c r="B2220" s="1">
        <v>-1.7114080242735863</v>
      </c>
      <c r="C2220" s="1">
        <f>IRS_returns_2015_25[[#This Row],[IRSrtn]]-AVERAGE($B$2:$B$2600)</f>
        <v>-1.7171845183402021</v>
      </c>
      <c r="D2220" s="1">
        <f>w+a*C2219^2+b*D2219</f>
        <v>5.5169231450426741</v>
      </c>
      <c r="E2220" s="1">
        <f t="shared" si="34"/>
        <v>-2.0400920915765584</v>
      </c>
      <c r="F2220" s="7">
        <f>SQRT(IRS_returns_2015_25[[#This Row],[  σ2]])</f>
        <v>2.3488131354032133</v>
      </c>
    </row>
    <row r="2221" spans="1:6" x14ac:dyDescent="0.3">
      <c r="A2221" s="2">
        <v>45327</v>
      </c>
      <c r="B2221" s="1">
        <v>-7.5259196527254435</v>
      </c>
      <c r="C2221" s="1">
        <f>IRS_returns_2015_25[[#This Row],[IRSrtn]]-AVERAGE($B$2:$B$2600)</f>
        <v>-7.5316961467920596</v>
      </c>
      <c r="D2221" s="1">
        <f>w+a*C2220^2+b*D2220</f>
        <v>5.7364279952632309</v>
      </c>
      <c r="E2221" s="1">
        <f t="shared" si="34"/>
        <v>-6.7367619194973063</v>
      </c>
      <c r="F2221" s="7">
        <f>SQRT(IRS_returns_2015_25[[#This Row],[  σ2]])</f>
        <v>2.3950841311451319</v>
      </c>
    </row>
    <row r="2222" spans="1:6" x14ac:dyDescent="0.3">
      <c r="A2222" s="2">
        <v>45328</v>
      </c>
      <c r="B2222" s="1">
        <v>0.9876620367564648</v>
      </c>
      <c r="C2222" s="1">
        <f>IRS_returns_2015_25[[#This Row],[IRSrtn]]-AVERAGE($B$2:$B$2600)</f>
        <v>0.98188554268984896</v>
      </c>
      <c r="D2222" s="1">
        <f>w+a*C2221^2+b*D2221</f>
        <v>18.985486102531606</v>
      </c>
      <c r="E2222" s="1">
        <f t="shared" si="34"/>
        <v>-2.416166359716021</v>
      </c>
      <c r="F2222" s="7">
        <f>SQRT(IRS_returns_2015_25[[#This Row],[  σ2]])</f>
        <v>4.3572337672578003</v>
      </c>
    </row>
    <row r="2223" spans="1:6" x14ac:dyDescent="0.3">
      <c r="A2223" s="2">
        <v>45329</v>
      </c>
      <c r="B2223" s="1">
        <v>-3.7551385261344272</v>
      </c>
      <c r="C2223" s="1">
        <f>IRS_returns_2015_25[[#This Row],[IRSrtn]]-AVERAGE($B$2:$B$2600)</f>
        <v>-3.7609150202010428</v>
      </c>
      <c r="D2223" s="1">
        <f>w+a*C2222^2+b*D2222</f>
        <v>14.219122415594036</v>
      </c>
      <c r="E2223" s="1">
        <f t="shared" si="34"/>
        <v>-2.7436077304617474</v>
      </c>
      <c r="F2223" s="7">
        <f>SQRT(IRS_returns_2015_25[[#This Row],[  σ2]])</f>
        <v>3.7708251637531589</v>
      </c>
    </row>
    <row r="2224" spans="1:6" x14ac:dyDescent="0.3">
      <c r="A2224" s="2">
        <v>45330</v>
      </c>
      <c r="B2224" s="1">
        <v>-3.9016695103591958</v>
      </c>
      <c r="C2224" s="1">
        <f>IRS_returns_2015_25[[#This Row],[IRSrtn]]-AVERAGE($B$2:$B$2600)</f>
        <v>-3.9074460044258115</v>
      </c>
      <c r="D2224" s="1">
        <f>w+a*C2223^2+b*D2223</f>
        <v>14.257471612709558</v>
      </c>
      <c r="E2224" s="1">
        <f t="shared" si="34"/>
        <v>-2.7830223438507797</v>
      </c>
      <c r="F2224" s="7">
        <f>SQRT(IRS_returns_2015_25[[#This Row],[  σ2]])</f>
        <v>3.7759067272258671</v>
      </c>
    </row>
    <row r="2225" spans="1:6" x14ac:dyDescent="0.3">
      <c r="A2225" s="2">
        <v>45331</v>
      </c>
      <c r="B2225" s="1">
        <v>6.4206903487534106</v>
      </c>
      <c r="C2225" s="1">
        <f>IRS_returns_2015_25[[#This Row],[IRSrtn]]-AVERAGE($B$2:$B$2600)</f>
        <v>6.4149138546867945</v>
      </c>
      <c r="D2225" s="1">
        <f>w+a*C2224^2+b*D2224</f>
        <v>14.55677898310983</v>
      </c>
      <c r="E2225" s="1">
        <f t="shared" si="34"/>
        <v>-3.6714362086639634</v>
      </c>
      <c r="F2225" s="7">
        <f>SQRT(IRS_returns_2015_25[[#This Row],[  σ2]])</f>
        <v>3.8153347144267475</v>
      </c>
    </row>
    <row r="2226" spans="1:6" x14ac:dyDescent="0.3">
      <c r="A2226" s="2">
        <v>45334</v>
      </c>
      <c r="B2226" s="1">
        <v>-0.74907207245111795</v>
      </c>
      <c r="C2226" s="1">
        <f>IRS_returns_2015_25[[#This Row],[IRSrtn]]-AVERAGE($B$2:$B$2600)</f>
        <v>-0.7548485665177338</v>
      </c>
      <c r="D2226" s="1">
        <f>w+a*C2225^2+b*D2225</f>
        <v>21.062416330145595</v>
      </c>
      <c r="E2226" s="1">
        <f t="shared" si="34"/>
        <v>-2.4562100278094072</v>
      </c>
      <c r="F2226" s="7">
        <f>SQRT(IRS_returns_2015_25[[#This Row],[  σ2]])</f>
        <v>4.5893808220876151</v>
      </c>
    </row>
    <row r="2227" spans="1:6" x14ac:dyDescent="0.3">
      <c r="A2227" s="2">
        <v>45335</v>
      </c>
      <c r="B2227" s="1">
        <v>-0.62853150441872785</v>
      </c>
      <c r="C2227" s="1">
        <f>IRS_returns_2015_25[[#This Row],[IRSrtn]]-AVERAGE($B$2:$B$2600)</f>
        <v>-0.63430799848534369</v>
      </c>
      <c r="D2227" s="1">
        <f>w+a*C2226^2+b*D2226</f>
        <v>15.505697779727081</v>
      </c>
      <c r="E2227" s="1">
        <f t="shared" si="34"/>
        <v>-2.3025164652295023</v>
      </c>
      <c r="F2227" s="7">
        <f>SQRT(IRS_returns_2015_25[[#This Row],[  σ2]])</f>
        <v>3.9377274892667575</v>
      </c>
    </row>
    <row r="2228" spans="1:6" x14ac:dyDescent="0.3">
      <c r="A2228" s="2">
        <v>45336</v>
      </c>
      <c r="B2228" s="1">
        <v>3.2260804918437858</v>
      </c>
      <c r="C2228" s="1">
        <f>IRS_returns_2015_25[[#This Row],[IRSrtn]]-AVERAGE($B$2:$B$2600)</f>
        <v>3.2203039977771701</v>
      </c>
      <c r="D2228" s="1">
        <f>w+a*C2227^2+b*D2227</f>
        <v>11.765698283576612</v>
      </c>
      <c r="E2228" s="1">
        <f t="shared" si="34"/>
        <v>-2.5922357527335342</v>
      </c>
      <c r="F2228" s="7">
        <f>SQRT(IRS_returns_2015_25[[#This Row],[  σ2]])</f>
        <v>3.4301163658944009</v>
      </c>
    </row>
    <row r="2229" spans="1:6" x14ac:dyDescent="0.3">
      <c r="A2229" s="2">
        <v>45337</v>
      </c>
      <c r="B2229" s="1">
        <v>3.3616700184144088</v>
      </c>
      <c r="C2229" s="1">
        <f>IRS_returns_2015_25[[#This Row],[IRSrtn]]-AVERAGE($B$2:$B$2600)</f>
        <v>3.3558935243477932</v>
      </c>
      <c r="D2229" s="1">
        <f>w+a*C2228^2+b*D2228</f>
        <v>11.704621735238437</v>
      </c>
      <c r="E2229" s="1">
        <f t="shared" si="34"/>
        <v>-2.6300233473191952</v>
      </c>
      <c r="F2229" s="7">
        <f>SQRT(IRS_returns_2015_25[[#This Row],[  σ2]])</f>
        <v>3.4212017969185093</v>
      </c>
    </row>
    <row r="2230" spans="1:6" x14ac:dyDescent="0.3">
      <c r="A2230" s="2">
        <v>45338</v>
      </c>
      <c r="B2230" s="1">
        <v>1.6393726824547539</v>
      </c>
      <c r="C2230" s="1">
        <f>IRS_returns_2015_25[[#This Row],[IRSrtn]]-AVERAGE($B$2:$B$2600)</f>
        <v>1.633596188388138</v>
      </c>
      <c r="D2230" s="1">
        <f>w+a*C2229^2+b*D2229</f>
        <v>11.881215663906293</v>
      </c>
      <c r="E2230" s="1">
        <f t="shared" si="34"/>
        <v>-2.2687227111525745</v>
      </c>
      <c r="F2230" s="7">
        <f>SQRT(IRS_returns_2015_25[[#This Row],[  σ2]])</f>
        <v>3.4469139333476679</v>
      </c>
    </row>
    <row r="2231" spans="1:6" x14ac:dyDescent="0.3">
      <c r="A2231" s="2">
        <v>45342</v>
      </c>
      <c r="B2231" s="1">
        <v>0.23202644343958134</v>
      </c>
      <c r="C2231" s="1">
        <f>IRS_returns_2015_25[[#This Row],[IRSrtn]]-AVERAGE($B$2:$B$2600)</f>
        <v>0.22624994937296555</v>
      </c>
      <c r="D2231" s="1">
        <f>w+a*C2230^2+b*D2230</f>
        <v>9.9050009646270318</v>
      </c>
      <c r="E2231" s="1">
        <f t="shared" si="34"/>
        <v>-2.0680424217015885</v>
      </c>
      <c r="F2231" s="7">
        <f>SQRT(IRS_returns_2015_25[[#This Row],[  σ2]])</f>
        <v>3.1472211496218425</v>
      </c>
    </row>
    <row r="2232" spans="1:6" x14ac:dyDescent="0.3">
      <c r="A2232" s="2">
        <v>45343</v>
      </c>
      <c r="B2232" s="1">
        <v>-1.0483470691970531</v>
      </c>
      <c r="C2232" s="1">
        <f>IRS_returns_2015_25[[#This Row],[IRSrtn]]-AVERAGE($B$2:$B$2600)</f>
        <v>-1.054123563263669</v>
      </c>
      <c r="D2232" s="1">
        <f>w+a*C2231^2+b*D2231</f>
        <v>7.9516613401190961</v>
      </c>
      <c r="E2232" s="1">
        <f t="shared" si="34"/>
        <v>-2.025499685911833</v>
      </c>
      <c r="F2232" s="7">
        <f>SQRT(IRS_returns_2015_25[[#This Row],[  σ2]])</f>
        <v>2.8198690288946215</v>
      </c>
    </row>
    <row r="2233" spans="1:6" x14ac:dyDescent="0.3">
      <c r="A2233" s="2">
        <v>45344</v>
      </c>
      <c r="B2233" s="1">
        <v>2.4292693075012473</v>
      </c>
      <c r="C2233" s="1">
        <f>IRS_returns_2015_25[[#This Row],[IRSrtn]]-AVERAGE($B$2:$B$2600)</f>
        <v>2.4234928134346316</v>
      </c>
      <c r="D2233" s="1">
        <f>w+a*C2232^2+b*D2232</f>
        <v>6.9095562016372174</v>
      </c>
      <c r="E2233" s="1">
        <f t="shared" si="34"/>
        <v>-2.3104053235318491</v>
      </c>
      <c r="F2233" s="7">
        <f>SQRT(IRS_returns_2015_25[[#This Row],[  σ2]])</f>
        <v>2.628603469836639</v>
      </c>
    </row>
    <row r="2234" spans="1:6" x14ac:dyDescent="0.3">
      <c r="A2234" s="2">
        <v>45345</v>
      </c>
      <c r="B2234" s="1">
        <v>-2.781181276647926</v>
      </c>
      <c r="C2234" s="1">
        <f>IRS_returns_2015_25[[#This Row],[IRSrtn]]-AVERAGE($B$2:$B$2600)</f>
        <v>-2.7869577707145416</v>
      </c>
      <c r="D2234" s="1">
        <f>w+a*C2233^2+b*D2233</f>
        <v>7.3761039302985747</v>
      </c>
      <c r="E2234" s="1">
        <f t="shared" si="34"/>
        <v>-2.4445678409571574</v>
      </c>
      <c r="F2234" s="7">
        <f>SQRT(IRS_returns_2015_25[[#This Row],[  σ2]])</f>
        <v>2.7158983652372881</v>
      </c>
    </row>
    <row r="2235" spans="1:6" x14ac:dyDescent="0.3">
      <c r="A2235" s="2">
        <v>45348</v>
      </c>
      <c r="B2235" s="1">
        <v>-0.47114008755060333</v>
      </c>
      <c r="C2235" s="1">
        <f>IRS_returns_2015_25[[#This Row],[IRSrtn]]-AVERAGE($B$2:$B$2600)</f>
        <v>-0.47691658161721912</v>
      </c>
      <c r="D2235" s="1">
        <f>w+a*C2234^2+b*D2234</f>
        <v>8.1481204297689906</v>
      </c>
      <c r="E2235" s="1">
        <f t="shared" si="34"/>
        <v>-1.9817893438120027</v>
      </c>
      <c r="F2235" s="7">
        <f>SQRT(IRS_returns_2015_25[[#This Row],[  σ2]])</f>
        <v>2.8544912733741175</v>
      </c>
    </row>
    <row r="2236" spans="1:6" x14ac:dyDescent="0.3">
      <c r="A2236" s="2">
        <v>45349</v>
      </c>
      <c r="B2236" s="1">
        <v>-5.3346066312562446</v>
      </c>
      <c r="C2236" s="1">
        <f>IRS_returns_2015_25[[#This Row],[IRSrtn]]-AVERAGE($B$2:$B$2600)</f>
        <v>-5.3403831253228606</v>
      </c>
      <c r="D2236" s="1">
        <f>w+a*C2235^2+b*D2235</f>
        <v>6.8250224070969612</v>
      </c>
      <c r="E2236" s="1">
        <f t="shared" si="34"/>
        <v>-3.9685842055609291</v>
      </c>
      <c r="F2236" s="7">
        <f>SQRT(IRS_returns_2015_25[[#This Row],[  σ2]])</f>
        <v>2.6124743840078053</v>
      </c>
    </row>
    <row r="2237" spans="1:6" x14ac:dyDescent="0.3">
      <c r="A2237" s="2">
        <v>45350</v>
      </c>
      <c r="B2237" s="1">
        <v>-3.6782841834384072</v>
      </c>
      <c r="C2237" s="1">
        <f>IRS_returns_2015_25[[#This Row],[IRSrtn]]-AVERAGE($B$2:$B$2600)</f>
        <v>-3.6840606775050229</v>
      </c>
      <c r="D2237" s="1">
        <f>w+a*C2236^2+b*D2236</f>
        <v>12.837612282468189</v>
      </c>
      <c r="E2237" s="1">
        <f t="shared" si="34"/>
        <v>-2.7237429697773834</v>
      </c>
      <c r="F2237" s="7">
        <f>SQRT(IRS_returns_2015_25[[#This Row],[  σ2]])</f>
        <v>3.5829613844511621</v>
      </c>
    </row>
    <row r="2238" spans="1:6" x14ac:dyDescent="0.3">
      <c r="A2238" s="2">
        <v>45351</v>
      </c>
      <c r="B2238" s="1">
        <v>0.12911990741264479</v>
      </c>
      <c r="C2238" s="1">
        <f>IRS_returns_2015_25[[#This Row],[IRSrtn]]-AVERAGE($B$2:$B$2600)</f>
        <v>0.123343413346029</v>
      </c>
      <c r="D2238" s="1">
        <f>w+a*C2237^2+b*D2237</f>
        <v>13.198366016200994</v>
      </c>
      <c r="E2238" s="1">
        <f t="shared" si="34"/>
        <v>-2.2095613948246711</v>
      </c>
      <c r="F2238" s="7">
        <f>SQRT(IRS_returns_2015_25[[#This Row],[  σ2]])</f>
        <v>3.6329555483381561</v>
      </c>
    </row>
    <row r="2239" spans="1:6" x14ac:dyDescent="0.3">
      <c r="A2239" s="2">
        <v>45352</v>
      </c>
      <c r="B2239" s="1">
        <v>0.64309667245341373</v>
      </c>
      <c r="C2239" s="1">
        <f>IRS_returns_2015_25[[#This Row],[IRSrtn]]-AVERAGE($B$2:$B$2600)</f>
        <v>0.63732017838679789</v>
      </c>
      <c r="D2239" s="1">
        <f>w+a*C2238^2+b*D2238</f>
        <v>10.135344089908155</v>
      </c>
      <c r="E2239" s="1">
        <f t="shared" si="34"/>
        <v>-2.0969905508990356</v>
      </c>
      <c r="F2239" s="7">
        <f>SQRT(IRS_returns_2015_25[[#This Row],[  σ2]])</f>
        <v>3.183605517319656</v>
      </c>
    </row>
    <row r="2240" spans="1:6" x14ac:dyDescent="0.3">
      <c r="A2240" s="2">
        <v>45355</v>
      </c>
      <c r="B2240" s="1">
        <v>-0.12829167473378256</v>
      </c>
      <c r="C2240" s="1">
        <f>IRS_returns_2015_25[[#This Row],[IRSrtn]]-AVERAGE($B$2:$B$2600)</f>
        <v>-0.13406816880039835</v>
      </c>
      <c r="D2240" s="1">
        <f>w+a*C2239^2+b*D2239</f>
        <v>8.1914973452634463</v>
      </c>
      <c r="E2240" s="1">
        <f t="shared" si="34"/>
        <v>-1.9715840167357055</v>
      </c>
      <c r="F2240" s="7">
        <f>SQRT(IRS_returns_2015_25[[#This Row],[  σ2]])</f>
        <v>2.862079199683937</v>
      </c>
    </row>
    <row r="2241" spans="1:6" x14ac:dyDescent="0.3">
      <c r="A2241" s="2">
        <v>45356</v>
      </c>
      <c r="B2241" s="1">
        <v>-1.0322669519624572</v>
      </c>
      <c r="C2241" s="1">
        <f>IRS_returns_2015_25[[#This Row],[IRSrtn]]-AVERAGE($B$2:$B$2600)</f>
        <v>-1.0380434460290731</v>
      </c>
      <c r="D2241" s="1">
        <f>w+a*C2240^2+b*D2240</f>
        <v>6.8028605723857485</v>
      </c>
      <c r="E2241" s="1">
        <f t="shared" si="34"/>
        <v>-1.9568072707968573</v>
      </c>
      <c r="F2241" s="7">
        <f>SQRT(IRS_returns_2015_25[[#This Row],[  σ2]])</f>
        <v>2.6082293941265497</v>
      </c>
    </row>
    <row r="2242" spans="1:6" x14ac:dyDescent="0.3">
      <c r="A2242" s="2">
        <v>45357</v>
      </c>
      <c r="B2242" s="1">
        <v>1.5444283776677725</v>
      </c>
      <c r="C2242" s="1">
        <f>IRS_returns_2015_25[[#This Row],[IRSrtn]]-AVERAGE($B$2:$B$2600)</f>
        <v>1.5386518836011567</v>
      </c>
      <c r="D2242" s="1">
        <f>w+a*C2241^2+b*D2241</f>
        <v>6.1365833939089605</v>
      </c>
      <c r="E2242" s="1">
        <f t="shared" ref="E2242:E2305" si="35">-0.5*(LN(2*PI())+LN(D2242)+C2242^2/D2242)</f>
        <v>-2.0189689958045784</v>
      </c>
      <c r="F2242" s="7">
        <f>SQRT(IRS_returns_2015_25[[#This Row],[  σ2]])</f>
        <v>2.4772128277378513</v>
      </c>
    </row>
    <row r="2243" spans="1:6" x14ac:dyDescent="0.3">
      <c r="A2243" s="2">
        <v>45358</v>
      </c>
      <c r="B2243" s="1">
        <v>-1.8041704687542515</v>
      </c>
      <c r="C2243" s="1">
        <f>IRS_returns_2015_25[[#This Row],[IRSrtn]]-AVERAGE($B$2:$B$2600)</f>
        <v>-1.8099469628208673</v>
      </c>
      <c r="D2243" s="1">
        <f>w+a*C2242^2+b*D2242</f>
        <v>6.0073191350294302</v>
      </c>
      <c r="E2243" s="1">
        <f t="shared" si="35"/>
        <v>-2.0880875524851064</v>
      </c>
      <c r="F2243" s="7">
        <f>SQRT(IRS_returns_2015_25[[#This Row],[  σ2]])</f>
        <v>2.4509832996227106</v>
      </c>
    </row>
    <row r="2244" spans="1:6" x14ac:dyDescent="0.3">
      <c r="A2244" s="2">
        <v>45359</v>
      </c>
      <c r="B2244" s="1">
        <v>0.6480841379166602</v>
      </c>
      <c r="C2244" s="1">
        <f>IRS_returns_2015_25[[#This Row],[IRSrtn]]-AVERAGE($B$2:$B$2600)</f>
        <v>0.64230764385004435</v>
      </c>
      <c r="D2244" s="1">
        <f>w+a*C2243^2+b*D2243</f>
        <v>6.1426114339345252</v>
      </c>
      <c r="E2244" s="1">
        <f t="shared" si="35"/>
        <v>-1.8601452524218154</v>
      </c>
      <c r="F2244" s="7">
        <f>SQRT(IRS_returns_2015_25[[#This Row],[  σ2]])</f>
        <v>2.4784292271385371</v>
      </c>
    </row>
    <row r="2245" spans="1:6" x14ac:dyDescent="0.3">
      <c r="A2245" s="2">
        <v>45362</v>
      </c>
      <c r="B2245" s="1">
        <v>-2.0888412640592158</v>
      </c>
      <c r="C2245" s="1">
        <f>IRS_returns_2015_25[[#This Row],[IRSrtn]]-AVERAGE($B$2:$B$2600)</f>
        <v>-2.0946177581258314</v>
      </c>
      <c r="D2245" s="1">
        <f>w+a*C2244^2+b*D2244</f>
        <v>5.5350234814349273</v>
      </c>
      <c r="E2245" s="1">
        <f t="shared" si="35"/>
        <v>-2.1708193136753899</v>
      </c>
      <c r="F2245" s="7">
        <f>SQRT(IRS_returns_2015_25[[#This Row],[  σ2]])</f>
        <v>2.352663061603792</v>
      </c>
    </row>
    <row r="2246" spans="1:6" x14ac:dyDescent="0.3">
      <c r="A2246" s="2">
        <v>45363</v>
      </c>
      <c r="B2246" s="1">
        <v>0.26350647019488527</v>
      </c>
      <c r="C2246" s="1">
        <f>IRS_returns_2015_25[[#This Row],[IRSrtn]]-AVERAGE($B$2:$B$2600)</f>
        <v>0.25772997612826948</v>
      </c>
      <c r="D2246" s="1">
        <f>w+a*C2245^2+b*D2245</f>
        <v>6.0990168290706901</v>
      </c>
      <c r="E2246" s="1">
        <f t="shared" si="35"/>
        <v>-1.8284478530727013</v>
      </c>
      <c r="F2246" s="7">
        <f>SQRT(IRS_returns_2015_25[[#This Row],[  σ2]])</f>
        <v>2.4696187618882979</v>
      </c>
    </row>
    <row r="2247" spans="1:6" x14ac:dyDescent="0.3">
      <c r="A2247" s="2">
        <v>45364</v>
      </c>
      <c r="B2247" s="1">
        <v>6.864196362910846</v>
      </c>
      <c r="C2247" s="1">
        <f>IRS_returns_2015_25[[#This Row],[IRSrtn]]-AVERAGE($B$2:$B$2600)</f>
        <v>6.8584198688442299</v>
      </c>
      <c r="D2247" s="1">
        <f>w+a*C2246^2+b*D2246</f>
        <v>5.4216662654628855</v>
      </c>
      <c r="E2247" s="1">
        <f t="shared" si="35"/>
        <v>-6.1020983161093865</v>
      </c>
      <c r="F2247" s="7">
        <f>SQRT(IRS_returns_2015_25[[#This Row],[  σ2]])</f>
        <v>2.3284471790149945</v>
      </c>
    </row>
    <row r="2248" spans="1:6" x14ac:dyDescent="0.3">
      <c r="A2248" s="2">
        <v>45365</v>
      </c>
      <c r="B2248" s="1">
        <v>0.12275894544537813</v>
      </c>
      <c r="C2248" s="1">
        <f>IRS_returns_2015_25[[#This Row],[IRSrtn]]-AVERAGE($B$2:$B$2600)</f>
        <v>0.11698245137876234</v>
      </c>
      <c r="D2248" s="1">
        <f>w+a*C2247^2+b*D2247</f>
        <v>16.415337387003269</v>
      </c>
      <c r="E2248" s="1">
        <f t="shared" si="35"/>
        <v>-2.3184634179168717</v>
      </c>
      <c r="F2248" s="7">
        <f>SQRT(IRS_returns_2015_25[[#This Row],[  σ2]])</f>
        <v>4.0515845526168244</v>
      </c>
    </row>
    <row r="2249" spans="1:6" x14ac:dyDescent="0.3">
      <c r="A2249" s="2">
        <v>45366</v>
      </c>
      <c r="B2249" s="1">
        <v>-2.8626606035333513</v>
      </c>
      <c r="C2249" s="1">
        <f>IRS_returns_2015_25[[#This Row],[IRSrtn]]-AVERAGE($B$2:$B$2600)</f>
        <v>-2.8684370975999669</v>
      </c>
      <c r="D2249" s="1">
        <f>w+a*C2248^2+b*D2248</f>
        <v>12.276563229433851</v>
      </c>
      <c r="E2249" s="1">
        <f t="shared" si="35"/>
        <v>-2.5078918196852418</v>
      </c>
      <c r="F2249" s="7">
        <f>SQRT(IRS_returns_2015_25[[#This Row],[  σ2]])</f>
        <v>3.5037926921314639</v>
      </c>
    </row>
    <row r="2250" spans="1:6" x14ac:dyDescent="0.3">
      <c r="A2250" s="2">
        <v>45369</v>
      </c>
      <c r="B2250" s="1">
        <v>5.8840484435034313</v>
      </c>
      <c r="C2250" s="1">
        <f>IRS_returns_2015_25[[#This Row],[IRSrtn]]-AVERAGE($B$2:$B$2600)</f>
        <v>5.8782719494368152</v>
      </c>
      <c r="D2250" s="1">
        <f>w+a*C2249^2+b*D2249</f>
        <v>11.52271135756812</v>
      </c>
      <c r="E2250" s="1">
        <f t="shared" si="35"/>
        <v>-3.6404887334129823</v>
      </c>
      <c r="F2250" s="7">
        <f>SQRT(IRS_returns_2015_25[[#This Row],[  σ2]])</f>
        <v>3.3945119468884064</v>
      </c>
    </row>
    <row r="2251" spans="1:6" x14ac:dyDescent="0.3">
      <c r="A2251" s="2">
        <v>45370</v>
      </c>
      <c r="B2251" s="1">
        <v>-0.83682718243276444</v>
      </c>
      <c r="C2251" s="1">
        <f>IRS_returns_2015_25[[#This Row],[IRSrtn]]-AVERAGE($B$2:$B$2600)</f>
        <v>-0.84260367649938028</v>
      </c>
      <c r="D2251" s="1">
        <f>w+a*C2250^2+b*D2250</f>
        <v>17.435219860586372</v>
      </c>
      <c r="E2251" s="1">
        <f t="shared" si="35"/>
        <v>-2.368545217601437</v>
      </c>
      <c r="F2251" s="7">
        <f>SQRT(IRS_returns_2015_25[[#This Row],[  σ2]])</f>
        <v>4.1755502464449368</v>
      </c>
    </row>
    <row r="2252" spans="1:6" x14ac:dyDescent="0.3">
      <c r="A2252" s="2">
        <v>45371</v>
      </c>
      <c r="B2252" s="1">
        <v>4.6901902903158765</v>
      </c>
      <c r="C2252" s="1">
        <f>IRS_returns_2015_25[[#This Row],[IRSrtn]]-AVERAGE($B$2:$B$2600)</f>
        <v>4.6844137962492605</v>
      </c>
      <c r="D2252" s="1">
        <f>w+a*C2251^2+b*D2251</f>
        <v>13.125168412143692</v>
      </c>
      <c r="E2252" s="1">
        <f t="shared" si="35"/>
        <v>-3.0421453454558813</v>
      </c>
      <c r="F2252" s="7">
        <f>SQRT(IRS_returns_2015_25[[#This Row],[  σ2]])</f>
        <v>3.6228674295568273</v>
      </c>
    </row>
    <row r="2253" spans="1:6" x14ac:dyDescent="0.3">
      <c r="A2253" s="2">
        <v>45372</v>
      </c>
      <c r="B2253" s="1">
        <v>5.0261948814861235</v>
      </c>
      <c r="C2253" s="1">
        <f>IRS_returns_2015_25[[#This Row],[IRSrtn]]-AVERAGE($B$2:$B$2600)</f>
        <v>5.0204183874195074</v>
      </c>
      <c r="D2253" s="1">
        <f>w+a*C2252^2+b*D2252</f>
        <v>15.42949380902532</v>
      </c>
      <c r="E2253" s="1">
        <f t="shared" si="35"/>
        <v>-3.1038458999490954</v>
      </c>
      <c r="F2253" s="7">
        <f>SQRT(IRS_returns_2015_25[[#This Row],[  σ2]])</f>
        <v>3.9280394357777673</v>
      </c>
    </row>
    <row r="2254" spans="1:6" x14ac:dyDescent="0.3">
      <c r="A2254" s="2">
        <v>45373</v>
      </c>
      <c r="B2254" s="1">
        <v>-1.8692283989290015</v>
      </c>
      <c r="C2254" s="1">
        <f>IRS_returns_2015_25[[#This Row],[IRSrtn]]-AVERAGE($B$2:$B$2600)</f>
        <v>-1.8750048929956173</v>
      </c>
      <c r="D2254" s="1">
        <f>w+a*C2253^2+b*D2253</f>
        <v>17.758031514273153</v>
      </c>
      <c r="E2254" s="1">
        <f t="shared" si="35"/>
        <v>-2.456344897047686</v>
      </c>
      <c r="F2254" s="7">
        <f>SQRT(IRS_returns_2015_25[[#This Row],[  σ2]])</f>
        <v>4.2140279441732647</v>
      </c>
    </row>
    <row r="2255" spans="1:6" x14ac:dyDescent="0.3">
      <c r="A2255" s="2">
        <v>45376</v>
      </c>
      <c r="B2255" s="1">
        <v>2.7369066763839101</v>
      </c>
      <c r="C2255" s="1">
        <f>IRS_returns_2015_25[[#This Row],[IRSrtn]]-AVERAGE($B$2:$B$2600)</f>
        <v>2.7311301823172944</v>
      </c>
      <c r="D2255" s="1">
        <f>w+a*C2254^2+b*D2254</f>
        <v>14.023668518532407</v>
      </c>
      <c r="E2255" s="1">
        <f t="shared" si="35"/>
        <v>-2.5052576094243402</v>
      </c>
      <c r="F2255" s="7">
        <f>SQRT(IRS_returns_2015_25[[#This Row],[  σ2]])</f>
        <v>3.7448188899508086</v>
      </c>
    </row>
    <row r="2256" spans="1:6" x14ac:dyDescent="0.3">
      <c r="A2256" s="2">
        <v>45377</v>
      </c>
      <c r="B2256" s="1">
        <v>-1.1950276720362751</v>
      </c>
      <c r="C2256" s="1">
        <f>IRS_returns_2015_25[[#This Row],[IRSrtn]]-AVERAGE($B$2:$B$2600)</f>
        <v>-1.200804166102891</v>
      </c>
      <c r="D2256" s="1">
        <f>w+a*C2255^2+b*D2255</f>
        <v>12.498456155342694</v>
      </c>
      <c r="E2256" s="1">
        <f t="shared" si="35"/>
        <v>-2.2394254480259441</v>
      </c>
      <c r="F2256" s="7">
        <f>SQRT(IRS_returns_2015_25[[#This Row],[  σ2]])</f>
        <v>3.5353155665856328</v>
      </c>
    </row>
    <row r="2257" spans="1:6" x14ac:dyDescent="0.3">
      <c r="A2257" s="2">
        <v>45378</v>
      </c>
      <c r="B2257" s="1">
        <v>2.5891582157632875</v>
      </c>
      <c r="C2257" s="1">
        <f>IRS_returns_2015_25[[#This Row],[IRSrtn]]-AVERAGE($B$2:$B$2600)</f>
        <v>2.5833817216966719</v>
      </c>
      <c r="D2257" s="1">
        <f>w+a*C2256^2+b*D2256</f>
        <v>10.01702167646379</v>
      </c>
      <c r="E2257" s="1">
        <f t="shared" si="35"/>
        <v>-2.4042074596691112</v>
      </c>
      <c r="F2257" s="7">
        <f>SQRT(IRS_returns_2015_25[[#This Row],[  σ2]])</f>
        <v>3.164967879215173</v>
      </c>
    </row>
    <row r="2258" spans="1:6" x14ac:dyDescent="0.3">
      <c r="A2258" s="2">
        <v>45379</v>
      </c>
      <c r="B2258" s="1">
        <v>-0.32001675500086257</v>
      </c>
      <c r="C2258" s="1">
        <f>IRS_returns_2015_25[[#This Row],[IRSrtn]]-AVERAGE($B$2:$B$2600)</f>
        <v>-0.32579324906747836</v>
      </c>
      <c r="D2258" s="1">
        <f>w+a*C2257^2+b*D2257</f>
        <v>9.6398479211315884</v>
      </c>
      <c r="E2258" s="1">
        <f t="shared" si="35"/>
        <v>-2.0573965374931333</v>
      </c>
      <c r="F2258" s="7">
        <f>SQRT(IRS_returns_2015_25[[#This Row],[  σ2]])</f>
        <v>3.1048104485027084</v>
      </c>
    </row>
    <row r="2259" spans="1:6" x14ac:dyDescent="0.3">
      <c r="A2259" s="2">
        <v>45383</v>
      </c>
      <c r="B2259" s="1">
        <v>-2.0507934370767256</v>
      </c>
      <c r="C2259" s="1">
        <f>IRS_returns_2015_25[[#This Row],[IRSrtn]]-AVERAGE($B$2:$B$2600)</f>
        <v>-2.0565699311433412</v>
      </c>
      <c r="D2259" s="1">
        <f>w+a*C2258^2+b*D2258</f>
        <v>7.7885336186748901</v>
      </c>
      <c r="E2259" s="1">
        <f t="shared" si="35"/>
        <v>-2.2167844872166569</v>
      </c>
      <c r="F2259" s="7">
        <f>SQRT(IRS_returns_2015_25[[#This Row],[  σ2]])</f>
        <v>2.7907944422108359</v>
      </c>
    </row>
    <row r="2260" spans="1:6" x14ac:dyDescent="0.3">
      <c r="A2260" s="2">
        <v>45384</v>
      </c>
      <c r="B2260" s="1">
        <v>-2.7641310160002597</v>
      </c>
      <c r="C2260" s="1">
        <f>IRS_returns_2015_25[[#This Row],[IRSrtn]]-AVERAGE($B$2:$B$2600)</f>
        <v>-2.7699075100668753</v>
      </c>
      <c r="D2260" s="1">
        <f>w+a*C2259^2+b*D2259</f>
        <v>7.5607332521661448</v>
      </c>
      <c r="E2260" s="1">
        <f t="shared" si="35"/>
        <v>-2.4378064530587737</v>
      </c>
      <c r="F2260" s="7">
        <f>SQRT(IRS_returns_2015_25[[#This Row],[  σ2]])</f>
        <v>2.7496787543577059</v>
      </c>
    </row>
    <row r="2261" spans="1:6" x14ac:dyDescent="0.3">
      <c r="A2261" s="2">
        <v>45385</v>
      </c>
      <c r="B2261" s="1">
        <v>3.4163056197490604</v>
      </c>
      <c r="C2261" s="1">
        <f>IRS_returns_2015_25[[#This Row],[IRSrtn]]-AVERAGE($B$2:$B$2600)</f>
        <v>3.4105291256824448</v>
      </c>
      <c r="D2261" s="1">
        <f>w+a*C2260^2+b*D2260</f>
        <v>8.2479464137693679</v>
      </c>
      <c r="E2261" s="1">
        <f t="shared" si="35"/>
        <v>-2.6790482337310939</v>
      </c>
      <c r="F2261" s="7">
        <f>SQRT(IRS_returns_2015_25[[#This Row],[  σ2]])</f>
        <v>2.8719238175427577</v>
      </c>
    </row>
    <row r="2262" spans="1:6" x14ac:dyDescent="0.3">
      <c r="A2262" s="2">
        <v>45386</v>
      </c>
      <c r="B2262" s="1">
        <v>-0.97986977497224181</v>
      </c>
      <c r="C2262" s="1">
        <f>IRS_returns_2015_25[[#This Row],[IRSrtn]]-AVERAGE($B$2:$B$2600)</f>
        <v>-0.98564626903885766</v>
      </c>
      <c r="D2262" s="1">
        <f>w+a*C2261^2+b*D2261</f>
        <v>9.6701234209032041</v>
      </c>
      <c r="E2262" s="1">
        <f t="shared" si="35"/>
        <v>-2.1036910327375464</v>
      </c>
      <c r="F2262" s="7">
        <f>SQRT(IRS_returns_2015_25[[#This Row],[  σ2]])</f>
        <v>3.1096822057733173</v>
      </c>
    </row>
    <row r="2263" spans="1:6" x14ac:dyDescent="0.3">
      <c r="A2263" s="2">
        <v>45387</v>
      </c>
      <c r="B2263" s="1">
        <v>5.9465544638055867</v>
      </c>
      <c r="C2263" s="1">
        <f>IRS_returns_2015_25[[#This Row],[IRSrtn]]-AVERAGE($B$2:$B$2600)</f>
        <v>5.9407779697389707</v>
      </c>
      <c r="D2263" s="1">
        <f>w+a*C2262^2+b*D2262</f>
        <v>8.0195326373736346</v>
      </c>
      <c r="E2263" s="1">
        <f t="shared" si="35"/>
        <v>-4.1603087607974931</v>
      </c>
      <c r="F2263" s="7">
        <f>SQRT(IRS_returns_2015_25[[#This Row],[  σ2]])</f>
        <v>2.8318779347587766</v>
      </c>
    </row>
    <row r="2264" spans="1:6" x14ac:dyDescent="0.3">
      <c r="A2264" s="2">
        <v>45390</v>
      </c>
      <c r="B2264" s="1">
        <v>5.5151879831960127</v>
      </c>
      <c r="C2264" s="1">
        <f>IRS_returns_2015_25[[#This Row],[IRSrtn]]-AVERAGE($B$2:$B$2600)</f>
        <v>5.5094114891293966</v>
      </c>
      <c r="D2264" s="1">
        <f>w+a*C2263^2+b*D2263</f>
        <v>15.283094372240914</v>
      </c>
      <c r="E2264" s="1">
        <f t="shared" si="35"/>
        <v>-3.2753576302735303</v>
      </c>
      <c r="F2264" s="7">
        <f>SQRT(IRS_returns_2015_25[[#This Row],[  σ2]])</f>
        <v>3.9093598417440307</v>
      </c>
    </row>
    <row r="2265" spans="1:6" x14ac:dyDescent="0.3">
      <c r="A2265" s="2">
        <v>45391</v>
      </c>
      <c r="B2265" s="1">
        <v>-9.7617139611072545E-2</v>
      </c>
      <c r="C2265" s="1">
        <f>IRS_returns_2015_25[[#This Row],[IRSrtn]]-AVERAGE($B$2:$B$2600)</f>
        <v>-0.10339363367768833</v>
      </c>
      <c r="D2265" s="1">
        <f>w+a*C2264^2+b*D2264</f>
        <v>18.915127074642061</v>
      </c>
      <c r="E2265" s="1">
        <f t="shared" si="35"/>
        <v>-2.3892021058337836</v>
      </c>
      <c r="F2265" s="7">
        <f>SQRT(IRS_returns_2015_25[[#This Row],[  σ2]])</f>
        <v>4.3491524547481735</v>
      </c>
    </row>
    <row r="2266" spans="1:6" x14ac:dyDescent="0.3">
      <c r="A2266" s="2">
        <v>45392</v>
      </c>
      <c r="B2266" s="1">
        <v>-3.2757243805265901</v>
      </c>
      <c r="C2266" s="1">
        <f>IRS_returns_2015_25[[#This Row],[IRSrtn]]-AVERAGE($B$2:$B$2600)</f>
        <v>-3.2815008745932057</v>
      </c>
      <c r="D2266" s="1">
        <f>w+a*C2265^2+b*D2265</f>
        <v>13.939985358399269</v>
      </c>
      <c r="E2266" s="1">
        <f t="shared" si="35"/>
        <v>-2.6225551970822587</v>
      </c>
      <c r="F2266" s="7">
        <f>SQRT(IRS_returns_2015_25[[#This Row],[  σ2]])</f>
        <v>3.7336289797460149</v>
      </c>
    </row>
    <row r="2267" spans="1:6" x14ac:dyDescent="0.3">
      <c r="A2267" s="2">
        <v>45393</v>
      </c>
      <c r="B2267" s="1">
        <v>-0.5058185365552248</v>
      </c>
      <c r="C2267" s="1">
        <f>IRS_returns_2015_25[[#This Row],[IRSrtn]]-AVERAGE($B$2:$B$2600)</f>
        <v>-0.51159503062184064</v>
      </c>
      <c r="D2267" s="1">
        <f>w+a*C2266^2+b*D2266</f>
        <v>13.24902682399844</v>
      </c>
      <c r="E2267" s="1">
        <f t="shared" si="35"/>
        <v>-2.2207778938863019</v>
      </c>
      <c r="F2267" s="7">
        <f>SQRT(IRS_returns_2015_25[[#This Row],[  σ2]])</f>
        <v>3.6399212661812399</v>
      </c>
    </row>
    <row r="2268" spans="1:6" x14ac:dyDescent="0.3">
      <c r="A2268" s="2">
        <v>45394</v>
      </c>
      <c r="B2268" s="1">
        <v>-4.6713153660144613</v>
      </c>
      <c r="C2268" s="1">
        <f>IRS_returns_2015_25[[#This Row],[IRSrtn]]-AVERAGE($B$2:$B$2600)</f>
        <v>-4.6770918600810774</v>
      </c>
      <c r="D2268" s="1">
        <f>w+a*C2267^2+b*D2267</f>
        <v>10.229133372974436</v>
      </c>
      <c r="E2268" s="1">
        <f t="shared" si="35"/>
        <v>-3.1508175827954386</v>
      </c>
      <c r="F2268" s="7">
        <f>SQRT(IRS_returns_2015_25[[#This Row],[  σ2]])</f>
        <v>3.198301638834967</v>
      </c>
    </row>
    <row r="2269" spans="1:6" x14ac:dyDescent="0.3">
      <c r="A2269" s="2">
        <v>45397</v>
      </c>
      <c r="B2269" s="1">
        <v>0.21232140202398497</v>
      </c>
      <c r="C2269" s="1">
        <f>IRS_returns_2015_25[[#This Row],[IRSrtn]]-AVERAGE($B$2:$B$2600)</f>
        <v>0.20654490795736918</v>
      </c>
      <c r="D2269" s="1">
        <f>w+a*C2268^2+b*D2268</f>
        <v>13.484854066820837</v>
      </c>
      <c r="E2269" s="1">
        <f t="shared" si="35"/>
        <v>-2.2213039047785976</v>
      </c>
      <c r="F2269" s="7">
        <f>SQRT(IRS_returns_2015_25[[#This Row],[  σ2]])</f>
        <v>3.6721729353096699</v>
      </c>
    </row>
    <row r="2270" spans="1:6" x14ac:dyDescent="0.3">
      <c r="A2270" s="2">
        <v>45398</v>
      </c>
      <c r="B2270" s="1">
        <v>-2.9050135686399692</v>
      </c>
      <c r="C2270" s="1">
        <f>IRS_returns_2015_25[[#This Row],[IRSrtn]]-AVERAGE($B$2:$B$2600)</f>
        <v>-2.9107900627065848</v>
      </c>
      <c r="D2270" s="1">
        <f>w+a*C2269^2+b*D2269</f>
        <v>10.332751477644019</v>
      </c>
      <c r="E2270" s="1">
        <f t="shared" si="35"/>
        <v>-2.4965902183654602</v>
      </c>
      <c r="F2270" s="7">
        <f>SQRT(IRS_returns_2015_25[[#This Row],[  σ2]])</f>
        <v>3.2144597489537832</v>
      </c>
    </row>
    <row r="2271" spans="1:6" x14ac:dyDescent="0.3">
      <c r="A2271" s="2">
        <v>45399</v>
      </c>
      <c r="B2271" s="1">
        <v>0.97775246815121619</v>
      </c>
      <c r="C2271" s="1">
        <f>IRS_returns_2015_25[[#This Row],[IRSrtn]]-AVERAGE($B$2:$B$2600)</f>
        <v>0.97197597408460035</v>
      </c>
      <c r="D2271" s="1">
        <f>w+a*C2270^2+b*D2270</f>
        <v>10.288320908781639</v>
      </c>
      <c r="E2271" s="1">
        <f t="shared" si="35"/>
        <v>-2.1303563071809313</v>
      </c>
      <c r="F2271" s="7">
        <f>SQRT(IRS_returns_2015_25[[#This Row],[  σ2]])</f>
        <v>3.2075412559749936</v>
      </c>
    </row>
    <row r="2272" spans="1:6" x14ac:dyDescent="0.3">
      <c r="A2272" s="2">
        <v>45400</v>
      </c>
      <c r="B2272" s="1">
        <v>0.75389227992554986</v>
      </c>
      <c r="C2272" s="1">
        <f>IRS_returns_2015_25[[#This Row],[IRSrtn]]-AVERAGE($B$2:$B$2600)</f>
        <v>0.74811578585893401</v>
      </c>
      <c r="D2272" s="1">
        <f>w+a*C2271^2+b*D2271</f>
        <v>8.4245566590956233</v>
      </c>
      <c r="E2272" s="1">
        <f t="shared" si="35"/>
        <v>-2.0177309733656443</v>
      </c>
      <c r="F2272" s="7">
        <f>SQRT(IRS_returns_2015_25[[#This Row],[  σ2]])</f>
        <v>2.9025086837244127</v>
      </c>
    </row>
    <row r="2273" spans="1:6" x14ac:dyDescent="0.3">
      <c r="A2273" s="2">
        <v>45401</v>
      </c>
      <c r="B2273" s="1">
        <v>2.6470608256906836</v>
      </c>
      <c r="C2273" s="1">
        <f>IRS_returns_2015_25[[#This Row],[IRSrtn]]-AVERAGE($B$2:$B$2600)</f>
        <v>2.6412843316240679</v>
      </c>
      <c r="D2273" s="1">
        <f>w+a*C2272^2+b*D2272</f>
        <v>7.0899978525573371</v>
      </c>
      <c r="E2273" s="1">
        <f t="shared" si="35"/>
        <v>-2.3902687130726283</v>
      </c>
      <c r="F2273" s="7">
        <f>SQRT(IRS_returns_2015_25[[#This Row],[  σ2]])</f>
        <v>2.6627049878943287</v>
      </c>
    </row>
    <row r="2274" spans="1:6" x14ac:dyDescent="0.3">
      <c r="A2274" s="2">
        <v>45404</v>
      </c>
      <c r="B2274" s="1">
        <v>5.3902322766463673</v>
      </c>
      <c r="C2274" s="1">
        <f>IRS_returns_2015_25[[#This Row],[IRSrtn]]-AVERAGE($B$2:$B$2600)</f>
        <v>5.3844557825797512</v>
      </c>
      <c r="D2274" s="1">
        <f>w+a*C2273^2+b*D2273</f>
        <v>7.7649886079927111</v>
      </c>
      <c r="E2274" s="1">
        <f t="shared" si="35"/>
        <v>-3.8106155874683085</v>
      </c>
      <c r="F2274" s="7">
        <f>SQRT(IRS_returns_2015_25[[#This Row],[  σ2]])</f>
        <v>2.7865729145300882</v>
      </c>
    </row>
    <row r="2275" spans="1:6" x14ac:dyDescent="0.3">
      <c r="A2275" s="2">
        <v>45405</v>
      </c>
      <c r="B2275" s="1">
        <v>-2.1011279077746359</v>
      </c>
      <c r="C2275" s="1">
        <f>IRS_returns_2015_25[[#This Row],[IRSrtn]]-AVERAGE($B$2:$B$2600)</f>
        <v>-2.1069044018412515</v>
      </c>
      <c r="D2275" s="1">
        <f>w+a*C2274^2+b*D2274</f>
        <v>13.578529952241011</v>
      </c>
      <c r="E2275" s="1">
        <f t="shared" si="35"/>
        <v>-2.3866417405920082</v>
      </c>
      <c r="F2275" s="7">
        <f>SQRT(IRS_returns_2015_25[[#This Row],[  σ2]])</f>
        <v>3.6849056910918372</v>
      </c>
    </row>
    <row r="2276" spans="1:6" x14ac:dyDescent="0.3">
      <c r="A2276" s="2">
        <v>45406</v>
      </c>
      <c r="B2276" s="1">
        <v>-4.7627963739992119</v>
      </c>
      <c r="C2276" s="1">
        <f>IRS_returns_2015_25[[#This Row],[IRSrtn]]-AVERAGE($B$2:$B$2600)</f>
        <v>-4.7685728680658279</v>
      </c>
      <c r="D2276" s="1">
        <f>w+a*C2275^2+b*D2275</f>
        <v>11.466291356384776</v>
      </c>
      <c r="E2276" s="1">
        <f t="shared" si="35"/>
        <v>-3.1302154461468388</v>
      </c>
      <c r="F2276" s="7">
        <f>SQRT(IRS_returns_2015_25[[#This Row],[  σ2]])</f>
        <v>3.3861912758119224</v>
      </c>
    </row>
    <row r="2277" spans="1:6" x14ac:dyDescent="0.3">
      <c r="A2277" s="2">
        <v>45407</v>
      </c>
      <c r="B2277" s="1">
        <v>0.42327234579411233</v>
      </c>
      <c r="C2277" s="1">
        <f>IRS_returns_2015_25[[#This Row],[IRSrtn]]-AVERAGE($B$2:$B$2600)</f>
        <v>0.41749585172749654</v>
      </c>
      <c r="D2277" s="1">
        <f>w+a*C2276^2+b*D2276</f>
        <v>14.518988317972299</v>
      </c>
      <c r="E2277" s="1">
        <f t="shared" si="35"/>
        <v>-2.2626697794436663</v>
      </c>
      <c r="F2277" s="7">
        <f>SQRT(IRS_returns_2015_25[[#This Row],[  σ2]])</f>
        <v>3.8103790255002585</v>
      </c>
    </row>
    <row r="2278" spans="1:6" x14ac:dyDescent="0.3">
      <c r="A2278" s="2">
        <v>45408</v>
      </c>
      <c r="B2278" s="1">
        <v>-0.21142365484196901</v>
      </c>
      <c r="C2278" s="1">
        <f>IRS_returns_2015_25[[#This Row],[IRSrtn]]-AVERAGE($B$2:$B$2600)</f>
        <v>-0.2172001489085848</v>
      </c>
      <c r="D2278" s="1">
        <f>w+a*C2277^2+b*D2277</f>
        <v>11.053266472196245</v>
      </c>
      <c r="E2278" s="1">
        <f t="shared" si="35"/>
        <v>-2.1224355550014518</v>
      </c>
      <c r="F2278" s="7">
        <f>SQRT(IRS_returns_2015_25[[#This Row],[  σ2]])</f>
        <v>3.3246453152473641</v>
      </c>
    </row>
    <row r="2279" spans="1:6" x14ac:dyDescent="0.3">
      <c r="A2279" s="2">
        <v>45411</v>
      </c>
      <c r="B2279" s="1">
        <v>0.84299177453606156</v>
      </c>
      <c r="C2279" s="1">
        <f>IRS_returns_2015_25[[#This Row],[IRSrtn]]-AVERAGE($B$2:$B$2600)</f>
        <v>0.83721528046944571</v>
      </c>
      <c r="D2279" s="1">
        <f>w+a*C2278^2+b*D2278</f>
        <v>8.7151030804487348</v>
      </c>
      <c r="E2279" s="1">
        <f t="shared" si="35"/>
        <v>-2.0416807768926968</v>
      </c>
      <c r="F2279" s="7">
        <f>SQRT(IRS_returns_2015_25[[#This Row],[  σ2]])</f>
        <v>2.952135342501887</v>
      </c>
    </row>
    <row r="2280" spans="1:6" x14ac:dyDescent="0.3">
      <c r="A2280" s="2">
        <v>45412</v>
      </c>
      <c r="B2280" s="1">
        <v>-0.31528546281345271</v>
      </c>
      <c r="C2280" s="1">
        <f>IRS_returns_2015_25[[#This Row],[IRSrtn]]-AVERAGE($B$2:$B$2600)</f>
        <v>-0.3210619568800685</v>
      </c>
      <c r="D2280" s="1">
        <f>w+a*C2279^2+b*D2279</f>
        <v>7.3178355263342691</v>
      </c>
      <c r="E2280" s="1">
        <f t="shared" si="35"/>
        <v>-1.9211389482643835</v>
      </c>
      <c r="F2280" s="7">
        <f>SQRT(IRS_returns_2015_25[[#This Row],[  σ2]])</f>
        <v>2.7051498158760579</v>
      </c>
    </row>
    <row r="2281" spans="1:6" x14ac:dyDescent="0.3">
      <c r="A2281" s="2">
        <v>45413</v>
      </c>
      <c r="B2281" s="1">
        <v>-0.42193289983853965</v>
      </c>
      <c r="C2281" s="1">
        <f>IRS_returns_2015_25[[#This Row],[IRSrtn]]-AVERAGE($B$2:$B$2600)</f>
        <v>-0.42770939390515544</v>
      </c>
      <c r="D2281" s="1">
        <f>w+a*C2280^2+b*D2280</f>
        <v>6.2419854783042386</v>
      </c>
      <c r="E2281" s="1">
        <f t="shared" si="35"/>
        <v>-1.8492413086304718</v>
      </c>
      <c r="F2281" s="7">
        <f>SQRT(IRS_returns_2015_25[[#This Row],[  σ2]])</f>
        <v>2.4983965814706517</v>
      </c>
    </row>
    <row r="2282" spans="1:6" x14ac:dyDescent="0.3">
      <c r="A2282" s="2">
        <v>45414</v>
      </c>
      <c r="B2282" s="1">
        <v>0.31661645814118344</v>
      </c>
      <c r="C2282" s="1">
        <f>IRS_returns_2015_25[[#This Row],[IRSrtn]]-AVERAGE($B$2:$B$2600)</f>
        <v>0.31083996407456765</v>
      </c>
      <c r="D2282" s="1">
        <f>w+a*C2281^2+b*D2281</f>
        <v>5.5452306618408418</v>
      </c>
      <c r="E2282" s="1">
        <f t="shared" si="35"/>
        <v>-1.7841197670683993</v>
      </c>
      <c r="F2282" s="7">
        <f>SQRT(IRS_returns_2015_25[[#This Row],[  σ2]])</f>
        <v>2.3548313446701106</v>
      </c>
    </row>
    <row r="2283" spans="1:6" x14ac:dyDescent="0.3">
      <c r="A2283" s="2">
        <v>45415</v>
      </c>
      <c r="B2283" s="1">
        <v>3.6217138120678616</v>
      </c>
      <c r="C2283" s="1">
        <f>IRS_returns_2015_25[[#This Row],[IRSrtn]]-AVERAGE($B$2:$B$2600)</f>
        <v>3.615937318001246</v>
      </c>
      <c r="D2283" s="1">
        <f>w+a*C2282^2+b*D2282</f>
        <v>5.0603589876995905</v>
      </c>
      <c r="E2283" s="1">
        <f t="shared" si="35"/>
        <v>-3.0215619039964348</v>
      </c>
      <c r="F2283" s="7">
        <f>SQRT(IRS_returns_2015_25[[#This Row],[  σ2]])</f>
        <v>2.249524169174359</v>
      </c>
    </row>
    <row r="2284" spans="1:6" x14ac:dyDescent="0.3">
      <c r="A2284" s="2">
        <v>45418</v>
      </c>
      <c r="B2284" s="1">
        <v>7.2509606830503337</v>
      </c>
      <c r="C2284" s="1">
        <f>IRS_returns_2015_25[[#This Row],[IRSrtn]]-AVERAGE($B$2:$B$2600)</f>
        <v>7.2451841889837176</v>
      </c>
      <c r="D2284" s="1">
        <f>w+a*C2283^2+b*D2283</f>
        <v>7.8997513896328702</v>
      </c>
      <c r="E2284" s="1">
        <f t="shared" si="35"/>
        <v>-5.2747811343077053</v>
      </c>
      <c r="F2284" s="7">
        <f>SQRT(IRS_returns_2015_25[[#This Row],[  σ2]])</f>
        <v>2.8106496383634996</v>
      </c>
    </row>
    <row r="2285" spans="1:6" x14ac:dyDescent="0.3">
      <c r="A2285" s="2">
        <v>45419</v>
      </c>
      <c r="B2285" s="1">
        <v>1.0343391635389221</v>
      </c>
      <c r="C2285" s="1">
        <f>IRS_returns_2015_25[[#This Row],[IRSrtn]]-AVERAGE($B$2:$B$2600)</f>
        <v>1.0285626694723062</v>
      </c>
      <c r="D2285" s="1">
        <f>w+a*C2284^2+b*D2284</f>
        <v>19.394093723724041</v>
      </c>
      <c r="E2285" s="1">
        <f t="shared" si="35"/>
        <v>-2.4286976480652207</v>
      </c>
      <c r="F2285" s="7">
        <f>SQRT(IRS_returns_2015_25[[#This Row],[  σ2]])</f>
        <v>4.4038725825941016</v>
      </c>
    </row>
    <row r="2286" spans="1:6" x14ac:dyDescent="0.3">
      <c r="A2286" s="2">
        <v>45420</v>
      </c>
      <c r="B2286" s="1">
        <v>4.3922876916720366</v>
      </c>
      <c r="C2286" s="1">
        <f>IRS_returns_2015_25[[#This Row],[IRSrtn]]-AVERAGE($B$2:$B$2600)</f>
        <v>4.3865111976054205</v>
      </c>
      <c r="D2286" s="1">
        <f>w+a*C2285^2+b*D2285</f>
        <v>14.514003906676693</v>
      </c>
      <c r="E2286" s="1">
        <f t="shared" si="35"/>
        <v>-2.9193546648177473</v>
      </c>
      <c r="F2286" s="7">
        <f>SQRT(IRS_returns_2015_25[[#This Row],[  σ2]])</f>
        <v>3.8097249122051706</v>
      </c>
    </row>
    <row r="2287" spans="1:6" x14ac:dyDescent="0.3">
      <c r="A2287" s="2">
        <v>45421</v>
      </c>
      <c r="B2287" s="1">
        <v>-0.62864727878073623</v>
      </c>
      <c r="C2287" s="1">
        <f>IRS_returns_2015_25[[#This Row],[IRSrtn]]-AVERAGE($B$2:$B$2600)</f>
        <v>-0.63442377284735207</v>
      </c>
      <c r="D2287" s="1">
        <f>w+a*C2286^2+b*D2286</f>
        <v>15.695661703753638</v>
      </c>
      <c r="E2287" s="1">
        <f t="shared" si="35"/>
        <v>-2.308452516050965</v>
      </c>
      <c r="F2287" s="7">
        <f>SQRT(IRS_returns_2015_25[[#This Row],[  σ2]])</f>
        <v>3.9617750698081835</v>
      </c>
    </row>
    <row r="2288" spans="1:6" x14ac:dyDescent="0.3">
      <c r="A2288" s="2">
        <v>45422</v>
      </c>
      <c r="B2288" s="1">
        <v>9.0047685051519721E-2</v>
      </c>
      <c r="C2288" s="1">
        <f>IRS_returns_2015_25[[#This Row],[IRSrtn]]-AVERAGE($B$2:$B$2600)</f>
        <v>8.4271190984903932E-2</v>
      </c>
      <c r="D2288" s="1">
        <f>w+a*C2287^2+b*D2287</f>
        <v>11.892196231618433</v>
      </c>
      <c r="E2288" s="1">
        <f t="shared" si="35"/>
        <v>-2.1571783200496872</v>
      </c>
      <c r="F2288" s="7">
        <f>SQRT(IRS_returns_2015_25[[#This Row],[  σ2]])</f>
        <v>3.4485063769142767</v>
      </c>
    </row>
    <row r="2289" spans="1:6" x14ac:dyDescent="0.3">
      <c r="A2289" s="2">
        <v>45425</v>
      </c>
      <c r="B2289" s="1">
        <v>-3.9472753276963424</v>
      </c>
      <c r="C2289" s="1">
        <f>IRS_returns_2015_25[[#This Row],[IRSrtn]]-AVERAGE($B$2:$B$2600)</f>
        <v>-3.953051821762958</v>
      </c>
      <c r="D2289" s="1">
        <f>w+a*C2288^2+b*D2288</f>
        <v>9.2638285557246043</v>
      </c>
      <c r="E2289" s="1">
        <f t="shared" si="35"/>
        <v>-2.8754184355000083</v>
      </c>
      <c r="F2289" s="7">
        <f>SQRT(IRS_returns_2015_25[[#This Row],[  σ2]])</f>
        <v>3.0436538166691371</v>
      </c>
    </row>
    <row r="2290" spans="1:6" x14ac:dyDescent="0.3">
      <c r="A2290" s="2">
        <v>45426</v>
      </c>
      <c r="B2290" s="1">
        <v>2.3138493179493125</v>
      </c>
      <c r="C2290" s="1">
        <f>IRS_returns_2015_25[[#This Row],[IRSrtn]]-AVERAGE($B$2:$B$2600)</f>
        <v>2.3080728238826969</v>
      </c>
      <c r="D2290" s="1">
        <f>w+a*C2289^2+b*D2289</f>
        <v>11.319771987697759</v>
      </c>
      <c r="E2290" s="1">
        <f t="shared" si="35"/>
        <v>-2.3675190983316963</v>
      </c>
      <c r="F2290" s="7">
        <f>SQRT(IRS_returns_2015_25[[#This Row],[  σ2]])</f>
        <v>3.3644868832702794</v>
      </c>
    </row>
    <row r="2291" spans="1:6" x14ac:dyDescent="0.3">
      <c r="A2291" s="2">
        <v>45427</v>
      </c>
      <c r="B2291" s="1">
        <v>4.4730126936898706</v>
      </c>
      <c r="C2291" s="1">
        <f>IRS_returns_2015_25[[#This Row],[IRSrtn]]-AVERAGE($B$2:$B$2600)</f>
        <v>4.4672361996232546</v>
      </c>
      <c r="D2291" s="1">
        <f>w+a*C2290^2+b*D2290</f>
        <v>10.178996945202087</v>
      </c>
      <c r="E2291" s="1">
        <f t="shared" si="35"/>
        <v>-3.0593653155394946</v>
      </c>
      <c r="F2291" s="7">
        <f>SQRT(IRS_returns_2015_25[[#This Row],[  σ2]])</f>
        <v>3.1904540343346253</v>
      </c>
    </row>
    <row r="2292" spans="1:6" x14ac:dyDescent="0.3">
      <c r="A2292" s="2">
        <v>45428</v>
      </c>
      <c r="B2292" s="1">
        <v>-1.6762574987561951</v>
      </c>
      <c r="C2292" s="1">
        <f>IRS_returns_2015_25[[#This Row],[IRSrtn]]-AVERAGE($B$2:$B$2600)</f>
        <v>-1.682033992822811</v>
      </c>
      <c r="D2292" s="1">
        <f>w+a*C2291^2+b*D2291</f>
        <v>12.983916181745714</v>
      </c>
      <c r="E2292" s="1">
        <f t="shared" si="35"/>
        <v>-2.3097458770986306</v>
      </c>
      <c r="F2292" s="7">
        <f>SQRT(IRS_returns_2015_25[[#This Row],[  σ2]])</f>
        <v>3.603320160871875</v>
      </c>
    </row>
    <row r="2293" spans="1:6" x14ac:dyDescent="0.3">
      <c r="A2293" s="2">
        <v>45429</v>
      </c>
      <c r="B2293" s="1">
        <v>-0.44584233158970754</v>
      </c>
      <c r="C2293" s="1">
        <f>IRS_returns_2015_25[[#This Row],[IRSrtn]]-AVERAGE($B$2:$B$2600)</f>
        <v>-0.45161882565632333</v>
      </c>
      <c r="D2293" s="1">
        <f>w+a*C2292^2+b*D2292</f>
        <v>10.678217731853614</v>
      </c>
      <c r="E2293" s="1">
        <f t="shared" si="35"/>
        <v>-2.1125917659383835</v>
      </c>
      <c r="F2293" s="7">
        <f>SQRT(IRS_returns_2015_25[[#This Row],[  σ2]])</f>
        <v>3.2677542336983687</v>
      </c>
    </row>
    <row r="2294" spans="1:6" x14ac:dyDescent="0.3">
      <c r="A2294" s="2">
        <v>45432</v>
      </c>
      <c r="B2294" s="1">
        <v>-8.940362912452926E-2</v>
      </c>
      <c r="C2294" s="1">
        <f>IRS_returns_2015_25[[#This Row],[IRSrtn]]-AVERAGE($B$2:$B$2600)</f>
        <v>-9.518012319114505E-2</v>
      </c>
      <c r="D2294" s="1">
        <f>w+a*C2293^2+b*D2293</f>
        <v>8.5036271679514552</v>
      </c>
      <c r="E2294" s="1">
        <f t="shared" si="35"/>
        <v>-1.9897176023617269</v>
      </c>
      <c r="F2294" s="7">
        <f>SQRT(IRS_returns_2015_25[[#This Row],[  σ2]])</f>
        <v>2.9160979352469378</v>
      </c>
    </row>
    <row r="2295" spans="1:6" x14ac:dyDescent="0.3">
      <c r="A2295" s="2">
        <v>45433</v>
      </c>
      <c r="B2295" s="1">
        <v>-0.89847965235461125</v>
      </c>
      <c r="C2295" s="1">
        <f>IRS_returns_2015_25[[#This Row],[IRSrtn]]-AVERAGE($B$2:$B$2600)</f>
        <v>-0.90425614642122709</v>
      </c>
      <c r="D2295" s="1">
        <f>w+a*C2294^2+b*D2294</f>
        <v>7.0084784699931495</v>
      </c>
      <c r="E2295" s="1">
        <f t="shared" si="35"/>
        <v>-1.9508338459311751</v>
      </c>
      <c r="F2295" s="7">
        <f>SQRT(IRS_returns_2015_25[[#This Row],[  σ2]])</f>
        <v>2.6473531064051787</v>
      </c>
    </row>
    <row r="2296" spans="1:6" x14ac:dyDescent="0.3">
      <c r="A2296" s="2">
        <v>45434</v>
      </c>
      <c r="B2296" s="1">
        <v>-4.0521061426174398</v>
      </c>
      <c r="C2296" s="1">
        <f>IRS_returns_2015_25[[#This Row],[IRSrtn]]-AVERAGE($B$2:$B$2600)</f>
        <v>-4.0578826366840559</v>
      </c>
      <c r="D2296" s="1">
        <f>w+a*C2295^2+b*D2295</f>
        <v>6.2101530499810957</v>
      </c>
      <c r="E2296" s="1">
        <f t="shared" si="35"/>
        <v>-3.1577966562556936</v>
      </c>
      <c r="F2296" s="7">
        <f>SQRT(IRS_returns_2015_25[[#This Row],[  σ2]])</f>
        <v>2.4920178671071151</v>
      </c>
    </row>
    <row r="2297" spans="1:6" x14ac:dyDescent="0.3">
      <c r="A2297" s="2">
        <v>45435</v>
      </c>
      <c r="B2297" s="1">
        <v>-5.6053312177441139</v>
      </c>
      <c r="C2297" s="1">
        <f>IRS_returns_2015_25[[#This Row],[IRSrtn]]-AVERAGE($B$2:$B$2600)</f>
        <v>-5.61110771181073</v>
      </c>
      <c r="D2297" s="1">
        <f>w+a*C2296^2+b*D2296</f>
        <v>9.4915044849462227</v>
      </c>
      <c r="E2297" s="1">
        <f t="shared" si="35"/>
        <v>-3.702700808481957</v>
      </c>
      <c r="F2297" s="7">
        <f>SQRT(IRS_returns_2015_25[[#This Row],[  σ2]])</f>
        <v>3.080828538712634</v>
      </c>
    </row>
    <row r="2298" spans="1:6" x14ac:dyDescent="0.3">
      <c r="A2298" s="2">
        <v>45436</v>
      </c>
      <c r="B2298" s="1">
        <v>2.2605239288024492</v>
      </c>
      <c r="C2298" s="1">
        <f>IRS_returns_2015_25[[#This Row],[IRSrtn]]-AVERAGE($B$2:$B$2600)</f>
        <v>2.2547474347358336</v>
      </c>
      <c r="D2298" s="1">
        <f>w+a*C2297^2+b*D2297</f>
        <v>15.335116018720653</v>
      </c>
      <c r="E2298" s="1">
        <f t="shared" si="35"/>
        <v>-2.4497708343448585</v>
      </c>
      <c r="F2298" s="7">
        <f>SQRT(IRS_returns_2015_25[[#This Row],[  σ2]])</f>
        <v>3.9160076632612268</v>
      </c>
    </row>
    <row r="2299" spans="1:6" x14ac:dyDescent="0.3">
      <c r="A2299" s="2">
        <v>45440</v>
      </c>
      <c r="B2299" s="1">
        <v>5.575377292183159</v>
      </c>
      <c r="C2299" s="1">
        <f>IRS_returns_2015_25[[#This Row],[IRSrtn]]-AVERAGE($B$2:$B$2600)</f>
        <v>5.569600798116543</v>
      </c>
      <c r="D2299" s="1">
        <f>w+a*C2298^2+b*D2298</f>
        <v>12.792795136141406</v>
      </c>
      <c r="E2299" s="1">
        <f t="shared" si="35"/>
        <v>-3.4057984930487049</v>
      </c>
      <c r="F2299" s="7">
        <f>SQRT(IRS_returns_2015_25[[#This Row],[  σ2]])</f>
        <v>3.5767017119325741</v>
      </c>
    </row>
    <row r="2300" spans="1:6" x14ac:dyDescent="0.3">
      <c r="A2300" s="2">
        <v>45441</v>
      </c>
      <c r="B2300" s="1">
        <v>1.5504163623605294</v>
      </c>
      <c r="C2300" s="1">
        <f>IRS_returns_2015_25[[#This Row],[IRSrtn]]-AVERAGE($B$2:$B$2600)</f>
        <v>1.5446398682939135</v>
      </c>
      <c r="D2300" s="1">
        <f>w+a*C2299^2+b*D2299</f>
        <v>17.419768199350688</v>
      </c>
      <c r="E2300" s="1">
        <f t="shared" si="35"/>
        <v>-2.4162242608597522</v>
      </c>
      <c r="F2300" s="7">
        <f>SQRT(IRS_returns_2015_25[[#This Row],[  σ2]])</f>
        <v>4.1736995818279361</v>
      </c>
    </row>
    <row r="2301" spans="1:6" x14ac:dyDescent="0.3">
      <c r="A2301" s="2">
        <v>45442</v>
      </c>
      <c r="B2301" s="1">
        <v>3.904662986403773</v>
      </c>
      <c r="C2301" s="1">
        <f>IRS_returns_2015_25[[#This Row],[IRSrtn]]-AVERAGE($B$2:$B$2600)</f>
        <v>3.8988864923371573</v>
      </c>
      <c r="D2301" s="1">
        <f>w+a*C2300^2+b*D2300</f>
        <v>13.523222273040313</v>
      </c>
      <c r="E2301" s="1">
        <f t="shared" si="35"/>
        <v>-2.7831876086402541</v>
      </c>
      <c r="F2301" s="7">
        <f>SQRT(IRS_returns_2015_25[[#This Row],[  σ2]])</f>
        <v>3.6773934074341725</v>
      </c>
    </row>
    <row r="2302" spans="1:6" x14ac:dyDescent="0.3">
      <c r="A2302" s="2">
        <v>45443</v>
      </c>
      <c r="B2302" s="1">
        <v>0.43421740259890207</v>
      </c>
      <c r="C2302" s="1">
        <f>IRS_returns_2015_25[[#This Row],[IRSrtn]]-AVERAGE($B$2:$B$2600)</f>
        <v>0.42844090853228628</v>
      </c>
      <c r="D2302" s="1">
        <f>w+a*C2301^2+b*D2301</f>
        <v>14.051696638877029</v>
      </c>
      <c r="E2302" s="1">
        <f t="shared" si="35"/>
        <v>-2.246841759024651</v>
      </c>
      <c r="F2302" s="7">
        <f>SQRT(IRS_returns_2015_25[[#This Row],[  σ2]])</f>
        <v>3.7485592750918357</v>
      </c>
    </row>
    <row r="2303" spans="1:6" x14ac:dyDescent="0.3">
      <c r="A2303" s="2">
        <v>45446</v>
      </c>
      <c r="B2303" s="1">
        <v>-1.6667037539325857</v>
      </c>
      <c r="C2303" s="1">
        <f>IRS_returns_2015_25[[#This Row],[IRSrtn]]-AVERAGE($B$2:$B$2600)</f>
        <v>-1.6724802479992016</v>
      </c>
      <c r="D2303" s="1">
        <f>w+a*C2302^2+b*D2302</f>
        <v>10.744438502213747</v>
      </c>
      <c r="E2303" s="1">
        <f t="shared" si="35"/>
        <v>-2.2363018809386528</v>
      </c>
      <c r="F2303" s="7">
        <f>SQRT(IRS_returns_2015_25[[#This Row],[  σ2]])</f>
        <v>3.2778710319678148</v>
      </c>
    </row>
    <row r="2304" spans="1:6" x14ac:dyDescent="0.3">
      <c r="A2304" s="2">
        <v>45447</v>
      </c>
      <c r="B2304" s="1">
        <v>-6.9593328671383681</v>
      </c>
      <c r="C2304" s="1">
        <f>IRS_returns_2015_25[[#This Row],[IRSrtn]]-AVERAGE($B$2:$B$2600)</f>
        <v>-6.9651093612049841</v>
      </c>
      <c r="D2304" s="1">
        <f>w+a*C2303^2+b*D2303</f>
        <v>9.1795514815191481</v>
      </c>
      <c r="E2304" s="1">
        <f t="shared" si="35"/>
        <v>-4.6698633689939655</v>
      </c>
      <c r="F2304" s="7">
        <f>SQRT(IRS_returns_2015_25[[#This Row],[  σ2]])</f>
        <v>3.029777464025889</v>
      </c>
    </row>
    <row r="2305" spans="1:6" x14ac:dyDescent="0.3">
      <c r="A2305" s="2">
        <v>45448</v>
      </c>
      <c r="B2305" s="1">
        <v>-1.41131136494832</v>
      </c>
      <c r="C2305" s="1">
        <f>IRS_returns_2015_25[[#This Row],[IRSrtn]]-AVERAGE($B$2:$B$2600)</f>
        <v>-1.4170878590149358</v>
      </c>
      <c r="D2305" s="1">
        <f>w+a*C2304^2+b*D2304</f>
        <v>19.276365229319154</v>
      </c>
      <c r="E2305" s="1">
        <f t="shared" si="35"/>
        <v>-2.4504664937535297</v>
      </c>
      <c r="F2305" s="7">
        <f>SQRT(IRS_returns_2015_25[[#This Row],[  σ2]])</f>
        <v>4.3904857623410143</v>
      </c>
    </row>
    <row r="2306" spans="1:6" x14ac:dyDescent="0.3">
      <c r="A2306" s="2">
        <v>45449</v>
      </c>
      <c r="B2306" s="1">
        <v>-2.0513580050192104</v>
      </c>
      <c r="C2306" s="1">
        <f>IRS_returns_2015_25[[#This Row],[IRSrtn]]-AVERAGE($B$2:$B$2600)</f>
        <v>-2.057134499085826</v>
      </c>
      <c r="D2306" s="1">
        <f>w+a*C2305^2+b*D2305</f>
        <v>14.667145319465694</v>
      </c>
      <c r="E2306" s="1">
        <f t="shared" ref="E2306:E2369" si="36">-0.5*(LN(2*PI())+LN(D2306)+C2306^2/D2306)</f>
        <v>-2.40600480435881</v>
      </c>
      <c r="F2306" s="7">
        <f>SQRT(IRS_returns_2015_25[[#This Row],[  σ2]])</f>
        <v>3.8297709225834504</v>
      </c>
    </row>
    <row r="2307" spans="1:6" x14ac:dyDescent="0.3">
      <c r="A2307" s="2">
        <v>45450</v>
      </c>
      <c r="B2307" s="1">
        <v>-2.2002006252201056</v>
      </c>
      <c r="C2307" s="1">
        <f>IRS_returns_2015_25[[#This Row],[IRSrtn]]-AVERAGE($B$2:$B$2600)</f>
        <v>-2.2059771192867212</v>
      </c>
      <c r="D2307" s="1">
        <f>w+a*C2306^2+b*D2306</f>
        <v>12.140505894060258</v>
      </c>
      <c r="E2307" s="1">
        <f t="shared" si="36"/>
        <v>-2.3676295707684387</v>
      </c>
      <c r="F2307" s="7">
        <f>SQRT(IRS_returns_2015_25[[#This Row],[  σ2]])</f>
        <v>3.4843228745425212</v>
      </c>
    </row>
    <row r="2308" spans="1:6" x14ac:dyDescent="0.3">
      <c r="A2308" s="2">
        <v>45453</v>
      </c>
      <c r="B2308" s="1">
        <v>2.4072457172281236</v>
      </c>
      <c r="C2308" s="1">
        <f>IRS_returns_2015_25[[#This Row],[IRSrtn]]-AVERAGE($B$2:$B$2600)</f>
        <v>2.401469223161508</v>
      </c>
      <c r="D2308" s="1">
        <f>w+a*C2307^2+b*D2307</f>
        <v>10.613083546496366</v>
      </c>
      <c r="E2308" s="1">
        <f t="shared" si="36"/>
        <v>-2.3716778180369213</v>
      </c>
      <c r="F2308" s="7">
        <f>SQRT(IRS_returns_2015_25[[#This Row],[  σ2]])</f>
        <v>3.2577727892682091</v>
      </c>
    </row>
    <row r="2309" spans="1:6" x14ac:dyDescent="0.3">
      <c r="A2309" s="2">
        <v>45454</v>
      </c>
      <c r="B2309" s="1">
        <v>-2.9383073613300059</v>
      </c>
      <c r="C2309" s="1">
        <f>IRS_returns_2015_25[[#This Row],[IRSrtn]]-AVERAGE($B$2:$B$2600)</f>
        <v>-2.9440838553966215</v>
      </c>
      <c r="D2309" s="1">
        <f>w+a*C2308^2+b*D2308</f>
        <v>9.8157130298167257</v>
      </c>
      <c r="E2309" s="1">
        <f t="shared" si="36"/>
        <v>-2.5024488597229348</v>
      </c>
      <c r="F2309" s="7">
        <f>SQRT(IRS_returns_2015_25[[#This Row],[  σ2]])</f>
        <v>3.1330038349508489</v>
      </c>
    </row>
    <row r="2310" spans="1:6" x14ac:dyDescent="0.3">
      <c r="A2310" s="2">
        <v>45455</v>
      </c>
      <c r="B2310" s="1">
        <v>1.3749609407895491</v>
      </c>
      <c r="C2310" s="1">
        <f>IRS_returns_2015_25[[#This Row],[IRSrtn]]-AVERAGE($B$2:$B$2600)</f>
        <v>1.3691844467229333</v>
      </c>
      <c r="D2310" s="1">
        <f>w+a*C2309^2+b*D2309</f>
        <v>9.9916146555824845</v>
      </c>
      <c r="E2310" s="1">
        <f t="shared" si="36"/>
        <v>-2.1636236036202834</v>
      </c>
      <c r="F2310" s="7">
        <f>SQRT(IRS_returns_2015_25[[#This Row],[  σ2]])</f>
        <v>3.1609515427450772</v>
      </c>
    </row>
    <row r="2311" spans="1:6" x14ac:dyDescent="0.3">
      <c r="A2311" s="2">
        <v>45456</v>
      </c>
      <c r="B2311" s="1">
        <v>5.118829216448928</v>
      </c>
      <c r="C2311" s="1">
        <f>IRS_returns_2015_25[[#This Row],[IRSrtn]]-AVERAGE($B$2:$B$2600)</f>
        <v>5.1130527223823119</v>
      </c>
      <c r="D2311" s="1">
        <f>w+a*C2310^2+b*D2310</f>
        <v>8.4536112734919993</v>
      </c>
      <c r="E2311" s="1">
        <f t="shared" si="36"/>
        <v>-3.5325158698953834</v>
      </c>
      <c r="F2311" s="7">
        <f>SQRT(IRS_returns_2015_25[[#This Row],[  σ2]])</f>
        <v>2.9075094623220057</v>
      </c>
    </row>
    <row r="2312" spans="1:6" x14ac:dyDescent="0.3">
      <c r="A2312" s="2">
        <v>45457</v>
      </c>
      <c r="B2312" s="1">
        <v>-1.305900053012099</v>
      </c>
      <c r="C2312" s="1">
        <f>IRS_returns_2015_25[[#This Row],[IRSrtn]]-AVERAGE($B$2:$B$2600)</f>
        <v>-1.3116765470787148</v>
      </c>
      <c r="D2312" s="1">
        <f>w+a*C2311^2+b*D2311</f>
        <v>13.342785750677134</v>
      </c>
      <c r="E2312" s="1">
        <f t="shared" si="36"/>
        <v>-2.2788993253121825</v>
      </c>
      <c r="F2312" s="7">
        <f>SQRT(IRS_returns_2015_25[[#This Row],[  σ2]])</f>
        <v>3.6527778129359487</v>
      </c>
    </row>
    <row r="2313" spans="1:6" x14ac:dyDescent="0.3">
      <c r="A2313" s="2">
        <v>45460</v>
      </c>
      <c r="B2313" s="1">
        <v>-4.0232399541312525</v>
      </c>
      <c r="C2313" s="1">
        <f>IRS_returns_2015_25[[#This Row],[IRSrtn]]-AVERAGE($B$2:$B$2600)</f>
        <v>-4.0290164481978685</v>
      </c>
      <c r="D2313" s="1">
        <f>w+a*C2312^2+b*D2312</f>
        <v>10.646978228955492</v>
      </c>
      <c r="E2313" s="1">
        <f t="shared" si="36"/>
        <v>-2.8639043243419873</v>
      </c>
      <c r="F2313" s="7">
        <f>SQRT(IRS_returns_2015_25[[#This Row],[  σ2]])</f>
        <v>3.2629707674074391</v>
      </c>
    </row>
    <row r="2314" spans="1:6" x14ac:dyDescent="0.3">
      <c r="A2314" s="2">
        <v>45461</v>
      </c>
      <c r="B2314" s="1">
        <v>2.5975458889198499</v>
      </c>
      <c r="C2314" s="1">
        <f>IRS_returns_2015_25[[#This Row],[IRSrtn]]-AVERAGE($B$2:$B$2600)</f>
        <v>2.5917693948532343</v>
      </c>
      <c r="D2314" s="1">
        <f>w+a*C2313^2+b*D2313</f>
        <v>12.38829605735458</v>
      </c>
      <c r="E2314" s="1">
        <f t="shared" si="36"/>
        <v>-2.4484281130664103</v>
      </c>
      <c r="F2314" s="7">
        <f>SQRT(IRS_returns_2015_25[[#This Row],[  σ2]])</f>
        <v>3.5197011318227829</v>
      </c>
    </row>
    <row r="2315" spans="1:6" x14ac:dyDescent="0.3">
      <c r="A2315" s="2">
        <v>45463</v>
      </c>
      <c r="B2315" s="1">
        <v>-5.3725372538885541</v>
      </c>
      <c r="C2315" s="1">
        <f>IRS_returns_2015_25[[#This Row],[IRSrtn]]-AVERAGE($B$2:$B$2600)</f>
        <v>-5.3783137479551701</v>
      </c>
      <c r="D2315" s="1">
        <f>w+a*C2314^2+b*D2314</f>
        <v>11.22902112987973</v>
      </c>
      <c r="E2315" s="1">
        <f t="shared" si="36"/>
        <v>-3.4162027062828946</v>
      </c>
      <c r="F2315" s="7">
        <f>SQRT(IRS_returns_2015_25[[#This Row],[  σ2]])</f>
        <v>3.3509731616173428</v>
      </c>
    </row>
    <row r="2316" spans="1:6" x14ac:dyDescent="0.3">
      <c r="A2316" s="2">
        <v>45464</v>
      </c>
      <c r="B2316" s="1">
        <v>-3.5245896020379419</v>
      </c>
      <c r="C2316" s="1">
        <f>IRS_returns_2015_25[[#This Row],[IRSrtn]]-AVERAGE($B$2:$B$2600)</f>
        <v>-3.5303660961045575</v>
      </c>
      <c r="D2316" s="1">
        <f>w+a*C2315^2+b*D2315</f>
        <v>15.868487755739398</v>
      </c>
      <c r="E2316" s="1">
        <f t="shared" si="36"/>
        <v>-2.6938179532318474</v>
      </c>
      <c r="F2316" s="7">
        <f>SQRT(IRS_returns_2015_25[[#This Row],[  σ2]])</f>
        <v>3.9835270497060011</v>
      </c>
    </row>
    <row r="2317" spans="1:6" x14ac:dyDescent="0.3">
      <c r="A2317" s="2">
        <v>45467</v>
      </c>
      <c r="B2317" s="1">
        <v>1.4468754547139806</v>
      </c>
      <c r="C2317" s="1">
        <f>IRS_returns_2015_25[[#This Row],[IRSrtn]]-AVERAGE($B$2:$B$2600)</f>
        <v>1.4410989606473648</v>
      </c>
      <c r="D2317" s="1">
        <f>w+a*C2316^2+b*D2316</f>
        <v>14.945907151642505</v>
      </c>
      <c r="E2317" s="1">
        <f t="shared" si="36"/>
        <v>-2.3406333642543751</v>
      </c>
      <c r="F2317" s="7">
        <f>SQRT(IRS_returns_2015_25[[#This Row],[  σ2]])</f>
        <v>3.8659936823076295</v>
      </c>
    </row>
    <row r="2318" spans="1:6" x14ac:dyDescent="0.3">
      <c r="A2318" s="2">
        <v>45468</v>
      </c>
      <c r="B2318" s="1">
        <v>1.317255472056722</v>
      </c>
      <c r="C2318" s="1">
        <f>IRS_returns_2015_25[[#This Row],[IRSrtn]]-AVERAGE($B$2:$B$2600)</f>
        <v>1.3114789779901062</v>
      </c>
      <c r="D2318" s="1">
        <f>w+a*C2317^2+b*D2317</f>
        <v>11.801008249333584</v>
      </c>
      <c r="E2318" s="1">
        <f t="shared" si="36"/>
        <v>-2.2259051788271806</v>
      </c>
      <c r="F2318" s="7">
        <f>SQRT(IRS_returns_2015_25[[#This Row],[  σ2]])</f>
        <v>3.435259560693134</v>
      </c>
    </row>
    <row r="2319" spans="1:6" x14ac:dyDescent="0.3">
      <c r="A2319" s="2">
        <v>45469</v>
      </c>
      <c r="B2319" s="1">
        <v>-2.8763045159953204</v>
      </c>
      <c r="C2319" s="1">
        <f>IRS_returns_2015_25[[#This Row],[IRSrtn]]-AVERAGE($B$2:$B$2600)</f>
        <v>-2.8820810100619361</v>
      </c>
      <c r="D2319" s="1">
        <f>w+a*C2318^2+b*D2318</f>
        <v>9.6204649055095022</v>
      </c>
      <c r="E2319" s="1">
        <f t="shared" si="36"/>
        <v>-2.4825890667637514</v>
      </c>
      <c r="F2319" s="7">
        <f>SQRT(IRS_returns_2015_25[[#This Row],[  σ2]])</f>
        <v>3.1016874287248064</v>
      </c>
    </row>
    <row r="2320" spans="1:6" x14ac:dyDescent="0.3">
      <c r="A2320" s="2">
        <v>45470</v>
      </c>
      <c r="B2320" s="1">
        <v>3.5284765011348806</v>
      </c>
      <c r="C2320" s="1">
        <f>IRS_returns_2015_25[[#This Row],[IRSrtn]]-AVERAGE($B$2:$B$2600)</f>
        <v>3.522700007068265</v>
      </c>
      <c r="D2320" s="1">
        <f>w+a*C2319^2+b*D2319</f>
        <v>9.7736189661343857</v>
      </c>
      <c r="E2320" s="1">
        <f t="shared" si="36"/>
        <v>-2.6936243347879141</v>
      </c>
      <c r="F2320" s="7">
        <f>SQRT(IRS_returns_2015_25[[#This Row],[  σ2]])</f>
        <v>3.1262787729398647</v>
      </c>
    </row>
    <row r="2321" spans="1:6" x14ac:dyDescent="0.3">
      <c r="A2321" s="2">
        <v>45471</v>
      </c>
      <c r="B2321" s="1">
        <v>-2.9688740050989981</v>
      </c>
      <c r="C2321" s="1">
        <f>IRS_returns_2015_25[[#This Row],[IRSrtn]]-AVERAGE($B$2:$B$2600)</f>
        <v>-2.9746504991656137</v>
      </c>
      <c r="D2321" s="1">
        <f>w+a*C2320^2+b*D2320</f>
        <v>10.875277128110788</v>
      </c>
      <c r="E2321" s="1">
        <f t="shared" si="36"/>
        <v>-2.5190038784566178</v>
      </c>
      <c r="F2321" s="7">
        <f>SQRT(IRS_returns_2015_25[[#This Row],[  σ2]])</f>
        <v>3.2977685073562681</v>
      </c>
    </row>
    <row r="2322" spans="1:6" x14ac:dyDescent="0.3">
      <c r="A2322" s="2">
        <v>45474</v>
      </c>
      <c r="B2322" s="1">
        <v>-6.0973485879075362</v>
      </c>
      <c r="C2322" s="1">
        <f>IRS_returns_2015_25[[#This Row],[IRSrtn]]-AVERAGE($B$2:$B$2600)</f>
        <v>-6.1031250819741523</v>
      </c>
      <c r="D2322" s="1">
        <f>w+a*C2321^2+b*D2321</f>
        <v>10.741064288349111</v>
      </c>
      <c r="E2322" s="1">
        <f t="shared" si="36"/>
        <v>-3.839888332663616</v>
      </c>
      <c r="F2322" s="7">
        <f>SQRT(IRS_returns_2015_25[[#This Row],[  σ2]])</f>
        <v>3.2773562956061264</v>
      </c>
    </row>
    <row r="2323" spans="1:6" x14ac:dyDescent="0.3">
      <c r="A2323" s="2">
        <v>45475</v>
      </c>
      <c r="B2323" s="1">
        <v>0.2369613686981964</v>
      </c>
      <c r="C2323" s="1">
        <f>IRS_returns_2015_25[[#This Row],[IRSrtn]]-AVERAGE($B$2:$B$2600)</f>
        <v>0.23118487463158061</v>
      </c>
      <c r="D2323" s="1">
        <f>w+a*C2322^2+b*D2322</f>
        <v>17.571270136304101</v>
      </c>
      <c r="E2323" s="1">
        <f t="shared" si="36"/>
        <v>-2.3535919755758958</v>
      </c>
      <c r="F2323" s="7">
        <f>SQRT(IRS_returns_2015_25[[#This Row],[  σ2]])</f>
        <v>4.1918098879009413</v>
      </c>
    </row>
    <row r="2324" spans="1:6" x14ac:dyDescent="0.3">
      <c r="A2324" s="2">
        <v>45476</v>
      </c>
      <c r="B2324" s="1">
        <v>2.2236274372719578</v>
      </c>
      <c r="C2324" s="1">
        <f>IRS_returns_2015_25[[#This Row],[IRSrtn]]-AVERAGE($B$2:$B$2600)</f>
        <v>2.2178509432053422</v>
      </c>
      <c r="D2324" s="1">
        <f>w+a*C2323^2+b*D2323</f>
        <v>13.055774873150831</v>
      </c>
      <c r="E2324" s="1">
        <f t="shared" si="36"/>
        <v>-2.3919326259332321</v>
      </c>
      <c r="F2324" s="7">
        <f>SQRT(IRS_returns_2015_25[[#This Row],[  σ2]])</f>
        <v>3.6132775804179271</v>
      </c>
    </row>
    <row r="2325" spans="1:6" x14ac:dyDescent="0.3">
      <c r="A2325" s="2">
        <v>45478</v>
      </c>
      <c r="B2325" s="1">
        <v>-0.46403883368286714</v>
      </c>
      <c r="C2325" s="1">
        <f>IRS_returns_2015_25[[#This Row],[IRSrtn]]-AVERAGE($B$2:$B$2600)</f>
        <v>-0.46981532774948292</v>
      </c>
      <c r="D2325" s="1">
        <f>w+a*C2324^2+b*D2324</f>
        <v>11.235191778534066</v>
      </c>
      <c r="E2325" s="1">
        <f t="shared" si="36"/>
        <v>-2.1382870147908699</v>
      </c>
      <c r="F2325" s="7">
        <f>SQRT(IRS_returns_2015_25[[#This Row],[  σ2]])</f>
        <v>3.3518937600308973</v>
      </c>
    </row>
    <row r="2326" spans="1:6" x14ac:dyDescent="0.3">
      <c r="A2326" s="2">
        <v>45481</v>
      </c>
      <c r="B2326" s="1">
        <v>-0.11634991392566185</v>
      </c>
      <c r="C2326" s="1">
        <f>IRS_returns_2015_25[[#This Row],[IRSrtn]]-AVERAGE($B$2:$B$2600)</f>
        <v>-0.12212640799227764</v>
      </c>
      <c r="D2326" s="1">
        <f>w+a*C2325^2+b*D2325</f>
        <v>8.8784993457833323</v>
      </c>
      <c r="E2326" s="1">
        <f t="shared" si="36"/>
        <v>-2.0115947508635368</v>
      </c>
      <c r="F2326" s="7">
        <f>SQRT(IRS_returns_2015_25[[#This Row],[  σ2]])</f>
        <v>2.9796810812204941</v>
      </c>
    </row>
    <row r="2327" spans="1:6" x14ac:dyDescent="0.3">
      <c r="A2327" s="2">
        <v>45482</v>
      </c>
      <c r="B2327" s="1">
        <v>1.1574166819074527</v>
      </c>
      <c r="C2327" s="1">
        <f>IRS_returns_2015_25[[#This Row],[IRSrtn]]-AVERAGE($B$2:$B$2600)</f>
        <v>1.1516401878408369</v>
      </c>
      <c r="D2327" s="1">
        <f>w+a*C2326^2+b*D2326</f>
        <v>7.2594638606178146</v>
      </c>
      <c r="E2327" s="1">
        <f t="shared" si="36"/>
        <v>-2.0014395298268335</v>
      </c>
      <c r="F2327" s="7">
        <f>SQRT(IRS_returns_2015_25[[#This Row],[  σ2]])</f>
        <v>2.6943392252308942</v>
      </c>
    </row>
    <row r="2328" spans="1:6" x14ac:dyDescent="0.3">
      <c r="A2328" s="2">
        <v>45483</v>
      </c>
      <c r="B2328" s="1">
        <v>5.594293760720026</v>
      </c>
      <c r="C2328" s="1">
        <f>IRS_returns_2015_25[[#This Row],[IRSrtn]]-AVERAGE($B$2:$B$2600)</f>
        <v>5.58851726665341</v>
      </c>
      <c r="D2328" s="1">
        <f>w+a*C2327^2+b*D2327</f>
        <v>6.5011575034411173</v>
      </c>
      <c r="E2328" s="1">
        <f t="shared" si="36"/>
        <v>-4.2569259293360009</v>
      </c>
      <c r="F2328" s="7">
        <f>SQRT(IRS_returns_2015_25[[#This Row],[  σ2]])</f>
        <v>2.5497367517924507</v>
      </c>
    </row>
    <row r="2329" spans="1:6" x14ac:dyDescent="0.3">
      <c r="A2329" s="2">
        <v>45484</v>
      </c>
      <c r="B2329" s="1">
        <v>1.189856994515015</v>
      </c>
      <c r="C2329" s="1">
        <f>IRS_returns_2015_25[[#This Row],[IRSrtn]]-AVERAGE($B$2:$B$2600)</f>
        <v>1.1840805004483992</v>
      </c>
      <c r="D2329" s="1">
        <f>w+a*C2328^2+b*D2328</f>
        <v>13.282747563202735</v>
      </c>
      <c r="E2329" s="1">
        <f t="shared" si="36"/>
        <v>-2.2649485229386763</v>
      </c>
      <c r="F2329" s="7">
        <f>SQRT(IRS_returns_2015_25[[#This Row],[  σ2]])</f>
        <v>3.6445503924630724</v>
      </c>
    </row>
    <row r="2330" spans="1:6" x14ac:dyDescent="0.3">
      <c r="A2330" s="2">
        <v>45485</v>
      </c>
      <c r="B2330" s="1">
        <v>1.3881641854278648</v>
      </c>
      <c r="C2330" s="1">
        <f>IRS_returns_2015_25[[#This Row],[IRSrtn]]-AVERAGE($B$2:$B$2600)</f>
        <v>1.3823876913612489</v>
      </c>
      <c r="D2330" s="1">
        <f>w+a*C2329^2+b*D2329</f>
        <v>10.529419844055656</v>
      </c>
      <c r="E2330" s="1">
        <f t="shared" si="36"/>
        <v>-2.1867706853766795</v>
      </c>
      <c r="F2330" s="7">
        <f>SQRT(IRS_returns_2015_25[[#This Row],[  σ2]])</f>
        <v>3.244906754292896</v>
      </c>
    </row>
    <row r="2331" spans="1:6" x14ac:dyDescent="0.3">
      <c r="A2331" s="2">
        <v>45488</v>
      </c>
      <c r="B2331" s="1">
        <v>-0.21232014067398275</v>
      </c>
      <c r="C2331" s="1">
        <f>IRS_returns_2015_25[[#This Row],[IRSrtn]]-AVERAGE($B$2:$B$2600)</f>
        <v>-0.21809663474059854</v>
      </c>
      <c r="D2331" s="1">
        <f>w+a*C2330^2+b*D2330</f>
        <v>8.8204888941205564</v>
      </c>
      <c r="E2331" s="1">
        <f t="shared" si="36"/>
        <v>-2.0101735263888054</v>
      </c>
      <c r="F2331" s="7">
        <f>SQRT(IRS_returns_2015_25[[#This Row],[  σ2]])</f>
        <v>2.9699307894495717</v>
      </c>
    </row>
    <row r="2332" spans="1:6" x14ac:dyDescent="0.3">
      <c r="A2332" s="2">
        <v>45489</v>
      </c>
      <c r="B2332" s="1">
        <v>1.16219989853934</v>
      </c>
      <c r="C2332" s="1">
        <f>IRS_returns_2015_25[[#This Row],[IRSrtn]]-AVERAGE($B$2:$B$2600)</f>
        <v>1.1564234044727242</v>
      </c>
      <c r="D2332" s="1">
        <f>w+a*C2331^2+b*D2331</f>
        <v>7.2288008108426931</v>
      </c>
      <c r="E2332" s="1">
        <f t="shared" si="36"/>
        <v>-2.000474209631717</v>
      </c>
      <c r="F2332" s="7">
        <f>SQRT(IRS_returns_2015_25[[#This Row],[  σ2]])</f>
        <v>2.6886429310793005</v>
      </c>
    </row>
    <row r="2333" spans="1:6" x14ac:dyDescent="0.3">
      <c r="A2333" s="2">
        <v>45490</v>
      </c>
      <c r="B2333" s="1">
        <v>0.419288632459347</v>
      </c>
      <c r="C2333" s="1">
        <f>IRS_returns_2015_25[[#This Row],[IRSrtn]]-AVERAGE($B$2:$B$2600)</f>
        <v>0.41351213839273121</v>
      </c>
      <c r="D2333" s="1">
        <f>w+a*C2332^2+b*D2332</f>
        <v>6.4834344844141008</v>
      </c>
      <c r="E2333" s="1">
        <f t="shared" si="36"/>
        <v>-1.8667505849177179</v>
      </c>
      <c r="F2333" s="7">
        <f>SQRT(IRS_returns_2015_25[[#This Row],[  σ2]])</f>
        <v>2.5462589193587717</v>
      </c>
    </row>
    <row r="2334" spans="1:6" x14ac:dyDescent="0.3">
      <c r="A2334" s="2">
        <v>45491</v>
      </c>
      <c r="B2334" s="1">
        <v>-4.0560546359084348</v>
      </c>
      <c r="C2334" s="1">
        <f>IRS_returns_2015_25[[#This Row],[IRSrtn]]-AVERAGE($B$2:$B$2600)</f>
        <v>-4.0618311299750509</v>
      </c>
      <c r="D2334" s="1">
        <f>w+a*C2333^2+b*D2333</f>
        <v>5.7030573824112869</v>
      </c>
      <c r="E2334" s="1">
        <f t="shared" si="36"/>
        <v>-3.2358982817974944</v>
      </c>
      <c r="F2334" s="7">
        <f>SQRT(IRS_returns_2015_25[[#This Row],[  σ2]])</f>
        <v>2.3881074897104795</v>
      </c>
    </row>
    <row r="2335" spans="1:6" x14ac:dyDescent="0.3">
      <c r="A2335" s="2">
        <v>45492</v>
      </c>
      <c r="B2335" s="1">
        <v>2.2618050626595387</v>
      </c>
      <c r="C2335" s="1">
        <f>IRS_returns_2015_25[[#This Row],[IRSrtn]]-AVERAGE($B$2:$B$2600)</f>
        <v>2.2560285685929231</v>
      </c>
      <c r="D2335" s="1">
        <f>w+a*C2334^2+b*D2334</f>
        <v>9.1617339901760122</v>
      </c>
      <c r="E2335" s="1">
        <f t="shared" si="36"/>
        <v>-2.304223818833619</v>
      </c>
      <c r="F2335" s="7">
        <f>SQRT(IRS_returns_2015_25[[#This Row],[  σ2]])</f>
        <v>3.026835639769033</v>
      </c>
    </row>
    <row r="2336" spans="1:6" x14ac:dyDescent="0.3">
      <c r="A2336" s="2">
        <v>45495</v>
      </c>
      <c r="B2336" s="1">
        <v>-0.10655594836528337</v>
      </c>
      <c r="C2336" s="1">
        <f>IRS_returns_2015_25[[#This Row],[IRSrtn]]-AVERAGE($B$2:$B$2600)</f>
        <v>-0.11233244243189916</v>
      </c>
      <c r="D2336" s="1">
        <f>w+a*C2335^2+b*D2335</f>
        <v>8.684479571574208</v>
      </c>
      <c r="E2336" s="1">
        <f t="shared" si="36"/>
        <v>-2.0004337724747989</v>
      </c>
      <c r="F2336" s="7">
        <f>SQRT(IRS_returns_2015_25[[#This Row],[  σ2]])</f>
        <v>2.9469441073040743</v>
      </c>
    </row>
    <row r="2337" spans="1:6" x14ac:dyDescent="0.3">
      <c r="A2337" s="2">
        <v>45496</v>
      </c>
      <c r="B2337" s="1">
        <v>3.1482253235094682</v>
      </c>
      <c r="C2337" s="1">
        <f>IRS_returns_2015_25[[#This Row],[IRSrtn]]-AVERAGE($B$2:$B$2600)</f>
        <v>3.1424488294428525</v>
      </c>
      <c r="D2337" s="1">
        <f>w+a*C2336^2+b*D2336</f>
        <v>7.1297421656561433</v>
      </c>
      <c r="E2337" s="1">
        <f t="shared" si="36"/>
        <v>-2.5935965289435545</v>
      </c>
      <c r="F2337" s="7">
        <f>SQRT(IRS_returns_2015_25[[#This Row],[  σ2]])</f>
        <v>2.6701577042669489</v>
      </c>
    </row>
    <row r="2338" spans="1:6" x14ac:dyDescent="0.3">
      <c r="A2338" s="2">
        <v>45497</v>
      </c>
      <c r="B2338" s="1">
        <v>-3.3616675604829727</v>
      </c>
      <c r="C2338" s="1">
        <f>IRS_returns_2015_25[[#This Row],[IRSrtn]]-AVERAGE($B$2:$B$2600)</f>
        <v>-3.3674440545495883</v>
      </c>
      <c r="D2338" s="1">
        <f>w+a*C2337^2+b*D2337</f>
        <v>8.4976907015244443</v>
      </c>
      <c r="E2338" s="1">
        <f t="shared" si="36"/>
        <v>-2.6560569957926861</v>
      </c>
      <c r="F2338" s="7">
        <f>SQRT(IRS_returns_2015_25[[#This Row],[  σ2]])</f>
        <v>2.9150798790984176</v>
      </c>
    </row>
    <row r="2339" spans="1:6" x14ac:dyDescent="0.3">
      <c r="A2339" s="2">
        <v>45498</v>
      </c>
      <c r="B2339" s="1">
        <v>-0.85837605911920356</v>
      </c>
      <c r="C2339" s="1">
        <f>IRS_returns_2015_25[[#This Row],[IRSrtn]]-AVERAGE($B$2:$B$2600)</f>
        <v>-0.86415255318581941</v>
      </c>
      <c r="D2339" s="1">
        <f>w+a*C2338^2+b*D2338</f>
        <v>9.7652294577479921</v>
      </c>
      <c r="E2339" s="1">
        <f t="shared" si="36"/>
        <v>-2.0965882062190242</v>
      </c>
      <c r="F2339" s="7">
        <f>SQRT(IRS_returns_2015_25[[#This Row],[  σ2]])</f>
        <v>3.1249367125988314</v>
      </c>
    </row>
    <row r="2340" spans="1:6" x14ac:dyDescent="0.3">
      <c r="A2340" s="2">
        <v>45499</v>
      </c>
      <c r="B2340" s="1">
        <v>1.9210820008998208</v>
      </c>
      <c r="C2340" s="1">
        <f>IRS_returns_2015_25[[#This Row],[IRSrtn]]-AVERAGE($B$2:$B$2600)</f>
        <v>1.915305506833205</v>
      </c>
      <c r="D2340" s="1">
        <f>w+a*C2339^2+b*D2339</f>
        <v>8.0280887267079564</v>
      </c>
      <c r="E2340" s="1">
        <f t="shared" si="36"/>
        <v>-2.1888842860095163</v>
      </c>
      <c r="F2340" s="7">
        <f>SQRT(IRS_returns_2015_25[[#This Row],[  σ2]])</f>
        <v>2.8333882061425957</v>
      </c>
    </row>
    <row r="2341" spans="1:6" x14ac:dyDescent="0.3">
      <c r="A2341" s="2">
        <v>45502</v>
      </c>
      <c r="B2341" s="1">
        <v>-4.0998217746256671</v>
      </c>
      <c r="C2341" s="1">
        <f>IRS_returns_2015_25[[#This Row],[IRSrtn]]-AVERAGE($B$2:$B$2600)</f>
        <v>-4.1055982686922832</v>
      </c>
      <c r="D2341" s="1">
        <f>w+a*C2340^2+b*D2340</f>
        <v>7.5835009346287077</v>
      </c>
      <c r="E2341" s="1">
        <f t="shared" si="36"/>
        <v>-3.0432819207308039</v>
      </c>
      <c r="F2341" s="7">
        <f>SQRT(IRS_returns_2015_25[[#This Row],[  σ2]])</f>
        <v>2.753815704550453</v>
      </c>
    </row>
    <row r="2342" spans="1:6" x14ac:dyDescent="0.3">
      <c r="A2342" s="2">
        <v>45503</v>
      </c>
      <c r="B2342" s="1">
        <v>0.43956203363237911</v>
      </c>
      <c r="C2342" s="1">
        <f>IRS_returns_2015_25[[#This Row],[IRSrtn]]-AVERAGE($B$2:$B$2600)</f>
        <v>0.43378553956576332</v>
      </c>
      <c r="D2342" s="1">
        <f>w+a*C2341^2+b*D2341</f>
        <v>10.500672959699971</v>
      </c>
      <c r="E2342" s="1">
        <f t="shared" si="36"/>
        <v>-2.103618103366065</v>
      </c>
      <c r="F2342" s="7">
        <f>SQRT(IRS_returns_2015_25[[#This Row],[  σ2]])</f>
        <v>3.2404741874762668</v>
      </c>
    </row>
    <row r="2343" spans="1:6" x14ac:dyDescent="0.3">
      <c r="A2343" s="2">
        <v>45504</v>
      </c>
      <c r="B2343" s="1">
        <v>5.337451218024114</v>
      </c>
      <c r="C2343" s="1">
        <f>IRS_returns_2015_25[[#This Row],[IRSrtn]]-AVERAGE($B$2:$B$2600)</f>
        <v>5.331674723957498</v>
      </c>
      <c r="D2343" s="1">
        <f>w+a*C2342^2+b*D2342</f>
        <v>8.3815854964796408</v>
      </c>
      <c r="E2343" s="1">
        <f t="shared" si="36"/>
        <v>-3.6777433605141212</v>
      </c>
      <c r="F2343" s="7">
        <f>SQRT(IRS_returns_2015_25[[#This Row],[  σ2]])</f>
        <v>2.8950968026094812</v>
      </c>
    </row>
    <row r="2344" spans="1:6" x14ac:dyDescent="0.3">
      <c r="A2344" s="2">
        <v>45505</v>
      </c>
      <c r="B2344" s="1">
        <v>-1.8888375893707732</v>
      </c>
      <c r="C2344" s="1">
        <f>IRS_returns_2015_25[[#This Row],[IRSrtn]]-AVERAGE($B$2:$B$2600)</f>
        <v>-1.894614083437389</v>
      </c>
      <c r="D2344" s="1">
        <f>w+a*C2343^2+b*D2343</f>
        <v>13.851198374293116</v>
      </c>
      <c r="E2344" s="1">
        <f t="shared" si="36"/>
        <v>-2.3627002934489916</v>
      </c>
      <c r="F2344" s="7">
        <f>SQRT(IRS_returns_2015_25[[#This Row],[  σ2]])</f>
        <v>3.7217198140501004</v>
      </c>
    </row>
    <row r="2345" spans="1:6" x14ac:dyDescent="0.3">
      <c r="A2345" s="2">
        <v>45506</v>
      </c>
      <c r="B2345" s="1">
        <v>-4.3296783773695946</v>
      </c>
      <c r="C2345" s="1">
        <f>IRS_returns_2015_25[[#This Row],[IRSrtn]]-AVERAGE($B$2:$B$2600)</f>
        <v>-4.3354548714362107</v>
      </c>
      <c r="D2345" s="1">
        <f>w+a*C2344^2+b*D2344</f>
        <v>11.440834791319567</v>
      </c>
      <c r="E2345" s="1">
        <f t="shared" si="36"/>
        <v>-2.9589839485099607</v>
      </c>
      <c r="F2345" s="7">
        <f>SQRT(IRS_returns_2015_25[[#This Row],[  σ2]])</f>
        <v>3.3824303084201999</v>
      </c>
    </row>
    <row r="2346" spans="1:6" x14ac:dyDescent="0.3">
      <c r="A2346" s="2">
        <v>45509</v>
      </c>
      <c r="B2346" s="1">
        <v>-1.4484876728684259</v>
      </c>
      <c r="C2346" s="1">
        <f>IRS_returns_2015_25[[#This Row],[IRSrtn]]-AVERAGE($B$2:$B$2600)</f>
        <v>-1.4542641669350418</v>
      </c>
      <c r="D2346" s="1">
        <f>w+a*C2345^2+b*D2345</f>
        <v>13.541301605962651</v>
      </c>
      <c r="E2346" s="1">
        <f t="shared" si="36"/>
        <v>-2.2999008695114767</v>
      </c>
      <c r="F2346" s="7">
        <f>SQRT(IRS_returns_2015_25[[#This Row],[  σ2]])</f>
        <v>3.6798507586534881</v>
      </c>
    </row>
    <row r="2347" spans="1:6" x14ac:dyDescent="0.3">
      <c r="A2347" s="2">
        <v>45510</v>
      </c>
      <c r="B2347" s="1">
        <v>2.8763045159953204</v>
      </c>
      <c r="C2347" s="1">
        <f>IRS_returns_2015_25[[#This Row],[IRSrtn]]-AVERAGE($B$2:$B$2600)</f>
        <v>2.8705280219287048</v>
      </c>
      <c r="D2347" s="1">
        <f>w+a*C2346^2+b*D2346</f>
        <v>10.875226316710863</v>
      </c>
      <c r="E2347" s="1">
        <f t="shared" si="36"/>
        <v>-2.4910217510531423</v>
      </c>
      <c r="F2347" s="7">
        <f>SQRT(IRS_returns_2015_25[[#This Row],[  σ2]])</f>
        <v>3.2977608034408536</v>
      </c>
    </row>
    <row r="2348" spans="1:6" x14ac:dyDescent="0.3">
      <c r="A2348" s="2">
        <v>45511</v>
      </c>
      <c r="B2348" s="1">
        <v>-1.7602136547866465</v>
      </c>
      <c r="C2348" s="1">
        <f>IRS_returns_2015_25[[#This Row],[IRSrtn]]-AVERAGE($B$2:$B$2600)</f>
        <v>-1.7659901488532623</v>
      </c>
      <c r="D2348" s="1">
        <f>w+a*C2347^2+b*D2347</f>
        <v>10.592741688084041</v>
      </c>
      <c r="E2348" s="1">
        <f t="shared" si="36"/>
        <v>-2.2462333358479096</v>
      </c>
      <c r="F2348" s="7">
        <f>SQRT(IRS_returns_2015_25[[#This Row],[  σ2]])</f>
        <v>3.2546492419435986</v>
      </c>
    </row>
    <row r="2349" spans="1:6" x14ac:dyDescent="0.3">
      <c r="A2349" s="2">
        <v>45512</v>
      </c>
      <c r="B2349" s="1">
        <v>3.597116572084591</v>
      </c>
      <c r="C2349" s="1">
        <f>IRS_returns_2015_25[[#This Row],[IRSrtn]]-AVERAGE($B$2:$B$2600)</f>
        <v>3.5913400780179754</v>
      </c>
      <c r="D2349" s="1">
        <f>w+a*C2348^2+b*D2348</f>
        <v>9.1569053371017652</v>
      </c>
      <c r="E2349" s="1">
        <f t="shared" si="36"/>
        <v>-2.7304548145812086</v>
      </c>
      <c r="F2349" s="7">
        <f>SQRT(IRS_returns_2015_25[[#This Row],[  σ2]])</f>
        <v>3.0260378941946127</v>
      </c>
    </row>
    <row r="2350" spans="1:6" x14ac:dyDescent="0.3">
      <c r="A2350" s="2">
        <v>45513</v>
      </c>
      <c r="B2350" s="1">
        <v>3.9879283588309722</v>
      </c>
      <c r="C2350" s="1">
        <f>IRS_returns_2015_25[[#This Row],[IRSrtn]]-AVERAGE($B$2:$B$2600)</f>
        <v>3.9821518647643566</v>
      </c>
      <c r="D2350" s="1">
        <f>w+a*C2349^2+b*D2349</f>
        <v>10.583696741880935</v>
      </c>
      <c r="E2350" s="1">
        <f t="shared" si="36"/>
        <v>-2.8477450058073233</v>
      </c>
      <c r="F2350" s="7">
        <f>SQRT(IRS_returns_2015_25[[#This Row],[  σ2]])</f>
        <v>3.2532594027960537</v>
      </c>
    </row>
    <row r="2351" spans="1:6" x14ac:dyDescent="0.3">
      <c r="A2351" s="2">
        <v>45516</v>
      </c>
      <c r="B2351" s="1">
        <v>1.4300526741841679</v>
      </c>
      <c r="C2351" s="1">
        <f>IRS_returns_2015_25[[#This Row],[IRSrtn]]-AVERAGE($B$2:$B$2600)</f>
        <v>1.4242761801175521</v>
      </c>
      <c r="D2351" s="1">
        <f>w+a*C2350^2+b*D2350</f>
        <v>12.254692628552412</v>
      </c>
      <c r="E2351" s="1">
        <f t="shared" si="36"/>
        <v>-2.2546597702639226</v>
      </c>
      <c r="F2351" s="7">
        <f>SQRT(IRS_returns_2015_25[[#This Row],[  σ2]])</f>
        <v>3.5006703113193067</v>
      </c>
    </row>
    <row r="2352" spans="1:6" x14ac:dyDescent="0.3">
      <c r="A2352" s="2">
        <v>45517</v>
      </c>
      <c r="B2352" s="1">
        <v>2.1074504235373492</v>
      </c>
      <c r="C2352" s="1">
        <f>IRS_returns_2015_25[[#This Row],[IRSrtn]]-AVERAGE($B$2:$B$2600)</f>
        <v>2.1016739294707336</v>
      </c>
      <c r="D2352" s="1">
        <f>w+a*C2351^2+b*D2351</f>
        <v>9.9976769717541973</v>
      </c>
      <c r="E2352" s="1">
        <f t="shared" si="36"/>
        <v>-2.291017896473615</v>
      </c>
      <c r="F2352" s="7">
        <f>SQRT(IRS_returns_2015_25[[#This Row],[  σ2]])</f>
        <v>3.161910335818237</v>
      </c>
    </row>
    <row r="2353" spans="1:6" x14ac:dyDescent="0.3">
      <c r="A2353" s="2">
        <v>45518</v>
      </c>
      <c r="B2353" s="1">
        <v>1.6740971800488058</v>
      </c>
      <c r="C2353" s="1">
        <f>IRS_returns_2015_25[[#This Row],[IRSrtn]]-AVERAGE($B$2:$B$2600)</f>
        <v>1.66832068598219</v>
      </c>
      <c r="D2353" s="1">
        <f>w+a*C2352^2+b*D2352</f>
        <v>9.0770942528564582</v>
      </c>
      <c r="E2353" s="1">
        <f t="shared" si="36"/>
        <v>-2.1751297420319338</v>
      </c>
      <c r="F2353" s="7">
        <f>SQRT(IRS_returns_2015_25[[#This Row],[  σ2]])</f>
        <v>3.0128216430543078</v>
      </c>
    </row>
    <row r="2354" spans="1:6" x14ac:dyDescent="0.3">
      <c r="A2354" s="2">
        <v>45519</v>
      </c>
      <c r="B2354" s="1">
        <v>5.6941392563301552</v>
      </c>
      <c r="C2354" s="1">
        <f>IRS_returns_2015_25[[#This Row],[IRSrtn]]-AVERAGE($B$2:$B$2600)</f>
        <v>5.6883627622635391</v>
      </c>
      <c r="D2354" s="1">
        <f>w+a*C2353^2+b*D2353</f>
        <v>8.0661867252105068</v>
      </c>
      <c r="E2354" s="1">
        <f t="shared" si="36"/>
        <v>-3.9685266543557107</v>
      </c>
      <c r="F2354" s="7">
        <f>SQRT(IRS_returns_2015_25[[#This Row],[  σ2]])</f>
        <v>2.8401032948135017</v>
      </c>
    </row>
    <row r="2355" spans="1:6" x14ac:dyDescent="0.3">
      <c r="A2355" s="2">
        <v>45520</v>
      </c>
      <c r="B2355" s="1">
        <v>-1.4870096616078854</v>
      </c>
      <c r="C2355" s="1">
        <f>IRS_returns_2015_25[[#This Row],[IRSrtn]]-AVERAGE($B$2:$B$2600)</f>
        <v>-1.4927861556745012</v>
      </c>
      <c r="D2355" s="1">
        <f>w+a*C2354^2+b*D2354</f>
        <v>14.598950076416752</v>
      </c>
      <c r="E2355" s="1">
        <f t="shared" si="36"/>
        <v>-2.3357342567227017</v>
      </c>
      <c r="F2355" s="7">
        <f>SQRT(IRS_returns_2015_25[[#This Row],[  σ2]])</f>
        <v>3.8208572436583852</v>
      </c>
    </row>
    <row r="2356" spans="1:6" x14ac:dyDescent="0.3">
      <c r="A2356" s="2">
        <v>45523</v>
      </c>
      <c r="B2356" s="1">
        <v>0.56021238396288808</v>
      </c>
      <c r="C2356" s="1">
        <f>IRS_returns_2015_25[[#This Row],[IRSrtn]]-AVERAGE($B$2:$B$2600)</f>
        <v>0.55443588989627224</v>
      </c>
      <c r="D2356" s="1">
        <f>w+a*C2355^2+b*D2355</f>
        <v>11.606981222275699</v>
      </c>
      <c r="E2356" s="1">
        <f t="shared" si="36"/>
        <v>-2.1579839006987953</v>
      </c>
      <c r="F2356" s="7">
        <f>SQRT(IRS_returns_2015_25[[#This Row],[  σ2]])</f>
        <v>3.4069019977504049</v>
      </c>
    </row>
    <row r="2357" spans="1:6" x14ac:dyDescent="0.3">
      <c r="A2357" s="2">
        <v>45524</v>
      </c>
      <c r="B2357" s="1">
        <v>-2.069677909604728</v>
      </c>
      <c r="C2357" s="1">
        <f>IRS_returns_2015_25[[#This Row],[IRSrtn]]-AVERAGE($B$2:$B$2600)</f>
        <v>-2.0754544036713436</v>
      </c>
      <c r="D2357" s="1">
        <f>w+a*C2356^2+b*D2356</f>
        <v>9.1471235789977126</v>
      </c>
      <c r="E2357" s="1">
        <f t="shared" si="36"/>
        <v>-2.261115399415885</v>
      </c>
      <c r="F2357" s="7">
        <f>SQRT(IRS_returns_2015_25[[#This Row],[  σ2]])</f>
        <v>3.0244211973529271</v>
      </c>
    </row>
    <row r="2358" spans="1:6" x14ac:dyDescent="0.3">
      <c r="A2358" s="2">
        <v>45525</v>
      </c>
      <c r="B2358" s="1">
        <v>-3.3836038886883912</v>
      </c>
      <c r="C2358" s="1">
        <f>IRS_returns_2015_25[[#This Row],[IRSrtn]]-AVERAGE($B$2:$B$2600)</f>
        <v>-3.3893803827550069</v>
      </c>
      <c r="D2358" s="1">
        <f>w+a*C2357^2+b*D2357</f>
        <v>8.4841815547851773</v>
      </c>
      <c r="E2358" s="1">
        <f t="shared" si="36"/>
        <v>-2.6650589657397985</v>
      </c>
      <c r="F2358" s="7">
        <f>SQRT(IRS_returns_2015_25[[#This Row],[  σ2]])</f>
        <v>2.9127618431284725</v>
      </c>
    </row>
    <row r="2359" spans="1:6" x14ac:dyDescent="0.3">
      <c r="A2359" s="2">
        <v>45526</v>
      </c>
      <c r="B2359" s="1">
        <v>-3.8080778295387585</v>
      </c>
      <c r="C2359" s="1">
        <f>IRS_returns_2015_25[[#This Row],[IRSrtn]]-AVERAGE($B$2:$B$2600)</f>
        <v>-3.8138543236053741</v>
      </c>
      <c r="D2359" s="1">
        <f>w+a*C2358^2+b*D2358</f>
        <v>9.7923499418436268</v>
      </c>
      <c r="E2359" s="1">
        <f t="shared" si="36"/>
        <v>-2.8024355983070581</v>
      </c>
      <c r="F2359" s="7">
        <f>SQRT(IRS_returns_2015_25[[#This Row],[  σ2]])</f>
        <v>3.1292730692356696</v>
      </c>
    </row>
    <row r="2360" spans="1:6" x14ac:dyDescent="0.3">
      <c r="A2360" s="2">
        <v>45527</v>
      </c>
      <c r="B2360" s="1">
        <v>1.0162760896146761</v>
      </c>
      <c r="C2360" s="1">
        <f>IRS_returns_2015_25[[#This Row],[IRSrtn]]-AVERAGE($B$2:$B$2600)</f>
        <v>1.0104995955480602</v>
      </c>
      <c r="D2360" s="1">
        <f>w+a*C2359^2+b*D2359</f>
        <v>11.408199482121541</v>
      </c>
      <c r="E2360" s="1">
        <f t="shared" si="36"/>
        <v>-2.1808580205284067</v>
      </c>
      <c r="F2360" s="7">
        <f>SQRT(IRS_returns_2015_25[[#This Row],[  σ2]])</f>
        <v>3.3776026234774186</v>
      </c>
    </row>
    <row r="2361" spans="1:6" x14ac:dyDescent="0.3">
      <c r="A2361" s="2">
        <v>45530</v>
      </c>
      <c r="B2361" s="1">
        <v>-1.0162760896146761</v>
      </c>
      <c r="C2361" s="1">
        <f>IRS_returns_2015_25[[#This Row],[IRSrtn]]-AVERAGE($B$2:$B$2600)</f>
        <v>-1.0220525836812919</v>
      </c>
      <c r="D2361" s="1">
        <f>w+a*C2360^2+b*D2360</f>
        <v>9.1886865961218795</v>
      </c>
      <c r="E2361" s="1">
        <f t="shared" si="36"/>
        <v>-2.0847662128633351</v>
      </c>
      <c r="F2361" s="7">
        <f>SQRT(IRS_returns_2015_25[[#This Row],[  σ2]])</f>
        <v>3.0312846445231565</v>
      </c>
    </row>
    <row r="2362" spans="1:6" x14ac:dyDescent="0.3">
      <c r="A2362" s="2">
        <v>45532</v>
      </c>
      <c r="B2362" s="1">
        <v>-0.92355108116120022</v>
      </c>
      <c r="C2362" s="1">
        <f>IRS_returns_2015_25[[#This Row],[IRSrtn]]-AVERAGE($B$2:$B$2600)</f>
        <v>-0.92932757522781606</v>
      </c>
      <c r="D2362" s="1">
        <f>w+a*C2361^2+b*D2361</f>
        <v>7.7168411688221843</v>
      </c>
      <c r="E2362" s="1">
        <f t="shared" si="36"/>
        <v>-1.9965998468956452</v>
      </c>
      <c r="F2362" s="7">
        <f>SQRT(IRS_returns_2015_25[[#This Row],[  σ2]])</f>
        <v>2.7779202956208415</v>
      </c>
    </row>
    <row r="2363" spans="1:6" x14ac:dyDescent="0.3">
      <c r="A2363" s="2">
        <v>45533</v>
      </c>
      <c r="B2363" s="1">
        <v>3.4451243827254618</v>
      </c>
      <c r="C2363" s="1">
        <f>IRS_returns_2015_25[[#This Row],[IRSrtn]]-AVERAGE($B$2:$B$2600)</f>
        <v>3.4393478886588462</v>
      </c>
      <c r="D2363" s="1">
        <f>w+a*C2362^2+b*D2362</f>
        <v>6.6929226549104399</v>
      </c>
      <c r="E2363" s="1">
        <f t="shared" si="36"/>
        <v>-2.7531670246174929</v>
      </c>
      <c r="F2363" s="7">
        <f>SQRT(IRS_returns_2015_25[[#This Row],[  σ2]])</f>
        <v>2.5870683514183463</v>
      </c>
    </row>
    <row r="2364" spans="1:6" x14ac:dyDescent="0.3">
      <c r="A2364" s="2">
        <v>45534</v>
      </c>
      <c r="B2364" s="1">
        <v>9.9544608671342516E-2</v>
      </c>
      <c r="C2364" s="1">
        <f>IRS_returns_2015_25[[#This Row],[IRSrtn]]-AVERAGE($B$2:$B$2600)</f>
        <v>9.3768114604726727E-2</v>
      </c>
      <c r="D2364" s="1">
        <f>w+a*C2363^2+b*D2363</f>
        <v>8.6830157932537055</v>
      </c>
      <c r="E2364" s="1">
        <f t="shared" si="36"/>
        <v>-2.0001292903392023</v>
      </c>
      <c r="F2364" s="7">
        <f>SQRT(IRS_returns_2015_25[[#This Row],[  σ2]])</f>
        <v>2.9466957415474209</v>
      </c>
    </row>
    <row r="2365" spans="1:6" x14ac:dyDescent="0.3">
      <c r="A2365" s="2">
        <v>45538</v>
      </c>
      <c r="B2365" s="1">
        <v>0.59523600010269462</v>
      </c>
      <c r="C2365" s="1">
        <f>IRS_returns_2015_25[[#This Row],[IRSrtn]]-AVERAGE($B$2:$B$2600)</f>
        <v>0.58945950603607877</v>
      </c>
      <c r="D2365" s="1">
        <f>w+a*C2364^2+b*D2364</f>
        <v>7.1278354711230669</v>
      </c>
      <c r="E2365" s="1">
        <f t="shared" si="36"/>
        <v>-1.9253159713594821</v>
      </c>
      <c r="F2365" s="7">
        <f>SQRT(IRS_returns_2015_25[[#This Row],[  σ2]])</f>
        <v>2.6698006425804657</v>
      </c>
    </row>
    <row r="2366" spans="1:6" x14ac:dyDescent="0.3">
      <c r="A2366" s="2">
        <v>45539</v>
      </c>
      <c r="B2366" s="1">
        <v>11.481137436685529</v>
      </c>
      <c r="C2366" s="1">
        <f>IRS_returns_2015_25[[#This Row],[IRSrtn]]-AVERAGE($B$2:$B$2600)</f>
        <v>11.475360942618913</v>
      </c>
      <c r="D2366" s="1">
        <f>w+a*C2365^2+b*D2365</f>
        <v>6.1750428178001631</v>
      </c>
      <c r="E2366" s="1">
        <f t="shared" si="36"/>
        <v>-12.491787183666233</v>
      </c>
      <c r="F2366" s="7">
        <f>SQRT(IRS_returns_2015_25[[#This Row],[  σ2]])</f>
        <v>2.4849633433513989</v>
      </c>
    </row>
    <row r="2367" spans="1:6" x14ac:dyDescent="0.3">
      <c r="A2367" s="2">
        <v>45540</v>
      </c>
      <c r="B2367" s="1">
        <v>4.2302308945845191</v>
      </c>
      <c r="C2367" s="1">
        <f>IRS_returns_2015_25[[#This Row],[IRSrtn]]-AVERAGE($B$2:$B$2600)</f>
        <v>4.224454400517903</v>
      </c>
      <c r="D2367" s="1">
        <f>w+a*C2366^2+b*D2366</f>
        <v>37.540847582547457</v>
      </c>
      <c r="E2367" s="1">
        <f t="shared" si="36"/>
        <v>-2.9693412980473122</v>
      </c>
      <c r="F2367" s="7">
        <f>SQRT(IRS_returns_2015_25[[#This Row],[  σ2]])</f>
        <v>6.1270586403712066</v>
      </c>
    </row>
    <row r="2368" spans="1:6" x14ac:dyDescent="0.3">
      <c r="A2368" s="2">
        <v>45541</v>
      </c>
      <c r="B2368" s="1">
        <v>-0.84889889522101747</v>
      </c>
      <c r="C2368" s="1">
        <f>IRS_returns_2015_25[[#This Row],[IRSrtn]]-AVERAGE($B$2:$B$2600)</f>
        <v>-0.85467538928763331</v>
      </c>
      <c r="D2368" s="1">
        <f>w+a*C2367^2+b*D2367</f>
        <v>30.685011546348814</v>
      </c>
      <c r="E2368" s="1">
        <f t="shared" si="36"/>
        <v>-2.6427284063318961</v>
      </c>
      <c r="F2368" s="7">
        <f>SQRT(IRS_returns_2015_25[[#This Row],[  σ2]])</f>
        <v>5.5394053423042457</v>
      </c>
    </row>
    <row r="2369" spans="1:6" x14ac:dyDescent="0.3">
      <c r="A2369" s="2">
        <v>45544</v>
      </c>
      <c r="B2369" s="1">
        <v>3.5179449613646607</v>
      </c>
      <c r="C2369" s="1">
        <f>IRS_returns_2015_25[[#This Row],[IRSrtn]]-AVERAGE($B$2:$B$2600)</f>
        <v>3.5121684672980451</v>
      </c>
      <c r="D2369" s="1">
        <f>w+a*C2368^2+b*D2368</f>
        <v>21.950768341453159</v>
      </c>
      <c r="E2369" s="1">
        <f t="shared" si="36"/>
        <v>-2.7443167247864739</v>
      </c>
      <c r="F2369" s="7">
        <f>SQRT(IRS_returns_2015_25[[#This Row],[  σ2]])</f>
        <v>4.6851647080388927</v>
      </c>
    </row>
    <row r="2370" spans="1:6" x14ac:dyDescent="0.3">
      <c r="A2370" s="2">
        <v>45545</v>
      </c>
      <c r="B2370" s="1">
        <v>-2.2472794833217513</v>
      </c>
      <c r="C2370" s="1">
        <f>IRS_returns_2015_25[[#This Row],[IRSrtn]]-AVERAGE($B$2:$B$2600)</f>
        <v>-2.2530559773883669</v>
      </c>
      <c r="D2370" s="1">
        <f>w+a*C2369^2+b*D2369</f>
        <v>18.963757464528278</v>
      </c>
      <c r="E2370" s="1">
        <f t="shared" ref="E2370:E2433" si="37">-0.5*(LN(2*PI())+LN(D2370)+C2370^2/D2370)</f>
        <v>-2.5240444852822757</v>
      </c>
      <c r="F2370" s="7">
        <f>SQRT(IRS_returns_2015_25[[#This Row],[  σ2]])</f>
        <v>4.354739655195047</v>
      </c>
    </row>
    <row r="2371" spans="1:6" x14ac:dyDescent="0.3">
      <c r="A2371" s="2">
        <v>45547</v>
      </c>
      <c r="B2371" s="1">
        <v>-8.4212844559106159E-2</v>
      </c>
      <c r="C2371" s="1">
        <f>IRS_returns_2015_25[[#This Row],[IRSrtn]]-AVERAGE($B$2:$B$2600)</f>
        <v>-8.9989338625721949E-2</v>
      </c>
      <c r="D2371" s="1">
        <f>w+a*C2370^2+b*D2370</f>
        <v>15.206584622943415</v>
      </c>
      <c r="E2371" s="1">
        <f t="shared" si="37"/>
        <v>-2.2800690685661578</v>
      </c>
      <c r="F2371" s="7">
        <f>SQRT(IRS_returns_2015_25[[#This Row],[  σ2]])</f>
        <v>3.8995621065631734</v>
      </c>
    </row>
    <row r="2372" spans="1:6" x14ac:dyDescent="0.3">
      <c r="A2372" s="2">
        <v>45548</v>
      </c>
      <c r="B2372" s="1">
        <v>1.5050523440059305</v>
      </c>
      <c r="C2372" s="1">
        <f>IRS_returns_2015_25[[#This Row],[IRSrtn]]-AVERAGE($B$2:$B$2600)</f>
        <v>1.4992758499393146</v>
      </c>
      <c r="D2372" s="1">
        <f>w+a*C2371^2+b*D2371</f>
        <v>11.470515086461235</v>
      </c>
      <c r="E2372" s="1">
        <f t="shared" si="37"/>
        <v>-2.236811326142504</v>
      </c>
      <c r="F2372" s="7">
        <f>SQRT(IRS_returns_2015_25[[#This Row],[  σ2]])</f>
        <v>3.3868148881303264</v>
      </c>
    </row>
    <row r="2373" spans="1:6" x14ac:dyDescent="0.3">
      <c r="A2373" s="2">
        <v>45551</v>
      </c>
      <c r="B2373" s="1">
        <v>0.66169916731193545</v>
      </c>
      <c r="C2373" s="1">
        <f>IRS_returns_2015_25[[#This Row],[IRSrtn]]-AVERAGE($B$2:$B$2600)</f>
        <v>0.65592267324531961</v>
      </c>
      <c r="D2373" s="1">
        <f>w+a*C2372^2+b*D2372</f>
        <v>9.529060848782084</v>
      </c>
      <c r="E2373" s="1">
        <f t="shared" si="37"/>
        <v>-2.068686482709706</v>
      </c>
      <c r="F2373" s="7">
        <f>SQRT(IRS_returns_2015_25[[#This Row],[  σ2]])</f>
        <v>3.0869176938788123</v>
      </c>
    </row>
    <row r="2374" spans="1:6" x14ac:dyDescent="0.3">
      <c r="A2374" s="2">
        <v>45552</v>
      </c>
      <c r="B2374" s="1">
        <v>-1.9983966805638964</v>
      </c>
      <c r="C2374" s="1">
        <f>IRS_returns_2015_25[[#This Row],[IRSrtn]]-AVERAGE($B$2:$B$2600)</f>
        <v>-2.004173174630512</v>
      </c>
      <c r="D2374" s="1">
        <f>w+a*C2373^2+b*D2373</f>
        <v>7.7937460735481814</v>
      </c>
      <c r="E2374" s="1">
        <f t="shared" si="37"/>
        <v>-2.2032873745981054</v>
      </c>
      <c r="F2374" s="7">
        <f>SQRT(IRS_returns_2015_25[[#This Row],[  σ2]])</f>
        <v>2.7917281517992008</v>
      </c>
    </row>
    <row r="2375" spans="1:6" x14ac:dyDescent="0.3">
      <c r="A2375" s="2">
        <v>45553</v>
      </c>
      <c r="B2375" s="1">
        <v>-2.6418268765193709</v>
      </c>
      <c r="C2375" s="1">
        <f>IRS_returns_2015_25[[#This Row],[IRSrtn]]-AVERAGE($B$2:$B$2600)</f>
        <v>-2.6476033705859865</v>
      </c>
      <c r="D2375" s="1">
        <f>w+a*C2374^2+b*D2374</f>
        <v>7.5123619657773055</v>
      </c>
      <c r="E2375" s="1">
        <f t="shared" si="37"/>
        <v>-2.3937647378789939</v>
      </c>
      <c r="F2375" s="7">
        <f>SQRT(IRS_returns_2015_25[[#This Row],[  σ2]])</f>
        <v>2.7408688341066791</v>
      </c>
    </row>
    <row r="2376" spans="1:6" x14ac:dyDescent="0.3">
      <c r="A2376" s="2">
        <v>45554</v>
      </c>
      <c r="B2376" s="1">
        <v>3.8124068379083997</v>
      </c>
      <c r="C2376" s="1">
        <f>IRS_returns_2015_25[[#This Row],[IRSrtn]]-AVERAGE($B$2:$B$2600)</f>
        <v>3.8066303438417841</v>
      </c>
      <c r="D2376" s="1">
        <f>w+a*C2375^2+b*D2375</f>
        <v>8.0543064000411739</v>
      </c>
      <c r="E2376" s="1">
        <f t="shared" si="37"/>
        <v>-2.8615877599957589</v>
      </c>
      <c r="F2376" s="7">
        <f>SQRT(IRS_returns_2015_25[[#This Row],[  σ2]])</f>
        <v>2.8380109936434663</v>
      </c>
    </row>
    <row r="2377" spans="1:6" x14ac:dyDescent="0.3">
      <c r="A2377" s="2">
        <v>45555</v>
      </c>
      <c r="B2377" s="1">
        <v>-2.4401699129888321</v>
      </c>
      <c r="C2377" s="1">
        <f>IRS_returns_2015_25[[#This Row],[IRSrtn]]-AVERAGE($B$2:$B$2600)</f>
        <v>-2.4459464070554477</v>
      </c>
      <c r="D2377" s="1">
        <f>w+a*C2376^2+b*D2376</f>
        <v>10.237741872775647</v>
      </c>
      <c r="E2377" s="1">
        <f t="shared" si="37"/>
        <v>-2.3741652725601079</v>
      </c>
      <c r="F2377" s="7">
        <f>SQRT(IRS_returns_2015_25[[#This Row],[  σ2]])</f>
        <v>3.1996471481673798</v>
      </c>
    </row>
    <row r="2378" spans="1:6" x14ac:dyDescent="0.3">
      <c r="A2378" s="2">
        <v>45558</v>
      </c>
      <c r="B2378" s="1">
        <v>-0.42680690728489346</v>
      </c>
      <c r="C2378" s="1">
        <f>IRS_returns_2015_25[[#This Row],[IRSrtn]]-AVERAGE($B$2:$B$2600)</f>
        <v>-0.43258340135150924</v>
      </c>
      <c r="D2378" s="1">
        <f>w+a*C2377^2+b*D2377</f>
        <v>9.6183725474887876</v>
      </c>
      <c r="E2378" s="1">
        <f t="shared" si="37"/>
        <v>-2.0605037253941316</v>
      </c>
      <c r="F2378" s="7">
        <f>SQRT(IRS_returns_2015_25[[#This Row],[  σ2]])</f>
        <v>3.1013501168827728</v>
      </c>
    </row>
    <row r="2379" spans="1:6" x14ac:dyDescent="0.3">
      <c r="A2379" s="2">
        <v>45559</v>
      </c>
      <c r="B2379" s="1">
        <v>-0.60060140792148609</v>
      </c>
      <c r="C2379" s="1">
        <f>IRS_returns_2015_25[[#This Row],[IRSrtn]]-AVERAGE($B$2:$B$2600)</f>
        <v>-0.60637790198810193</v>
      </c>
      <c r="D2379" s="1">
        <f>w+a*C2378^2+b*D2378</f>
        <v>7.7939696058313261</v>
      </c>
      <c r="E2379" s="1">
        <f t="shared" si="37"/>
        <v>-1.9692020620985016</v>
      </c>
      <c r="F2379" s="7">
        <f>SQRT(IRS_returns_2015_25[[#This Row],[  σ2]])</f>
        <v>2.7917681862632016</v>
      </c>
    </row>
    <row r="2380" spans="1:6" x14ac:dyDescent="0.3">
      <c r="A2380" s="2">
        <v>45560</v>
      </c>
      <c r="B2380" s="1">
        <v>-2.5273659426773509</v>
      </c>
      <c r="C2380" s="1">
        <f>IRS_returns_2015_25[[#This Row],[IRSrtn]]-AVERAGE($B$2:$B$2600)</f>
        <v>-2.5331424367439666</v>
      </c>
      <c r="D2380" s="1">
        <f>w+a*C2379^2+b*D2379</f>
        <v>6.6234288816203977</v>
      </c>
      <c r="E2380" s="1">
        <f t="shared" si="37"/>
        <v>-2.348647598942522</v>
      </c>
      <c r="F2380" s="7">
        <f>SQRT(IRS_returns_2015_25[[#This Row],[  σ2]])</f>
        <v>2.5736023161359638</v>
      </c>
    </row>
    <row r="2381" spans="1:6" x14ac:dyDescent="0.3">
      <c r="A2381" s="2">
        <v>45561</v>
      </c>
      <c r="B2381" s="1">
        <v>1.1408591731158602</v>
      </c>
      <c r="C2381" s="1">
        <f>IRS_returns_2015_25[[#This Row],[IRSrtn]]-AVERAGE($B$2:$B$2600)</f>
        <v>1.1350826790492443</v>
      </c>
      <c r="D2381" s="1">
        <f>w+a*C2380^2+b*D2380</f>
        <v>7.3180461808145214</v>
      </c>
      <c r="E2381" s="1">
        <f t="shared" si="37"/>
        <v>-2.0021400494471631</v>
      </c>
      <c r="F2381" s="7">
        <f>SQRT(IRS_returns_2015_25[[#This Row],[  σ2]])</f>
        <v>2.7051887514209652</v>
      </c>
    </row>
    <row r="2382" spans="1:6" x14ac:dyDescent="0.3">
      <c r="A2382" s="2">
        <v>45562</v>
      </c>
      <c r="B2382" s="1">
        <v>4.0193582310573905</v>
      </c>
      <c r="C2382" s="1">
        <f>IRS_returns_2015_25[[#This Row],[IRSrtn]]-AVERAGE($B$2:$B$2600)</f>
        <v>4.0135817369907745</v>
      </c>
      <c r="D2382" s="1">
        <f>w+a*C2381^2+b*D2381</f>
        <v>6.530931559819571</v>
      </c>
      <c r="E2382" s="1">
        <f t="shared" si="37"/>
        <v>-3.0904859649113181</v>
      </c>
      <c r="F2382" s="7">
        <f>SQRT(IRS_returns_2015_25[[#This Row],[  σ2]])</f>
        <v>2.5555687350997958</v>
      </c>
    </row>
    <row r="2383" spans="1:6" x14ac:dyDescent="0.3">
      <c r="A2383" s="2">
        <v>45565</v>
      </c>
      <c r="B2383" s="1">
        <v>-4.7198789390948903</v>
      </c>
      <c r="C2383" s="1">
        <f>IRS_returns_2015_25[[#This Row],[IRSrtn]]-AVERAGE($B$2:$B$2600)</f>
        <v>-4.7256554331615064</v>
      </c>
      <c r="D2383" s="1">
        <f>w+a*C2382^2+b*D2382</f>
        <v>9.6179294889083344</v>
      </c>
      <c r="E2383" s="1">
        <f t="shared" si="37"/>
        <v>-3.211700376962781</v>
      </c>
      <c r="F2383" s="7">
        <f>SQRT(IRS_returns_2015_25[[#This Row],[  σ2]])</f>
        <v>3.1012786861080923</v>
      </c>
    </row>
    <row r="2384" spans="1:6" x14ac:dyDescent="0.3">
      <c r="A2384" s="2">
        <v>45566</v>
      </c>
      <c r="B2384" s="1">
        <v>1.4827970422005787</v>
      </c>
      <c r="C2384" s="1">
        <f>IRS_returns_2015_25[[#This Row],[IRSrtn]]-AVERAGE($B$2:$B$2600)</f>
        <v>1.4770205481339629</v>
      </c>
      <c r="D2384" s="1">
        <f>w+a*C2383^2+b*D2383</f>
        <v>13.189223464803742</v>
      </c>
      <c r="E2384" s="1">
        <f t="shared" si="37"/>
        <v>-2.2913420721379181</v>
      </c>
      <c r="F2384" s="7">
        <f>SQRT(IRS_returns_2015_25[[#This Row],[  σ2]])</f>
        <v>3.6316970502512653</v>
      </c>
    </row>
    <row r="2385" spans="1:6" x14ac:dyDescent="0.3">
      <c r="A2385" s="2">
        <v>45567</v>
      </c>
      <c r="B2385" s="1">
        <v>-1.1319277410629436</v>
      </c>
      <c r="C2385" s="1">
        <f>IRS_returns_2015_25[[#This Row],[IRSrtn]]-AVERAGE($B$2:$B$2600)</f>
        <v>-1.1377042351295594</v>
      </c>
      <c r="D2385" s="1">
        <f>w+a*C2384^2+b*D2384</f>
        <v>10.657094776919138</v>
      </c>
      <c r="E2385" s="1">
        <f t="shared" si="37"/>
        <v>-2.162779588968252</v>
      </c>
      <c r="F2385" s="7">
        <f>SQRT(IRS_returns_2015_25[[#This Row],[  σ2]])</f>
        <v>3.2645206044562101</v>
      </c>
    </row>
    <row r="2386" spans="1:6" x14ac:dyDescent="0.3">
      <c r="A2386" s="2">
        <v>45568</v>
      </c>
      <c r="B2386" s="1">
        <v>1.304934098959043</v>
      </c>
      <c r="C2386" s="1">
        <f>IRS_returns_2015_25[[#This Row],[IRSrtn]]-AVERAGE($B$2:$B$2600)</f>
        <v>1.2991576048924272</v>
      </c>
      <c r="D2386" s="1">
        <f>w+a*C2385^2+b*D2385</f>
        <v>8.7552437402416992</v>
      </c>
      <c r="E2386" s="1">
        <f t="shared" si="37"/>
        <v>-2.1001534850434376</v>
      </c>
      <c r="F2386" s="7">
        <f>SQRT(IRS_returns_2015_25[[#This Row],[  σ2]])</f>
        <v>2.9589261126702198</v>
      </c>
    </row>
    <row r="2387" spans="1:6" x14ac:dyDescent="0.3">
      <c r="A2387" s="2">
        <v>45569</v>
      </c>
      <c r="B2387" s="1">
        <v>4.4789936008769793</v>
      </c>
      <c r="C2387" s="1">
        <f>IRS_returns_2015_25[[#This Row],[IRSrtn]]-AVERAGE($B$2:$B$2600)</f>
        <v>4.4732171068103632</v>
      </c>
      <c r="D2387" s="1">
        <f>w+a*C2386^2+b*D2386</f>
        <v>7.5850111756428111</v>
      </c>
      <c r="E2387" s="1">
        <f t="shared" si="37"/>
        <v>-3.2510527221588408</v>
      </c>
      <c r="F2387" s="7">
        <f>SQRT(IRS_returns_2015_25[[#This Row],[  σ2]])</f>
        <v>2.7540898997024064</v>
      </c>
    </row>
    <row r="2388" spans="1:6" x14ac:dyDescent="0.3">
      <c r="A2388" s="2">
        <v>45572</v>
      </c>
      <c r="B2388" s="1">
        <v>-0.74657676878810975</v>
      </c>
      <c r="C2388" s="1">
        <f>IRS_returns_2015_25[[#This Row],[IRSrtn]]-AVERAGE($B$2:$B$2600)</f>
        <v>-0.75235326285472559</v>
      </c>
      <c r="D2388" s="1">
        <f>w+a*C2387^2+b*D2387</f>
        <v>11.27008494648538</v>
      </c>
      <c r="E2388" s="1">
        <f t="shared" si="37"/>
        <v>-2.1551267625317894</v>
      </c>
      <c r="F2388" s="7">
        <f>SQRT(IRS_returns_2015_25[[#This Row],[  σ2]])</f>
        <v>3.357094718128367</v>
      </c>
    </row>
    <row r="2389" spans="1:6" x14ac:dyDescent="0.3">
      <c r="A2389" s="2">
        <v>45573</v>
      </c>
      <c r="B2389" s="1">
        <v>-1.0041944877803743</v>
      </c>
      <c r="C2389" s="1">
        <f>IRS_returns_2015_25[[#This Row],[IRSrtn]]-AVERAGE($B$2:$B$2600)</f>
        <v>-1.0099709818469902</v>
      </c>
      <c r="D2389" s="1">
        <f>w+a*C2388^2+b*D2388</f>
        <v>8.9858627664157851</v>
      </c>
      <c r="E2389" s="1">
        <f t="shared" si="37"/>
        <v>-2.0735229241608497</v>
      </c>
      <c r="F2389" s="7">
        <f>SQRT(IRS_returns_2015_25[[#This Row],[  σ2]])</f>
        <v>2.9976428683910608</v>
      </c>
    </row>
    <row r="2390" spans="1:6" x14ac:dyDescent="0.3">
      <c r="A2390" s="2">
        <v>45574</v>
      </c>
      <c r="B2390" s="1">
        <v>2.3276157409287013</v>
      </c>
      <c r="C2390" s="1">
        <f>IRS_returns_2015_25[[#This Row],[IRSrtn]]-AVERAGE($B$2:$B$2600)</f>
        <v>2.3218392468620856</v>
      </c>
      <c r="D2390" s="1">
        <f>w+a*C2389^2+b*D2389</f>
        <v>7.5758363294273527</v>
      </c>
      <c r="E2390" s="1">
        <f t="shared" si="37"/>
        <v>-2.2872185846491182</v>
      </c>
      <c r="F2390" s="7">
        <f>SQRT(IRS_returns_2015_25[[#This Row],[  σ2]])</f>
        <v>2.7524237190932928</v>
      </c>
    </row>
    <row r="2391" spans="1:6" x14ac:dyDescent="0.3">
      <c r="A2391" s="2">
        <v>45575</v>
      </c>
      <c r="B2391" s="1">
        <v>0.81834094768611365</v>
      </c>
      <c r="C2391" s="1">
        <f>IRS_returns_2015_25[[#This Row],[IRSrtn]]-AVERAGE($B$2:$B$2600)</f>
        <v>0.81256445361949781</v>
      </c>
      <c r="D2391" s="1">
        <f>w+a*C2390^2+b*D2390</f>
        <v>7.7021259890943412</v>
      </c>
      <c r="E2391" s="1">
        <f t="shared" si="37"/>
        <v>-1.9825489857878282</v>
      </c>
      <c r="F2391" s="7">
        <f>SQRT(IRS_returns_2015_25[[#This Row],[  σ2]])</f>
        <v>2.7752704353079434</v>
      </c>
    </row>
    <row r="2392" spans="1:6" x14ac:dyDescent="0.3">
      <c r="A2392" s="2">
        <v>45576</v>
      </c>
      <c r="B2392" s="1">
        <v>2.0170084453732695</v>
      </c>
      <c r="C2392" s="1">
        <f>IRS_returns_2015_25[[#This Row],[IRSrtn]]-AVERAGE($B$2:$B$2600)</f>
        <v>2.0112319513066539</v>
      </c>
      <c r="D2392" s="1">
        <f>w+a*C2391^2+b*D2391</f>
        <v>6.6335708917288274</v>
      </c>
      <c r="E2392" s="1">
        <f t="shared" si="37"/>
        <v>-2.1699028067320492</v>
      </c>
      <c r="F2392" s="7">
        <f>SQRT(IRS_returns_2015_25[[#This Row],[  σ2]])</f>
        <v>2.5755719542907021</v>
      </c>
    </row>
    <row r="2393" spans="1:6" x14ac:dyDescent="0.3">
      <c r="A2393" s="2">
        <v>45579</v>
      </c>
      <c r="B2393" s="1">
        <v>-1.6915396703608643</v>
      </c>
      <c r="C2393" s="1">
        <f>IRS_returns_2015_25[[#This Row],[IRSrtn]]-AVERAGE($B$2:$B$2600)</f>
        <v>-1.6973161644274801</v>
      </c>
      <c r="D2393" s="1">
        <f>w+a*C2392^2+b*D2392</f>
        <v>6.7469199288799224</v>
      </c>
      <c r="E2393" s="1">
        <f t="shared" si="37"/>
        <v>-2.0869776785578535</v>
      </c>
      <c r="F2393" s="7">
        <f>SQRT(IRS_returns_2015_25[[#This Row],[  σ2]])</f>
        <v>2.5974833837543452</v>
      </c>
    </row>
    <row r="2394" spans="1:6" x14ac:dyDescent="0.3">
      <c r="A2394" s="2">
        <v>45580</v>
      </c>
      <c r="B2394" s="1">
        <v>1.6915396703608643</v>
      </c>
      <c r="C2394" s="1">
        <f>IRS_returns_2015_25[[#This Row],[IRSrtn]]-AVERAGE($B$2:$B$2600)</f>
        <v>1.6857631762942484</v>
      </c>
      <c r="D2394" s="1">
        <f>w+a*C2393^2+b*D2393</f>
        <v>6.5387280875111253</v>
      </c>
      <c r="E2394" s="1">
        <f t="shared" si="37"/>
        <v>-2.0751149321792259</v>
      </c>
      <c r="F2394" s="7">
        <f>SQRT(IRS_returns_2015_25[[#This Row],[  σ2]])</f>
        <v>2.5570936798465413</v>
      </c>
    </row>
    <row r="2395" spans="1:6" x14ac:dyDescent="0.3">
      <c r="A2395" s="2">
        <v>45581</v>
      </c>
      <c r="B2395" s="1">
        <v>-3.9923851725990556</v>
      </c>
      <c r="C2395" s="1">
        <f>IRS_returns_2015_25[[#This Row],[IRSrtn]]-AVERAGE($B$2:$B$2600)</f>
        <v>-3.9981616666656712</v>
      </c>
      <c r="D2395" s="1">
        <f>w+a*C2394^2+b*D2394</f>
        <v>6.3906083269926857</v>
      </c>
      <c r="E2395" s="1">
        <f t="shared" si="37"/>
        <v>-3.0970398894625388</v>
      </c>
      <c r="F2395" s="7">
        <f>SQRT(IRS_returns_2015_25[[#This Row],[  σ2]])</f>
        <v>2.5279652543088256</v>
      </c>
    </row>
    <row r="2396" spans="1:6" x14ac:dyDescent="0.3">
      <c r="A2396" s="2">
        <v>45582</v>
      </c>
      <c r="B2396" s="1">
        <v>2.1382393798201615</v>
      </c>
      <c r="C2396" s="1">
        <f>IRS_returns_2015_25[[#This Row],[IRSrtn]]-AVERAGE($B$2:$B$2600)</f>
        <v>2.1324628857535459</v>
      </c>
      <c r="D2396" s="1">
        <f>w+a*C2395^2+b*D2395</f>
        <v>9.4944130738956751</v>
      </c>
      <c r="E2396" s="1">
        <f t="shared" si="37"/>
        <v>-2.2837678681143929</v>
      </c>
      <c r="F2396" s="7">
        <f>SQRT(IRS_returns_2015_25[[#This Row],[  σ2]])</f>
        <v>3.0813005491019005</v>
      </c>
    </row>
    <row r="2397" spans="1:6" x14ac:dyDescent="0.3">
      <c r="A2397" s="2">
        <v>45583</v>
      </c>
      <c r="B2397" s="1">
        <v>1.2131085055204771</v>
      </c>
      <c r="C2397" s="1">
        <f>IRS_returns_2015_25[[#This Row],[IRSrtn]]-AVERAGE($B$2:$B$2600)</f>
        <v>1.2073320114538613</v>
      </c>
      <c r="D2397" s="1">
        <f>w+a*C2396^2+b*D2396</f>
        <v>8.7738263824695935</v>
      </c>
      <c r="E2397" s="1">
        <f t="shared" si="37"/>
        <v>-2.0878931640500111</v>
      </c>
      <c r="F2397" s="7">
        <f>SQRT(IRS_returns_2015_25[[#This Row],[  σ2]])</f>
        <v>2.9620645473165492</v>
      </c>
    </row>
    <row r="2398" spans="1:6" x14ac:dyDescent="0.3">
      <c r="A2398" s="2">
        <v>45586</v>
      </c>
      <c r="B2398" s="1">
        <v>-2.6885522437971154</v>
      </c>
      <c r="C2398" s="1">
        <f>IRS_returns_2015_25[[#This Row],[IRSrtn]]-AVERAGE($B$2:$B$2600)</f>
        <v>-2.6943287378637311</v>
      </c>
      <c r="D2398" s="1">
        <f>w+a*C2397^2+b*D2397</f>
        <v>7.5413035456012967</v>
      </c>
      <c r="E2398" s="1">
        <f t="shared" si="37"/>
        <v>-2.410445908162711</v>
      </c>
      <c r="F2398" s="7">
        <f>SQRT(IRS_returns_2015_25[[#This Row],[  σ2]])</f>
        <v>2.7461433949452267</v>
      </c>
    </row>
    <row r="2399" spans="1:6" x14ac:dyDescent="0.3">
      <c r="A2399" s="2">
        <v>45587</v>
      </c>
      <c r="B2399" s="1">
        <v>0.74044301223721298</v>
      </c>
      <c r="C2399" s="1">
        <f>IRS_returns_2015_25[[#This Row],[IRSrtn]]-AVERAGE($B$2:$B$2600)</f>
        <v>0.73466651817059714</v>
      </c>
      <c r="D2399" s="1">
        <f>w+a*C2398^2+b*D2398</f>
        <v>8.1343891869070362</v>
      </c>
      <c r="E2399" s="1">
        <f t="shared" si="37"/>
        <v>-2.0001649767244762</v>
      </c>
      <c r="F2399" s="7">
        <f>SQRT(IRS_returns_2015_25[[#This Row],[  σ2]])</f>
        <v>2.8520850595497738</v>
      </c>
    </row>
    <row r="2400" spans="1:6" x14ac:dyDescent="0.3">
      <c r="A2400" s="2">
        <v>45588</v>
      </c>
      <c r="B2400" s="1">
        <v>0.8163368381836289</v>
      </c>
      <c r="C2400" s="1">
        <f>IRS_returns_2015_25[[#This Row],[IRSrtn]]-AVERAGE($B$2:$B$2600)</f>
        <v>0.81056034411701305</v>
      </c>
      <c r="D2400" s="1">
        <f>w+a*C2399^2+b*D2399</f>
        <v>6.8919695710721385</v>
      </c>
      <c r="E2400" s="1">
        <f t="shared" si="37"/>
        <v>-1.9317817392028358</v>
      </c>
      <c r="F2400" s="7">
        <f>SQRT(IRS_returns_2015_25[[#This Row],[  σ2]])</f>
        <v>2.6252560962832061</v>
      </c>
    </row>
    <row r="2401" spans="1:6" x14ac:dyDescent="0.3">
      <c r="A2401" s="2">
        <v>45589</v>
      </c>
      <c r="B2401" s="1">
        <v>2.4097557498897526</v>
      </c>
      <c r="C2401" s="1">
        <f>IRS_returns_2015_25[[#This Row],[IRSrtn]]-AVERAGE($B$2:$B$2600)</f>
        <v>2.403979255823137</v>
      </c>
      <c r="D2401" s="1">
        <f>w+a*C2400^2+b*D2400</f>
        <v>6.0934436506808893</v>
      </c>
      <c r="E2401" s="1">
        <f t="shared" si="37"/>
        <v>-2.2967529622635849</v>
      </c>
      <c r="F2401" s="7">
        <f>SQRT(IRS_returns_2015_25[[#This Row],[  σ2]])</f>
        <v>2.4684901560834489</v>
      </c>
    </row>
    <row r="2402" spans="1:6" x14ac:dyDescent="0.3">
      <c r="A2402" s="2">
        <v>45590</v>
      </c>
      <c r="B2402" s="1">
        <v>4.7277259194370203</v>
      </c>
      <c r="C2402" s="1">
        <f>IRS_returns_2015_25[[#This Row],[IRSrtn]]-AVERAGE($B$2:$B$2600)</f>
        <v>4.7219494253704042</v>
      </c>
      <c r="D2402" s="1">
        <f>w+a*C2401^2+b*D2401</f>
        <v>6.8098520757028256</v>
      </c>
      <c r="E2402" s="1">
        <f t="shared" si="37"/>
        <v>-3.5152229033691329</v>
      </c>
      <c r="F2402" s="7">
        <f>SQRT(IRS_returns_2015_25[[#This Row],[  σ2]])</f>
        <v>2.6095693276291447</v>
      </c>
    </row>
    <row r="2403" spans="1:6" x14ac:dyDescent="0.3">
      <c r="A2403" s="2">
        <v>45593</v>
      </c>
      <c r="B2403" s="1">
        <v>-1.0654573185362448</v>
      </c>
      <c r="C2403" s="1">
        <f>IRS_returns_2015_25[[#This Row],[IRSrtn]]-AVERAGE($B$2:$B$2600)</f>
        <v>-1.0712338126028607</v>
      </c>
      <c r="D2403" s="1">
        <f>w+a*C2402^2+b*D2402</f>
        <v>11.311308514218405</v>
      </c>
      <c r="E2403" s="1">
        <f t="shared" si="37"/>
        <v>-2.1825654483797234</v>
      </c>
      <c r="F2403" s="7">
        <f>SQRT(IRS_returns_2015_25[[#This Row],[  σ2]])</f>
        <v>3.3632288822229159</v>
      </c>
    </row>
    <row r="2404" spans="1:6" x14ac:dyDescent="0.3">
      <c r="A2404" s="2">
        <v>45594</v>
      </c>
      <c r="B2404" s="1">
        <v>-1.231734718503219</v>
      </c>
      <c r="C2404" s="1">
        <f>IRS_returns_2015_25[[#This Row],[IRSrtn]]-AVERAGE($B$2:$B$2600)</f>
        <v>-1.2375112125698349</v>
      </c>
      <c r="D2404" s="1">
        <f>w+a*C2403^2+b*D2403</f>
        <v>9.1549898962975487</v>
      </c>
      <c r="E2404" s="1">
        <f t="shared" si="37"/>
        <v>-2.1097273763728444</v>
      </c>
      <c r="F2404" s="7">
        <f>SQRT(IRS_returns_2015_25[[#This Row],[  σ2]])</f>
        <v>3.0257213844466162</v>
      </c>
    </row>
    <row r="2405" spans="1:6" x14ac:dyDescent="0.3">
      <c r="A2405" s="2">
        <v>45595</v>
      </c>
      <c r="B2405" s="1">
        <v>-0.15503514588655065</v>
      </c>
      <c r="C2405" s="1">
        <f>IRS_returns_2015_25[[#This Row],[IRSrtn]]-AVERAGE($B$2:$B$2600)</f>
        <v>-0.16081163995316644</v>
      </c>
      <c r="D2405" s="1">
        <f>w+a*C2404^2+b*D2404</f>
        <v>7.813027779354405</v>
      </c>
      <c r="E2405" s="1">
        <f t="shared" si="37"/>
        <v>-1.9484897702189781</v>
      </c>
      <c r="F2405" s="7">
        <f>SQRT(IRS_returns_2015_25[[#This Row],[  σ2]])</f>
        <v>2.7951793823213573</v>
      </c>
    </row>
    <row r="2406" spans="1:6" x14ac:dyDescent="0.3">
      <c r="A2406" s="2">
        <v>45596</v>
      </c>
      <c r="B2406" s="1">
        <v>0.84975374687386029</v>
      </c>
      <c r="C2406" s="1">
        <f>IRS_returns_2015_25[[#This Row],[IRSrtn]]-AVERAGE($B$2:$B$2600)</f>
        <v>0.84397725280724445</v>
      </c>
      <c r="D2406" s="1">
        <f>w+a*C2405^2+b*D2405</f>
        <v>6.5528285056706936</v>
      </c>
      <c r="E2406" s="1">
        <f t="shared" si="37"/>
        <v>-1.9132373204400459</v>
      </c>
      <c r="F2406" s="7">
        <f>SQRT(IRS_returns_2015_25[[#This Row],[  σ2]])</f>
        <v>2.5598493130789346</v>
      </c>
    </row>
    <row r="2407" spans="1:6" x14ac:dyDescent="0.3">
      <c r="A2407" s="2">
        <v>45597</v>
      </c>
      <c r="B2407" s="1">
        <v>1.4509540899727114</v>
      </c>
      <c r="C2407" s="1">
        <f>IRS_returns_2015_25[[#This Row],[IRSrtn]]-AVERAGE($B$2:$B$2600)</f>
        <v>1.4451775959060955</v>
      </c>
      <c r="D2407" s="1">
        <f>w+a*C2406^2+b*D2406</f>
        <v>5.881143056906593</v>
      </c>
      <c r="E2407" s="1">
        <f t="shared" si="37"/>
        <v>-1.982376378612003</v>
      </c>
      <c r="F2407" s="7">
        <f>SQRT(IRS_returns_2015_25[[#This Row],[  σ2]])</f>
        <v>2.4251068135046325</v>
      </c>
    </row>
    <row r="2408" spans="1:6" x14ac:dyDescent="0.3">
      <c r="A2408" s="2">
        <v>45600</v>
      </c>
      <c r="B2408" s="1">
        <v>0.90567605572391408</v>
      </c>
      <c r="C2408" s="1">
        <f>IRS_returns_2015_25[[#This Row],[IRSrtn]]-AVERAGE($B$2:$B$2600)</f>
        <v>0.89989956165729823</v>
      </c>
      <c r="D2408" s="1">
        <f>w+a*C2407^2+b*D2407</f>
        <v>5.769311551106437</v>
      </c>
      <c r="E2408" s="1">
        <f t="shared" si="37"/>
        <v>-1.8653982620610321</v>
      </c>
      <c r="F2408" s="7">
        <f>SQRT(IRS_returns_2015_25[[#This Row],[  σ2]])</f>
        <v>2.4019391231058371</v>
      </c>
    </row>
    <row r="2409" spans="1:6" x14ac:dyDescent="0.3">
      <c r="A2409" s="2">
        <v>45601</v>
      </c>
      <c r="B2409" s="1">
        <v>1.934576581050429</v>
      </c>
      <c r="C2409" s="1">
        <f>IRS_returns_2015_25[[#This Row],[IRSrtn]]-AVERAGE($B$2:$B$2600)</f>
        <v>1.9288000869838131</v>
      </c>
      <c r="D2409" s="1">
        <f>w+a*C2408^2+b*D2408</f>
        <v>5.3833038447099586</v>
      </c>
      <c r="E2409" s="1">
        <f t="shared" si="37"/>
        <v>-2.1061274600558963</v>
      </c>
      <c r="F2409" s="7">
        <f>SQRT(IRS_returns_2015_25[[#This Row],[  σ2]])</f>
        <v>2.3201947859414647</v>
      </c>
    </row>
    <row r="2410" spans="1:6" x14ac:dyDescent="0.3">
      <c r="A2410" s="2">
        <v>45602</v>
      </c>
      <c r="B2410" s="1">
        <v>3.3336449823512027</v>
      </c>
      <c r="C2410" s="1">
        <f>IRS_returns_2015_25[[#This Row],[IRSrtn]]-AVERAGE($B$2:$B$2600)</f>
        <v>3.327868488284587</v>
      </c>
      <c r="D2410" s="1">
        <f>w+a*C2409^2+b*D2409</f>
        <v>5.8354626676500123</v>
      </c>
      <c r="E2410" s="1">
        <f t="shared" si="37"/>
        <v>-2.7498296729864649</v>
      </c>
      <c r="F2410" s="7">
        <f>SQRT(IRS_returns_2015_25[[#This Row],[  σ2]])</f>
        <v>2.4156702315610077</v>
      </c>
    </row>
    <row r="2411" spans="1:6" x14ac:dyDescent="0.3">
      <c r="A2411" s="2">
        <v>45603</v>
      </c>
      <c r="B2411" s="1">
        <v>4.0508305588723648</v>
      </c>
      <c r="C2411" s="1">
        <f>IRS_returns_2015_25[[#This Row],[IRSrtn]]-AVERAGE($B$2:$B$2600)</f>
        <v>4.0450540648057487</v>
      </c>
      <c r="D2411" s="1">
        <f>w+a*C2410^2+b*D2410</f>
        <v>7.9283796903797192</v>
      </c>
      <c r="E2411" s="1">
        <f t="shared" si="37"/>
        <v>-2.9860548291450644</v>
      </c>
      <c r="F2411" s="7">
        <f>SQRT(IRS_returns_2015_25[[#This Row],[  σ2]])</f>
        <v>2.8157378589598356</v>
      </c>
    </row>
    <row r="2412" spans="1:6" x14ac:dyDescent="0.3">
      <c r="A2412" s="2">
        <v>45604</v>
      </c>
      <c r="B2412" s="1">
        <v>-2.565131821082689</v>
      </c>
      <c r="C2412" s="1">
        <f>IRS_returns_2015_25[[#This Row],[IRSrtn]]-AVERAGE($B$2:$B$2600)</f>
        <v>-2.5709083151493046</v>
      </c>
      <c r="D2412" s="1">
        <f>w+a*C2411^2+b*D2411</f>
        <v>10.610029501122128</v>
      </c>
      <c r="E2412" s="1">
        <f t="shared" si="37"/>
        <v>-2.4113158355363371</v>
      </c>
      <c r="F2412" s="7">
        <f>SQRT(IRS_returns_2015_25[[#This Row],[  σ2]])</f>
        <v>3.2573040234405704</v>
      </c>
    </row>
    <row r="2413" spans="1:6" x14ac:dyDescent="0.3">
      <c r="A2413" s="2">
        <v>45607</v>
      </c>
      <c r="B2413" s="1">
        <v>-1.7712098475888283</v>
      </c>
      <c r="C2413" s="1">
        <f>IRS_returns_2015_25[[#This Row],[IRSrtn]]-AVERAGE($B$2:$B$2600)</f>
        <v>-1.7769863416554441</v>
      </c>
      <c r="D2413" s="1">
        <f>w+a*C2412^2+b*D2412</f>
        <v>10.018958518607077</v>
      </c>
      <c r="E2413" s="1">
        <f t="shared" si="37"/>
        <v>-2.2287633728069425</v>
      </c>
      <c r="F2413" s="7">
        <f>SQRT(IRS_returns_2015_25[[#This Row],[  σ2]])</f>
        <v>3.1652738457528562</v>
      </c>
    </row>
    <row r="2414" spans="1:6" x14ac:dyDescent="0.3">
      <c r="A2414" s="2">
        <v>45608</v>
      </c>
      <c r="B2414" s="1">
        <v>2.1217209281316762</v>
      </c>
      <c r="C2414" s="1">
        <f>IRS_returns_2015_25[[#This Row],[IRSrtn]]-AVERAGE($B$2:$B$2600)</f>
        <v>2.1159444340650606</v>
      </c>
      <c r="D2414" s="1">
        <f>w+a*C2413^2+b*D2413</f>
        <v>8.7844207042400484</v>
      </c>
      <c r="E2414" s="1">
        <f t="shared" si="37"/>
        <v>-2.2602671303450057</v>
      </c>
      <c r="F2414" s="7">
        <f>SQRT(IRS_returns_2015_25[[#This Row],[  σ2]])</f>
        <v>2.9638523418416187</v>
      </c>
    </row>
    <row r="2415" spans="1:6" x14ac:dyDescent="0.3">
      <c r="A2415" s="2">
        <v>45609</v>
      </c>
      <c r="B2415" s="1">
        <v>-0.2101563248647853</v>
      </c>
      <c r="C2415" s="1">
        <f>IRS_returns_2015_25[[#This Row],[IRSrtn]]-AVERAGE($B$2:$B$2600)</f>
        <v>-0.21593281893140109</v>
      </c>
      <c r="D2415" s="1">
        <f>w+a*C2414^2+b*D2414</f>
        <v>8.2840739587752417</v>
      </c>
      <c r="E2415" s="1">
        <f t="shared" si="37"/>
        <v>-1.9789202232511065</v>
      </c>
      <c r="F2415" s="7">
        <f>SQRT(IRS_returns_2015_25[[#This Row],[  σ2]])</f>
        <v>2.8782067262056148</v>
      </c>
    </row>
    <row r="2416" spans="1:6" x14ac:dyDescent="0.3">
      <c r="A2416" s="2">
        <v>45610</v>
      </c>
      <c r="B2416" s="1">
        <v>4.9924873855934582</v>
      </c>
      <c r="C2416" s="1">
        <f>IRS_returns_2015_25[[#This Row],[IRSrtn]]-AVERAGE($B$2:$B$2600)</f>
        <v>4.9867108915268421</v>
      </c>
      <c r="D2416" s="1">
        <f>w+a*C2415^2+b*D2415</f>
        <v>6.8714715970406592</v>
      </c>
      <c r="E2416" s="1">
        <f t="shared" si="37"/>
        <v>-3.6920861880354678</v>
      </c>
      <c r="F2416" s="7">
        <f>SQRT(IRS_returns_2015_25[[#This Row],[  σ2]])</f>
        <v>2.6213491940297957</v>
      </c>
    </row>
    <row r="2417" spans="1:6" x14ac:dyDescent="0.3">
      <c r="A2417" s="2">
        <v>45611</v>
      </c>
      <c r="B2417" s="1">
        <v>-1.817614873395712</v>
      </c>
      <c r="C2417" s="1">
        <f>IRS_returns_2015_25[[#This Row],[IRSrtn]]-AVERAGE($B$2:$B$2600)</f>
        <v>-1.8233913674623279</v>
      </c>
      <c r="D2417" s="1">
        <f>w+a*C2416^2+b*D2416</f>
        <v>11.9786263074599</v>
      </c>
      <c r="E2417" s="1">
        <f t="shared" si="37"/>
        <v>-2.2992791812231368</v>
      </c>
      <c r="F2417" s="7">
        <f>SQRT(IRS_returns_2015_25[[#This Row],[  σ2]])</f>
        <v>3.4610152134106404</v>
      </c>
    </row>
    <row r="2418" spans="1:6" x14ac:dyDescent="0.3">
      <c r="A2418" s="2">
        <v>45614</v>
      </c>
      <c r="B2418" s="1">
        <v>6.6362550058088665</v>
      </c>
      <c r="C2418" s="1">
        <f>IRS_returns_2015_25[[#This Row],[IRSrtn]]-AVERAGE($B$2:$B$2600)</f>
        <v>6.6304785117422504</v>
      </c>
      <c r="D2418" s="1">
        <f>w+a*C2417^2+b*D2417</f>
        <v>10.129712240140607</v>
      </c>
      <c r="E2418" s="1">
        <f t="shared" si="37"/>
        <v>-4.246689509061305</v>
      </c>
      <c r="F2418" s="7">
        <f>SQRT(IRS_returns_2015_25[[#This Row],[  σ2]])</f>
        <v>3.1827208863079099</v>
      </c>
    </row>
    <row r="2419" spans="1:6" x14ac:dyDescent="0.3">
      <c r="A2419" s="2">
        <v>45615</v>
      </c>
      <c r="B2419" s="1">
        <v>0.63372016095928352</v>
      </c>
      <c r="C2419" s="1">
        <f>IRS_returns_2015_25[[#This Row],[IRSrtn]]-AVERAGE($B$2:$B$2600)</f>
        <v>0.62794366689266767</v>
      </c>
      <c r="D2419" s="1">
        <f>w+a*C2418^2+b*D2418</f>
        <v>18.800417743832735</v>
      </c>
      <c r="E2419" s="1">
        <f t="shared" si="37"/>
        <v>-2.3963648996750768</v>
      </c>
      <c r="F2419" s="7">
        <f>SQRT(IRS_returns_2015_25[[#This Row],[  σ2]])</f>
        <v>4.3359448501834912</v>
      </c>
    </row>
    <row r="2420" spans="1:6" x14ac:dyDescent="0.3">
      <c r="A2420" s="2">
        <v>45616</v>
      </c>
      <c r="B2420" s="1">
        <v>3.2932473656329897</v>
      </c>
      <c r="C2420" s="1">
        <f>IRS_returns_2015_25[[#This Row],[IRSrtn]]-AVERAGE($B$2:$B$2600)</f>
        <v>3.2874708715663741</v>
      </c>
      <c r="D2420" s="1">
        <f>w+a*C2419^2+b*D2419</f>
        <v>13.957091096235644</v>
      </c>
      <c r="E2420" s="1">
        <f t="shared" si="37"/>
        <v>-2.6240999053188325</v>
      </c>
      <c r="F2420" s="7">
        <f>SQRT(IRS_returns_2015_25[[#This Row],[  σ2]])</f>
        <v>3.735919043051608</v>
      </c>
    </row>
    <row r="2421" spans="1:6" x14ac:dyDescent="0.3">
      <c r="A2421" s="2">
        <v>45617</v>
      </c>
      <c r="B2421" s="1">
        <v>-0.42879012165277786</v>
      </c>
      <c r="C2421" s="1">
        <f>IRS_returns_2015_25[[#This Row],[IRSrtn]]-AVERAGE($B$2:$B$2600)</f>
        <v>-0.43456661571939365</v>
      </c>
      <c r="D2421" s="1">
        <f>w+a*C2420^2+b*D2420</f>
        <v>13.269969549553204</v>
      </c>
      <c r="E2421" s="1">
        <f t="shared" si="37"/>
        <v>-2.2188059308644381</v>
      </c>
      <c r="F2421" s="7">
        <f>SQRT(IRS_returns_2015_25[[#This Row],[  σ2]])</f>
        <v>3.6427969404776332</v>
      </c>
    </row>
    <row r="2422" spans="1:6" x14ac:dyDescent="0.3">
      <c r="A2422" s="2">
        <v>45618</v>
      </c>
      <c r="B2422" s="1">
        <v>-3.117462299992324</v>
      </c>
      <c r="C2422" s="1">
        <f>IRS_returns_2015_25[[#This Row],[IRSrtn]]-AVERAGE($B$2:$B$2600)</f>
        <v>-3.1232387940589397</v>
      </c>
      <c r="D2422" s="1">
        <f>w+a*C2421^2+b*D2421</f>
        <v>10.225317775745035</v>
      </c>
      <c r="E2422" s="1">
        <f t="shared" si="37"/>
        <v>-2.5583556598560131</v>
      </c>
      <c r="F2422" s="7">
        <f>SQRT(IRS_returns_2015_25[[#This Row],[  σ2]])</f>
        <v>3.1977050795445527</v>
      </c>
    </row>
    <row r="2423" spans="1:6" x14ac:dyDescent="0.3">
      <c r="A2423" s="2">
        <v>45621</v>
      </c>
      <c r="B2423" s="1">
        <v>8.048002313893976</v>
      </c>
      <c r="C2423" s="1">
        <f>IRS_returns_2015_25[[#This Row],[IRSrtn]]-AVERAGE($B$2:$B$2600)</f>
        <v>8.04222581982736</v>
      </c>
      <c r="D2423" s="1">
        <f>w+a*C2422^2+b*D2422</f>
        <v>10.529140442026186</v>
      </c>
      <c r="E2423" s="1">
        <f t="shared" si="37"/>
        <v>-5.1673640236513396</v>
      </c>
      <c r="F2423" s="7">
        <f>SQRT(IRS_returns_2015_25[[#This Row],[  σ2]])</f>
        <v>3.2448637016100053</v>
      </c>
    </row>
    <row r="2424" spans="1:6" x14ac:dyDescent="0.3">
      <c r="A2424" s="2">
        <v>45622</v>
      </c>
      <c r="B2424" s="1">
        <v>4.5184716966272465</v>
      </c>
      <c r="C2424" s="1">
        <f>IRS_returns_2015_25[[#This Row],[IRSrtn]]-AVERAGE($B$2:$B$2600)</f>
        <v>4.5126952025606304</v>
      </c>
      <c r="D2424" s="1">
        <f>w+a*C2423^2+b*D2423</f>
        <v>24.113321836229986</v>
      </c>
      <c r="E2424" s="1">
        <f t="shared" si="37"/>
        <v>-2.9325856455612698</v>
      </c>
      <c r="F2424" s="7">
        <f>SQRT(IRS_returns_2015_25[[#This Row],[  σ2]])</f>
        <v>4.9105317264253561</v>
      </c>
    </row>
    <row r="2425" spans="1:6" x14ac:dyDescent="0.3">
      <c r="A2425" s="2">
        <v>45623</v>
      </c>
      <c r="B2425" s="1">
        <v>0.65457305037934788</v>
      </c>
      <c r="C2425" s="1">
        <f>IRS_returns_2015_25[[#This Row],[IRSrtn]]-AVERAGE($B$2:$B$2600)</f>
        <v>0.64879655631273203</v>
      </c>
      <c r="D2425" s="1">
        <f>w+a*C2424^2+b*D2424</f>
        <v>22.359691549251934</v>
      </c>
      <c r="E2425" s="1">
        <f t="shared" si="37"/>
        <v>-2.4819813127463921</v>
      </c>
      <c r="F2425" s="7">
        <f>SQRT(IRS_returns_2015_25[[#This Row],[  σ2]])</f>
        <v>4.7286035517107941</v>
      </c>
    </row>
    <row r="2426" spans="1:6" x14ac:dyDescent="0.3">
      <c r="A2426" s="2">
        <v>45625</v>
      </c>
      <c r="B2426" s="1">
        <v>1.588727456913297</v>
      </c>
      <c r="C2426" s="1">
        <f>IRS_returns_2015_25[[#This Row],[IRSrtn]]-AVERAGE($B$2:$B$2600)</f>
        <v>1.5829509628466811</v>
      </c>
      <c r="D2426" s="1">
        <f>w+a*C2425^2+b*D2425</f>
        <v>16.333046019673784</v>
      </c>
      <c r="E2426" s="1">
        <f t="shared" si="37"/>
        <v>-2.3922412270934879</v>
      </c>
      <c r="F2426" s="7">
        <f>SQRT(IRS_returns_2015_25[[#This Row],[  σ2]])</f>
        <v>4.0414163383241997</v>
      </c>
    </row>
    <row r="2427" spans="1:6" x14ac:dyDescent="0.3">
      <c r="A2427" s="2">
        <v>45628</v>
      </c>
      <c r="B2427" s="1">
        <v>-0.70298434805091681</v>
      </c>
      <c r="C2427" s="1">
        <f>IRS_returns_2015_25[[#This Row],[IRSrtn]]-AVERAGE($B$2:$B$2600)</f>
        <v>-0.70876084211753265</v>
      </c>
      <c r="D2427" s="1">
        <f>w+a*C2426^2+b*D2426</f>
        <v>12.828967618527273</v>
      </c>
      <c r="E2427" s="1">
        <f t="shared" si="37"/>
        <v>-2.2143698116498709</v>
      </c>
      <c r="F2427" s="7">
        <f>SQRT(IRS_returns_2015_25[[#This Row],[  σ2]])</f>
        <v>3.581754823899491</v>
      </c>
    </row>
    <row r="2428" spans="1:6" x14ac:dyDescent="0.3">
      <c r="A2428" s="2">
        <v>45629</v>
      </c>
      <c r="B2428" s="1">
        <v>-0.35335410258570121</v>
      </c>
      <c r="C2428" s="1">
        <f>IRS_returns_2015_25[[#This Row],[IRSrtn]]-AVERAGE($B$2:$B$2600)</f>
        <v>-0.359130596652317</v>
      </c>
      <c r="D2428" s="1">
        <f>w+a*C2427^2+b*D2427</f>
        <v>10.008118108560843</v>
      </c>
      <c r="E2428" s="1">
        <f t="shared" si="37"/>
        <v>-2.0770803288221882</v>
      </c>
      <c r="F2428" s="7">
        <f>SQRT(IRS_returns_2015_25[[#This Row],[  σ2]])</f>
        <v>3.1635609854341111</v>
      </c>
    </row>
    <row r="2429" spans="1:6" x14ac:dyDescent="0.3">
      <c r="A2429" s="2">
        <v>45630</v>
      </c>
      <c r="B2429" s="1">
        <v>-0.41384393874444036</v>
      </c>
      <c r="C2429" s="1">
        <f>IRS_returns_2015_25[[#This Row],[IRSrtn]]-AVERAGE($B$2:$B$2600)</f>
        <v>-0.41962043281105615</v>
      </c>
      <c r="D2429" s="1">
        <f>w+a*C2428^2+b*D2428</f>
        <v>8.039260625257036</v>
      </c>
      <c r="E2429" s="1">
        <f t="shared" si="37"/>
        <v>-1.9720584288532519</v>
      </c>
      <c r="F2429" s="7">
        <f>SQRT(IRS_returns_2015_25[[#This Row],[  σ2]])</f>
        <v>2.8353589940705985</v>
      </c>
    </row>
    <row r="2430" spans="1:6" x14ac:dyDescent="0.3">
      <c r="A2430" s="2">
        <v>45631</v>
      </c>
      <c r="B2430" s="1">
        <v>3.3210252919702477</v>
      </c>
      <c r="C2430" s="1">
        <f>IRS_returns_2015_25[[#This Row],[IRSrtn]]-AVERAGE($B$2:$B$2600)</f>
        <v>3.315248797903632</v>
      </c>
      <c r="D2430" s="1">
        <f>w+a*C2429^2+b*D2429</f>
        <v>6.7400367857063603</v>
      </c>
      <c r="E2430" s="1">
        <f t="shared" si="37"/>
        <v>-2.6883135543997478</v>
      </c>
      <c r="F2430" s="7">
        <f>SQRT(IRS_returns_2015_25[[#This Row],[  σ2]])</f>
        <v>2.5961580818021002</v>
      </c>
    </row>
    <row r="2431" spans="1:6" x14ac:dyDescent="0.3">
      <c r="A2431" s="2">
        <v>45632</v>
      </c>
      <c r="B2431" s="1">
        <v>-2.026120655310848</v>
      </c>
      <c r="C2431" s="1">
        <f>IRS_returns_2015_25[[#This Row],[IRSrtn]]-AVERAGE($B$2:$B$2600)</f>
        <v>-2.0318971493774636</v>
      </c>
      <c r="D2431" s="1">
        <f>w+a*C2430^2+b*D2430</f>
        <v>8.5101436441959493</v>
      </c>
      <c r="E2431" s="1">
        <f t="shared" si="37"/>
        <v>-2.2321376467518457</v>
      </c>
      <c r="F2431" s="7">
        <f>SQRT(IRS_returns_2015_25[[#This Row],[  σ2]])</f>
        <v>2.9172150493571687</v>
      </c>
    </row>
    <row r="2432" spans="1:6" x14ac:dyDescent="0.3">
      <c r="A2432" s="2">
        <v>45635</v>
      </c>
      <c r="B2432" s="1">
        <v>1.5666142751333378</v>
      </c>
      <c r="C2432" s="1">
        <f>IRS_returns_2015_25[[#This Row],[IRSrtn]]-AVERAGE($B$2:$B$2600)</f>
        <v>1.560837781066722</v>
      </c>
      <c r="D2432" s="1">
        <f>w+a*C2431^2+b*D2431</f>
        <v>8.0165432149611782</v>
      </c>
      <c r="E2432" s="1">
        <f t="shared" si="37"/>
        <v>-2.1116413825471572</v>
      </c>
      <c r="F2432" s="7">
        <f>SQRT(IRS_returns_2015_25[[#This Row],[  σ2]])</f>
        <v>2.8313500693063687</v>
      </c>
    </row>
    <row r="2433" spans="1:6" x14ac:dyDescent="0.3">
      <c r="A2433" s="2">
        <v>45636</v>
      </c>
      <c r="B2433" s="1">
        <v>-5.0778356772857691</v>
      </c>
      <c r="C2433" s="1">
        <f>IRS_returns_2015_25[[#This Row],[IRSrtn]]-AVERAGE($B$2:$B$2600)</f>
        <v>-5.0836121713523852</v>
      </c>
      <c r="D2433" s="1">
        <f>w+a*C2432^2+b*D2432</f>
        <v>7.2755943748566638</v>
      </c>
      <c r="E2433" s="1">
        <f t="shared" si="37"/>
        <v>-3.6872151354962126</v>
      </c>
      <c r="F2433" s="7">
        <f>SQRT(IRS_returns_2015_25[[#This Row],[  σ2]])</f>
        <v>2.6973309724349113</v>
      </c>
    </row>
    <row r="2434" spans="1:6" x14ac:dyDescent="0.3">
      <c r="A2434" s="2">
        <v>45637</v>
      </c>
      <c r="B2434" s="1">
        <v>2.9247072260955242</v>
      </c>
      <c r="C2434" s="1">
        <f>IRS_returns_2015_25[[#This Row],[IRSrtn]]-AVERAGE($B$2:$B$2600)</f>
        <v>2.9189307320289086</v>
      </c>
      <c r="D2434" s="1">
        <f>w+a*C2433^2+b*D2433</f>
        <v>12.485417664814074</v>
      </c>
      <c r="E2434" s="1">
        <f t="shared" ref="E2434:E2497" si="38">-0.5*(LN(2*PI())+LN(D2434)+C2434^2/D2434)</f>
        <v>-2.5224235306389113</v>
      </c>
      <c r="F2434" s="7">
        <f>SQRT(IRS_returns_2015_25[[#This Row],[  σ2]])</f>
        <v>3.5334710505130893</v>
      </c>
    </row>
    <row r="2435" spans="1:6" x14ac:dyDescent="0.3">
      <c r="A2435" s="2">
        <v>45638</v>
      </c>
      <c r="B2435" s="1">
        <v>-2.2606504133524385</v>
      </c>
      <c r="C2435" s="1">
        <f>IRS_returns_2015_25[[#This Row],[IRSrtn]]-AVERAGE($B$2:$B$2600)</f>
        <v>-2.2664269074190542</v>
      </c>
      <c r="D2435" s="1">
        <f>w+a*C2434^2+b*D2434</f>
        <v>11.732949856903986</v>
      </c>
      <c r="E2435" s="1">
        <f t="shared" si="38"/>
        <v>-2.3690393220818886</v>
      </c>
      <c r="F2435" s="7">
        <f>SQRT(IRS_returns_2015_25[[#This Row],[  σ2]])</f>
        <v>3.4253393783542072</v>
      </c>
    </row>
    <row r="2436" spans="1:6" x14ac:dyDescent="0.3">
      <c r="A2436" s="2">
        <v>45639</v>
      </c>
      <c r="B2436" s="1">
        <v>-1.0281316332013901</v>
      </c>
      <c r="C2436" s="1">
        <f>IRS_returns_2015_25[[#This Row],[IRSrtn]]-AVERAGE($B$2:$B$2600)</f>
        <v>-1.033908127268006</v>
      </c>
      <c r="D2436" s="1">
        <f>w+a*C2435^2+b*D2435</f>
        <v>10.407638827578614</v>
      </c>
      <c r="E2436" s="1">
        <f t="shared" si="38"/>
        <v>-2.141563429408976</v>
      </c>
      <c r="F2436" s="7">
        <f>SQRT(IRS_returns_2015_25[[#This Row],[  σ2]])</f>
        <v>3.226087231861317</v>
      </c>
    </row>
    <row r="2437" spans="1:6" x14ac:dyDescent="0.3">
      <c r="A2437" s="2">
        <v>45642</v>
      </c>
      <c r="B2437" s="1">
        <v>4.3420410728864489</v>
      </c>
      <c r="C2437" s="1">
        <f>IRS_returns_2015_25[[#This Row],[IRSrtn]]-AVERAGE($B$2:$B$2600)</f>
        <v>4.3362645788198328</v>
      </c>
      <c r="D2437" s="1">
        <f>w+a*C2436^2+b*D2436</f>
        <v>8.5342568910871162</v>
      </c>
      <c r="E2437" s="1">
        <f t="shared" si="38"/>
        <v>-3.0926128908079598</v>
      </c>
      <c r="F2437" s="7">
        <f>SQRT(IRS_returns_2015_25[[#This Row],[  σ2]])</f>
        <v>2.9213450482760703</v>
      </c>
    </row>
    <row r="2438" spans="1:6" x14ac:dyDescent="0.3">
      <c r="A2438" s="2">
        <v>45643</v>
      </c>
      <c r="B2438" s="1">
        <v>-3.5548789213958099</v>
      </c>
      <c r="C2438" s="1">
        <f>IRS_returns_2015_25[[#This Row],[IRSrtn]]-AVERAGE($B$2:$B$2600)</f>
        <v>-3.5606554154624255</v>
      </c>
      <c r="D2438" s="1">
        <f>w+a*C2437^2+b*D2437</f>
        <v>11.60805491951947</v>
      </c>
      <c r="E2438" s="1">
        <f t="shared" si="38"/>
        <v>-2.6908859772547329</v>
      </c>
      <c r="F2438" s="7">
        <f>SQRT(IRS_returns_2015_25[[#This Row],[  σ2]])</f>
        <v>3.4070595708791869</v>
      </c>
    </row>
    <row r="2439" spans="1:6" x14ac:dyDescent="0.3">
      <c r="A2439" s="2">
        <v>45644</v>
      </c>
      <c r="B2439" s="1">
        <v>-10.014694400337421</v>
      </c>
      <c r="C2439" s="1">
        <f>IRS_returns_2015_25[[#This Row],[IRSrtn]]-AVERAGE($B$2:$B$2600)</f>
        <v>-10.020470894404037</v>
      </c>
      <c r="D2439" s="1">
        <f>w+a*C2438^2+b*D2438</f>
        <v>12.16199744363027</v>
      </c>
      <c r="E2439" s="1">
        <f t="shared" si="38"/>
        <v>-6.2961124676569886</v>
      </c>
      <c r="F2439" s="7">
        <f>SQRT(IRS_returns_2015_25[[#This Row],[  σ2]])</f>
        <v>3.4874055461948026</v>
      </c>
    </row>
    <row r="2440" spans="1:6" x14ac:dyDescent="0.3">
      <c r="A2440" s="2">
        <v>45645</v>
      </c>
      <c r="B2440" s="1">
        <v>0.26631148831159912</v>
      </c>
      <c r="C2440" s="1">
        <f>IRS_returns_2015_25[[#This Row],[IRSrtn]]-AVERAGE($B$2:$B$2600)</f>
        <v>0.26053499424498333</v>
      </c>
      <c r="D2440" s="1">
        <f>w+a*C2439^2+b*D2439</f>
        <v>33.906542972564367</v>
      </c>
      <c r="E2440" s="1">
        <f t="shared" si="38"/>
        <v>-2.6817434994817062</v>
      </c>
      <c r="F2440" s="7">
        <f>SQRT(IRS_returns_2015_25[[#This Row],[  σ2]])</f>
        <v>5.8229325062690158</v>
      </c>
    </row>
    <row r="2441" spans="1:6" x14ac:dyDescent="0.3">
      <c r="A2441" s="2">
        <v>45646</v>
      </c>
      <c r="B2441" s="1">
        <v>2.1053389382458043</v>
      </c>
      <c r="C2441" s="1">
        <f>IRS_returns_2015_25[[#This Row],[IRSrtn]]-AVERAGE($B$2:$B$2600)</f>
        <v>2.0995624441791887</v>
      </c>
      <c r="D2441" s="1">
        <f>w+a*C2440^2+b*D2440</f>
        <v>23.93395537941246</v>
      </c>
      <c r="E2441" s="1">
        <f t="shared" si="38"/>
        <v>-2.5986777590645458</v>
      </c>
      <c r="F2441" s="7">
        <f>SQRT(IRS_returns_2015_25[[#This Row],[  σ2]])</f>
        <v>4.892234190981914</v>
      </c>
    </row>
    <row r="2442" spans="1:6" x14ac:dyDescent="0.3">
      <c r="A2442" s="2">
        <v>45649</v>
      </c>
      <c r="B2442" s="1">
        <v>0.64893402589545346</v>
      </c>
      <c r="C2442" s="1">
        <f>IRS_returns_2015_25[[#This Row],[IRSrtn]]-AVERAGE($B$2:$B$2600)</f>
        <v>0.64315753182883761</v>
      </c>
      <c r="D2442" s="1">
        <f>w+a*C2441^2+b*D2441</f>
        <v>18.352546330097841</v>
      </c>
      <c r="E2442" s="1">
        <f t="shared" si="38"/>
        <v>-2.3850922951678468</v>
      </c>
      <c r="F2442" s="7">
        <f>SQRT(IRS_returns_2015_25[[#This Row],[  σ2]])</f>
        <v>4.2839872000389825</v>
      </c>
    </row>
    <row r="2443" spans="1:6" x14ac:dyDescent="0.3">
      <c r="A2443" s="2">
        <v>45650</v>
      </c>
      <c r="B2443" s="1">
        <v>-0.38885609779168995</v>
      </c>
      <c r="C2443" s="1">
        <f>IRS_returns_2015_25[[#This Row],[IRSrtn]]-AVERAGE($B$2:$B$2600)</f>
        <v>-0.39463259185830574</v>
      </c>
      <c r="D2443" s="1">
        <f>w+a*C2442^2+b*D2442</f>
        <v>13.663647398111646</v>
      </c>
      <c r="E2443" s="1">
        <f t="shared" si="38"/>
        <v>-2.2320068256368928</v>
      </c>
      <c r="F2443" s="7">
        <f>SQRT(IRS_returns_2015_25[[#This Row],[  σ2]])</f>
        <v>3.696437122163942</v>
      </c>
    </row>
    <row r="2444" spans="1:6" x14ac:dyDescent="0.3">
      <c r="A2444" s="2">
        <v>45652</v>
      </c>
      <c r="B2444" s="1">
        <v>1.2903454059856934</v>
      </c>
      <c r="C2444" s="1">
        <f>IRS_returns_2015_25[[#This Row],[IRSrtn]]-AVERAGE($B$2:$B$2600)</f>
        <v>1.2845689119190775</v>
      </c>
      <c r="D2444" s="1">
        <f>w+a*C2443^2+b*D2443</f>
        <v>10.479327660824616</v>
      </c>
      <c r="E2444" s="1">
        <f t="shared" si="38"/>
        <v>-2.1723728153023574</v>
      </c>
      <c r="F2444" s="7">
        <f>SQRT(IRS_returns_2015_25[[#This Row],[  σ2]])</f>
        <v>3.2371789664497412</v>
      </c>
    </row>
    <row r="2445" spans="1:6" x14ac:dyDescent="0.3">
      <c r="A2445" s="2">
        <v>45653</v>
      </c>
      <c r="B2445" s="1">
        <v>-1.0309421289296239</v>
      </c>
      <c r="C2445" s="1">
        <f>IRS_returns_2015_25[[#This Row],[IRSrtn]]-AVERAGE($B$2:$B$2600)</f>
        <v>-1.0367186229962397</v>
      </c>
      <c r="D2445" s="1">
        <f>w+a*C2444^2+b*D2444</f>
        <v>8.7235787190176204</v>
      </c>
      <c r="E2445" s="1">
        <f t="shared" si="38"/>
        <v>-2.0635556391654371</v>
      </c>
      <c r="F2445" s="7">
        <f>SQRT(IRS_returns_2015_25[[#This Row],[  σ2]])</f>
        <v>2.953570503478395</v>
      </c>
    </row>
    <row r="2446" spans="1:6" x14ac:dyDescent="0.3">
      <c r="A2446" s="2">
        <v>45656</v>
      </c>
      <c r="B2446" s="1">
        <v>-2.4255525031528169</v>
      </c>
      <c r="C2446" s="1">
        <f>IRS_returns_2015_25[[#This Row],[IRSrtn]]-AVERAGE($B$2:$B$2600)</f>
        <v>-2.4313289972194325</v>
      </c>
      <c r="D2446" s="1">
        <f>w+a*C2445^2+b*D2445</f>
        <v>7.4145678473941494</v>
      </c>
      <c r="E2446" s="1">
        <f t="shared" si="38"/>
        <v>-2.3192933855855049</v>
      </c>
      <c r="F2446" s="7">
        <f>SQRT(IRS_returns_2015_25[[#This Row],[  σ2]])</f>
        <v>2.7229704088355695</v>
      </c>
    </row>
    <row r="2447" spans="1:6" x14ac:dyDescent="0.3">
      <c r="A2447" s="2">
        <v>45657</v>
      </c>
      <c r="B2447" s="1">
        <v>-0.93333603963148271</v>
      </c>
      <c r="C2447" s="1">
        <f>IRS_returns_2015_25[[#This Row],[IRSrtn]]-AVERAGE($B$2:$B$2600)</f>
        <v>-0.93911253369809855</v>
      </c>
      <c r="D2447" s="1">
        <f>w+a*C2446^2+b*D2446</f>
        <v>7.7215678586897143</v>
      </c>
      <c r="E2447" s="1">
        <f t="shared" si="38"/>
        <v>-1.9980556229130788</v>
      </c>
      <c r="F2447" s="7">
        <f>SQRT(IRS_returns_2015_25[[#This Row],[  σ2]])</f>
        <v>2.778770925911259</v>
      </c>
    </row>
    <row r="2448" spans="1:6" x14ac:dyDescent="0.3">
      <c r="A2448" s="2">
        <v>45659</v>
      </c>
      <c r="B2448" s="1">
        <v>6.4203553217030862</v>
      </c>
      <c r="C2448" s="1">
        <f>IRS_returns_2015_25[[#This Row],[IRSrtn]]-AVERAGE($B$2:$B$2600)</f>
        <v>6.4145788276364701</v>
      </c>
      <c r="D2448" s="1">
        <f>w+a*C2447^2+b*D2447</f>
        <v>6.7005238447773028</v>
      </c>
      <c r="E2448" s="1">
        <f t="shared" si="38"/>
        <v>-4.9404496482779106</v>
      </c>
      <c r="F2448" s="7">
        <f>SQRT(IRS_returns_2015_25[[#This Row],[  σ2]])</f>
        <v>2.5885370085778767</v>
      </c>
    </row>
    <row r="2449" spans="1:6" x14ac:dyDescent="0.3">
      <c r="A2449" s="2">
        <v>45660</v>
      </c>
      <c r="B2449" s="1">
        <v>0.62617850061537084</v>
      </c>
      <c r="C2449" s="1">
        <f>IRS_returns_2015_25[[#This Row],[IRSrtn]]-AVERAGE($B$2:$B$2600)</f>
        <v>0.62040200654875499</v>
      </c>
      <c r="D2449" s="1">
        <f>w+a*C2448^2+b*D2448</f>
        <v>15.831328718390253</v>
      </c>
      <c r="E2449" s="1">
        <f t="shared" si="38"/>
        <v>-2.3120901700228185</v>
      </c>
      <c r="F2449" s="7">
        <f>SQRT(IRS_returns_2015_25[[#This Row],[  σ2]])</f>
        <v>3.9788602285566972</v>
      </c>
    </row>
    <row r="2450" spans="1:6" x14ac:dyDescent="0.3">
      <c r="A2450" s="2">
        <v>45663</v>
      </c>
      <c r="B2450" s="1">
        <v>0.49813254694650588</v>
      </c>
      <c r="C2450" s="1">
        <f>IRS_returns_2015_25[[#This Row],[IRSrtn]]-AVERAGE($B$2:$B$2600)</f>
        <v>0.49235605287989009</v>
      </c>
      <c r="D2450" s="1">
        <f>w+a*C2449^2+b*D2449</f>
        <v>11.978225043770225</v>
      </c>
      <c r="E2450" s="1">
        <f t="shared" si="38"/>
        <v>-2.1706027092025955</v>
      </c>
      <c r="F2450" s="7">
        <f>SQRT(IRS_returns_2015_25[[#This Row],[  σ2]])</f>
        <v>3.4609572438517966</v>
      </c>
    </row>
    <row r="2451" spans="1:6" x14ac:dyDescent="0.3">
      <c r="A2451" s="2">
        <v>45664</v>
      </c>
      <c r="B2451" s="1">
        <v>-5.4239792630768502</v>
      </c>
      <c r="C2451" s="1">
        <f>IRS_returns_2015_25[[#This Row],[IRSrtn]]-AVERAGE($B$2:$B$2600)</f>
        <v>-5.4297557571434663</v>
      </c>
      <c r="D2451" s="1">
        <f>w+a*C2450^2+b*D2450</f>
        <v>9.3784332950876124</v>
      </c>
      <c r="E2451" s="1">
        <f t="shared" si="38"/>
        <v>-3.6099558067297224</v>
      </c>
      <c r="F2451" s="7">
        <f>SQRT(IRS_returns_2015_25[[#This Row],[  σ2]])</f>
        <v>3.0624227818979555</v>
      </c>
    </row>
    <row r="2452" spans="1:6" x14ac:dyDescent="0.3">
      <c r="A2452" s="2">
        <v>45665</v>
      </c>
      <c r="B2452" s="1">
        <v>1.6905488892076104</v>
      </c>
      <c r="C2452" s="1">
        <f>IRS_returns_2015_25[[#This Row],[IRSrtn]]-AVERAGE($B$2:$B$2600)</f>
        <v>1.6847723951409945</v>
      </c>
      <c r="D2452" s="1">
        <f>w+a*C2451^2+b*D2451</f>
        <v>14.771987049822705</v>
      </c>
      <c r="E2452" s="1">
        <f t="shared" si="38"/>
        <v>-2.3613805444144558</v>
      </c>
      <c r="F2452" s="7">
        <f>SQRT(IRS_returns_2015_25[[#This Row],[  σ2]])</f>
        <v>3.8434342780672996</v>
      </c>
    </row>
    <row r="2453" spans="1:6" x14ac:dyDescent="0.3">
      <c r="A2453" s="2">
        <v>45667</v>
      </c>
      <c r="B2453" s="1">
        <v>1.1538548055231246</v>
      </c>
      <c r="C2453" s="1">
        <f>IRS_returns_2015_25[[#This Row],[IRSrtn]]-AVERAGE($B$2:$B$2600)</f>
        <v>1.1480783114565087</v>
      </c>
      <c r="D2453" s="1">
        <f>w+a*C2452^2+b*D2452</f>
        <v>11.870812763903894</v>
      </c>
      <c r="E2453" s="1">
        <f t="shared" si="38"/>
        <v>-2.2114977141591234</v>
      </c>
      <c r="F2453" s="7">
        <f>SQRT(IRS_returns_2015_25[[#This Row],[  σ2]])</f>
        <v>3.445404586388062</v>
      </c>
    </row>
    <row r="2454" spans="1:6" x14ac:dyDescent="0.3">
      <c r="A2454" s="2">
        <v>45670</v>
      </c>
      <c r="B2454" s="1">
        <v>-5.907226585726022</v>
      </c>
      <c r="C2454" s="1">
        <f>IRS_returns_2015_25[[#This Row],[IRSrtn]]-AVERAGE($B$2:$B$2600)</f>
        <v>-5.9130030797926381</v>
      </c>
      <c r="D2454" s="1">
        <f>w+a*C2453^2+b*D2453</f>
        <v>9.5690137278015079</v>
      </c>
      <c r="E2454" s="1">
        <f t="shared" si="38"/>
        <v>-3.8751215296325792</v>
      </c>
      <c r="F2454" s="7">
        <f>SQRT(IRS_returns_2015_25[[#This Row],[  σ2]])</f>
        <v>3.0933822472823347</v>
      </c>
    </row>
    <row r="2455" spans="1:6" x14ac:dyDescent="0.3">
      <c r="A2455" s="2">
        <v>45671</v>
      </c>
      <c r="B2455" s="1">
        <v>4.0416210505354044</v>
      </c>
      <c r="C2455" s="1">
        <f>IRS_returns_2015_25[[#This Row],[IRSrtn]]-AVERAGE($B$2:$B$2600)</f>
        <v>4.0358445564687884</v>
      </c>
      <c r="D2455" s="1">
        <f>w+a*C2454^2+b*D2454</f>
        <v>16.234391199125099</v>
      </c>
      <c r="E2455" s="1">
        <f t="shared" si="38"/>
        <v>-2.8141568449897418</v>
      </c>
      <c r="F2455" s="7">
        <f>SQRT(IRS_returns_2015_25[[#This Row],[  σ2]])</f>
        <v>4.029192375541915</v>
      </c>
    </row>
    <row r="2456" spans="1:6" x14ac:dyDescent="0.3">
      <c r="A2456" s="2">
        <v>45672</v>
      </c>
      <c r="B2456" s="1">
        <v>1.2262208208412506</v>
      </c>
      <c r="C2456" s="1">
        <f>IRS_returns_2015_25[[#This Row],[IRSrtn]]-AVERAGE($B$2:$B$2600)</f>
        <v>1.2204443267746348</v>
      </c>
      <c r="D2456" s="1">
        <f>w+a*C2455^2+b*D2455</f>
        <v>16.121347498957789</v>
      </c>
      <c r="E2456" s="1">
        <f t="shared" si="38"/>
        <v>-2.3552067211981771</v>
      </c>
      <c r="F2456" s="7">
        <f>SQRT(IRS_returns_2015_25[[#This Row],[  σ2]])</f>
        <v>4.0151397857307272</v>
      </c>
    </row>
    <row r="2457" spans="1:6" x14ac:dyDescent="0.3">
      <c r="A2457" s="2">
        <v>45673</v>
      </c>
      <c r="B2457" s="1">
        <v>-2.5992403874088854</v>
      </c>
      <c r="C2457" s="1">
        <f>IRS_returns_2015_25[[#This Row],[IRSrtn]]-AVERAGE($B$2:$B$2600)</f>
        <v>-2.605016881475501</v>
      </c>
      <c r="D2457" s="1">
        <f>w+a*C2456^2+b*D2456</f>
        <v>12.440427444767032</v>
      </c>
      <c r="E2457" s="1">
        <f t="shared" si="38"/>
        <v>-2.4521586212288922</v>
      </c>
      <c r="F2457" s="7">
        <f>SQRT(IRS_returns_2015_25[[#This Row],[  σ2]])</f>
        <v>3.5270990126117856</v>
      </c>
    </row>
    <row r="2458" spans="1:6" x14ac:dyDescent="0.3">
      <c r="A2458" s="2">
        <v>45674</v>
      </c>
      <c r="B2458" s="1">
        <v>-3.2109751776531414</v>
      </c>
      <c r="C2458" s="1">
        <f>IRS_returns_2015_25[[#This Row],[IRSrtn]]-AVERAGE($B$2:$B$2600)</f>
        <v>-3.2167516717197571</v>
      </c>
      <c r="D2458" s="1">
        <f>w+a*C2457^2+b*D2457</f>
        <v>11.28049977735246</v>
      </c>
      <c r="E2458" s="1">
        <f t="shared" si="38"/>
        <v>-2.5891213833207911</v>
      </c>
      <c r="F2458" s="7">
        <f>SQRT(IRS_returns_2015_25[[#This Row],[  σ2]])</f>
        <v>3.358645527195816</v>
      </c>
    </row>
    <row r="2459" spans="1:6" x14ac:dyDescent="0.3">
      <c r="A2459" s="2">
        <v>45678</v>
      </c>
      <c r="B2459" s="1">
        <v>4.3890012898157416</v>
      </c>
      <c r="C2459" s="1">
        <f>IRS_returns_2015_25[[#This Row],[IRSrtn]]-AVERAGE($B$2:$B$2600)</f>
        <v>4.3832247957491255</v>
      </c>
      <c r="D2459" s="1">
        <f>w+a*C2458^2+b*D2458</f>
        <v>11.376045557912249</v>
      </c>
      <c r="E2459" s="1">
        <f t="shared" si="38"/>
        <v>-2.9791283643601831</v>
      </c>
      <c r="F2459" s="7">
        <f>SQRT(IRS_returns_2015_25[[#This Row],[  σ2]])</f>
        <v>3.3728393910638923</v>
      </c>
    </row>
    <row r="2460" spans="1:6" x14ac:dyDescent="0.3">
      <c r="A2460" s="2">
        <v>45679</v>
      </c>
      <c r="B2460" s="1">
        <v>-0.58727838421046563</v>
      </c>
      <c r="C2460" s="1">
        <f>IRS_returns_2015_25[[#This Row],[IRSrtn]]-AVERAGE($B$2:$B$2600)</f>
        <v>-0.59305487827708148</v>
      </c>
      <c r="D2460" s="1">
        <f>w+a*C2459^2+b*D2459</f>
        <v>13.599648185338859</v>
      </c>
      <c r="E2460" s="1">
        <f t="shared" si="38"/>
        <v>-2.236891494578138</v>
      </c>
      <c r="F2460" s="7">
        <f>SQRT(IRS_returns_2015_25[[#This Row],[  σ2]])</f>
        <v>3.6877700830364764</v>
      </c>
    </row>
    <row r="2461" spans="1:6" x14ac:dyDescent="0.3">
      <c r="A2461" s="2">
        <v>45680</v>
      </c>
      <c r="B2461" s="1">
        <v>0.71732038962921685</v>
      </c>
      <c r="C2461" s="1">
        <f>IRS_returns_2015_25[[#This Row],[IRSrtn]]-AVERAGE($B$2:$B$2600)</f>
        <v>0.711543895562601</v>
      </c>
      <c r="D2461" s="1">
        <f>w+a*C2460^2+b*D2460</f>
        <v>10.484472603486433</v>
      </c>
      <c r="E2461" s="1">
        <f t="shared" si="38"/>
        <v>-2.1180311924435364</v>
      </c>
      <c r="F2461" s="7">
        <f>SQRT(IRS_returns_2015_25[[#This Row],[  σ2]])</f>
        <v>3.2379735334752864</v>
      </c>
    </row>
    <row r="2462" spans="1:6" x14ac:dyDescent="0.3">
      <c r="A2462" s="2">
        <v>45681</v>
      </c>
      <c r="B2462" s="1">
        <v>2.3122395112683325</v>
      </c>
      <c r="C2462" s="1">
        <f>IRS_returns_2015_25[[#This Row],[IRSrtn]]-AVERAGE($B$2:$B$2600)</f>
        <v>2.3064630172017169</v>
      </c>
      <c r="D2462" s="1">
        <f>w+a*C2461^2+b*D2461</f>
        <v>8.4483116876512661</v>
      </c>
      <c r="E2462" s="1">
        <f t="shared" si="38"/>
        <v>-2.3007641369039011</v>
      </c>
      <c r="F2462" s="7">
        <f>SQRT(IRS_returns_2015_25[[#This Row],[  σ2]])</f>
        <v>2.9065979576906171</v>
      </c>
    </row>
    <row r="2463" spans="1:6" x14ac:dyDescent="0.3">
      <c r="A2463" s="2">
        <v>45684</v>
      </c>
      <c r="B2463" s="1">
        <v>-4.94570684261042</v>
      </c>
      <c r="C2463" s="1">
        <f>IRS_returns_2015_25[[#This Row],[IRSrtn]]-AVERAGE($B$2:$B$2600)</f>
        <v>-4.9514833366770361</v>
      </c>
      <c r="D2463" s="1">
        <f>w+a*C2462^2+b*D2462</f>
        <v>8.2656078769209458</v>
      </c>
      <c r="E2463" s="1">
        <f t="shared" si="38"/>
        <v>-3.4580745133282802</v>
      </c>
      <c r="F2463" s="7">
        <f>SQRT(IRS_returns_2015_25[[#This Row],[  σ2]])</f>
        <v>2.8749970220716659</v>
      </c>
    </row>
    <row r="2464" spans="1:6" x14ac:dyDescent="0.3">
      <c r="A2464" s="2">
        <v>45685</v>
      </c>
      <c r="B2464" s="1">
        <v>-1.4785169309448953</v>
      </c>
      <c r="C2464" s="1">
        <f>IRS_returns_2015_25[[#This Row],[IRSrtn]]-AVERAGE($B$2:$B$2600)</f>
        <v>-1.4842934250115112</v>
      </c>
      <c r="D2464" s="1">
        <f>w+a*C2463^2+b*D2463</f>
        <v>12.821424764108192</v>
      </c>
      <c r="E2464" s="1">
        <f t="shared" si="38"/>
        <v>-2.2804131644448202</v>
      </c>
      <c r="F2464" s="7">
        <f>SQRT(IRS_returns_2015_25[[#This Row],[  σ2]])</f>
        <v>3.5807017139253854</v>
      </c>
    </row>
    <row r="2465" spans="1:6" x14ac:dyDescent="0.3">
      <c r="A2465" s="2">
        <v>45686</v>
      </c>
      <c r="B2465" s="1">
        <v>1.9444122698652588</v>
      </c>
      <c r="C2465" s="1">
        <f>IRS_returns_2015_25[[#This Row],[IRSrtn]]-AVERAGE($B$2:$B$2600)</f>
        <v>1.938635775798643</v>
      </c>
      <c r="D2465" s="1">
        <f>w+a*C2464^2+b*D2464</f>
        <v>10.41749258605101</v>
      </c>
      <c r="E2465" s="1">
        <f t="shared" si="38"/>
        <v>-2.2710662333642095</v>
      </c>
      <c r="F2465" s="7">
        <f>SQRT(IRS_returns_2015_25[[#This Row],[  σ2]])</f>
        <v>3.2276140701841989</v>
      </c>
    </row>
    <row r="2466" spans="1:6" x14ac:dyDescent="0.3">
      <c r="A2466" s="2">
        <v>45687</v>
      </c>
      <c r="B2466" s="1">
        <v>0.99108585444791508</v>
      </c>
      <c r="C2466" s="1">
        <f>IRS_returns_2015_25[[#This Row],[IRSrtn]]-AVERAGE($B$2:$B$2600)</f>
        <v>0.98530936038129924</v>
      </c>
      <c r="D2466" s="1">
        <f>w+a*C2465^2+b*D2465</f>
        <v>9.1960744189144172</v>
      </c>
      <c r="E2466" s="1">
        <f t="shared" si="38"/>
        <v>-2.0811121525437537</v>
      </c>
      <c r="F2466" s="7">
        <f>SQRT(IRS_returns_2015_25[[#This Row],[  σ2]])</f>
        <v>3.0325029956975174</v>
      </c>
    </row>
    <row r="2467" spans="1:6" x14ac:dyDescent="0.3">
      <c r="A2467" s="2">
        <v>45688</v>
      </c>
      <c r="B2467" s="1">
        <v>-2.800183463575312</v>
      </c>
      <c r="C2467" s="1">
        <f>IRS_returns_2015_25[[#This Row],[IRSrtn]]-AVERAGE($B$2:$B$2600)</f>
        <v>-2.8059599576419276</v>
      </c>
      <c r="D2467" s="1">
        <f>w+a*C2466^2+b*D2466</f>
        <v>7.7037885025685995</v>
      </c>
      <c r="E2467" s="1">
        <f t="shared" si="38"/>
        <v>-2.4508036935158115</v>
      </c>
      <c r="F2467" s="7">
        <f>SQRT(IRS_returns_2015_25[[#This Row],[  σ2]])</f>
        <v>2.7755699419341968</v>
      </c>
    </row>
    <row r="2468" spans="1:6" x14ac:dyDescent="0.3">
      <c r="A2468" s="2">
        <v>45691</v>
      </c>
      <c r="B2468" s="1">
        <v>-2.1873715046115016</v>
      </c>
      <c r="C2468" s="1">
        <f>IRS_returns_2015_25[[#This Row],[IRSrtn]]-AVERAGE($B$2:$B$2600)</f>
        <v>-2.1931479986781173</v>
      </c>
      <c r="D2468" s="1">
        <f>w+a*C2467^2+b*D2467</f>
        <v>8.3921600554938998</v>
      </c>
      <c r="E2468" s="1">
        <f t="shared" si="38"/>
        <v>-2.2691584301179404</v>
      </c>
      <c r="F2468" s="7">
        <f>SQRT(IRS_returns_2015_25[[#This Row],[  σ2]])</f>
        <v>2.896922514582311</v>
      </c>
    </row>
    <row r="2469" spans="1:6" x14ac:dyDescent="0.3">
      <c r="A2469" s="2">
        <v>45692</v>
      </c>
      <c r="B2469" s="1">
        <v>-0.2768165162870595</v>
      </c>
      <c r="C2469" s="1">
        <f>IRS_returns_2015_25[[#This Row],[IRSrtn]]-AVERAGE($B$2:$B$2600)</f>
        <v>-0.28259301035367529</v>
      </c>
      <c r="D2469" s="1">
        <f>w+a*C2468^2+b*D2468</f>
        <v>8.1039962351784443</v>
      </c>
      <c r="E2469" s="1">
        <f t="shared" si="38"/>
        <v>-1.9700443096799503</v>
      </c>
      <c r="F2469" s="7">
        <f>SQRT(IRS_returns_2015_25[[#This Row],[  σ2]])</f>
        <v>2.8467518745367402</v>
      </c>
    </row>
    <row r="2470" spans="1:6" x14ac:dyDescent="0.3">
      <c r="A2470" s="2">
        <v>45693</v>
      </c>
      <c r="B2470" s="1">
        <v>-3.5264584234958818</v>
      </c>
      <c r="C2470" s="1">
        <f>IRS_returns_2015_25[[#This Row],[IRSrtn]]-AVERAGE($B$2:$B$2600)</f>
        <v>-3.5322349175624974</v>
      </c>
      <c r="D2470" s="1">
        <f>w+a*C2469^2+b*D2469</f>
        <v>6.7596877737597563</v>
      </c>
      <c r="E2470" s="1">
        <f t="shared" si="38"/>
        <v>-2.7973011298969634</v>
      </c>
      <c r="F2470" s="7">
        <f>SQRT(IRS_returns_2015_25[[#This Row],[  σ2]])</f>
        <v>2.5999399557989329</v>
      </c>
    </row>
    <row r="2471" spans="1:6" x14ac:dyDescent="0.3">
      <c r="A2471" s="2">
        <v>45694</v>
      </c>
      <c r="B2471" s="1">
        <v>1.2130014739189399</v>
      </c>
      <c r="C2471" s="1">
        <f>IRS_returns_2015_25[[#This Row],[IRSrtn]]-AVERAGE($B$2:$B$2600)</f>
        <v>1.207224979852324</v>
      </c>
      <c r="D2471" s="1">
        <f>w+a*C2470^2+b*D2470</f>
        <v>8.8852426353487708</v>
      </c>
      <c r="E2471" s="1">
        <f t="shared" si="38"/>
        <v>-2.0931463681733726</v>
      </c>
      <c r="F2471" s="7">
        <f>SQRT(IRS_returns_2015_25[[#This Row],[  σ2]])</f>
        <v>2.9808124119690542</v>
      </c>
    </row>
    <row r="2472" spans="1:6" x14ac:dyDescent="0.3">
      <c r="A2472" s="2">
        <v>45695</v>
      </c>
      <c r="B2472" s="1">
        <v>-7.4326232860075336</v>
      </c>
      <c r="C2472" s="1">
        <f>IRS_returns_2015_25[[#This Row],[IRSrtn]]-AVERAGE($B$2:$B$2600)</f>
        <v>-7.4383997800741497</v>
      </c>
      <c r="D2472" s="1">
        <f>w+a*C2471^2+b*D2471</f>
        <v>7.6154122399183954</v>
      </c>
      <c r="E2472" s="1">
        <f t="shared" si="38"/>
        <v>-5.5667764900749592</v>
      </c>
      <c r="F2472" s="7">
        <f>SQRT(IRS_returns_2015_25[[#This Row],[  σ2]])</f>
        <v>2.7596036381912521</v>
      </c>
    </row>
    <row r="2473" spans="1:6" x14ac:dyDescent="0.3">
      <c r="A2473" s="2">
        <v>45698</v>
      </c>
      <c r="B2473" s="1">
        <v>0.1526680009117598</v>
      </c>
      <c r="C2473" s="1">
        <f>IRS_returns_2015_25[[#This Row],[IRSrtn]]-AVERAGE($B$2:$B$2600)</f>
        <v>0.14689150684514402</v>
      </c>
      <c r="D2473" s="1">
        <f>w+a*C2472^2+b*D2472</f>
        <v>19.896062514197954</v>
      </c>
      <c r="E2473" s="1">
        <f t="shared" si="38"/>
        <v>-2.414741703330145</v>
      </c>
      <c r="F2473" s="7">
        <f>SQRT(IRS_returns_2015_25[[#This Row],[  σ2]])</f>
        <v>4.4605002538053906</v>
      </c>
    </row>
    <row r="2474" spans="1:6" x14ac:dyDescent="0.3">
      <c r="A2474" s="2">
        <v>45699</v>
      </c>
      <c r="B2474" s="1">
        <v>-0.45871232033540821</v>
      </c>
      <c r="C2474" s="1">
        <f>IRS_returns_2015_25[[#This Row],[IRSrtn]]-AVERAGE($B$2:$B$2600)</f>
        <v>-0.464488814402024</v>
      </c>
      <c r="D2474" s="1">
        <f>w+a*C2473^2+b*D2473</f>
        <v>14.595663058876816</v>
      </c>
      <c r="E2474" s="1">
        <f t="shared" si="38"/>
        <v>-2.2666916393772678</v>
      </c>
      <c r="F2474" s="7">
        <f>SQRT(IRS_returns_2015_25[[#This Row],[  σ2]])</f>
        <v>3.8204270780734473</v>
      </c>
    </row>
    <row r="2475" spans="1:6" x14ac:dyDescent="0.3">
      <c r="A2475" s="2">
        <v>45700</v>
      </c>
      <c r="B2475" s="1">
        <v>6.8124043998915251</v>
      </c>
      <c r="C2475" s="1">
        <f>IRS_returns_2015_25[[#This Row],[IRSrtn]]-AVERAGE($B$2:$B$2600)</f>
        <v>6.8066279058249091</v>
      </c>
      <c r="D2475" s="1">
        <f>w+a*C2474^2+b*D2474</f>
        <v>11.114408698334898</v>
      </c>
      <c r="E2475" s="1">
        <f t="shared" si="38"/>
        <v>-4.2072993955208133</v>
      </c>
      <c r="F2475" s="7">
        <f>SQRT(IRS_returns_2015_25[[#This Row],[  σ2]])</f>
        <v>3.3338279347223212</v>
      </c>
    </row>
    <row r="2476" spans="1:6" x14ac:dyDescent="0.3">
      <c r="A2476" s="2">
        <v>45701</v>
      </c>
      <c r="B2476" s="1">
        <v>0.49982034973279355</v>
      </c>
      <c r="C2476" s="1">
        <f>IRS_returns_2015_25[[#This Row],[IRSrtn]]-AVERAGE($B$2:$B$2600)</f>
        <v>0.49404385566617776</v>
      </c>
      <c r="D2476" s="1">
        <f>w+a*C2475^2+b*D2475</f>
        <v>20.032650567394484</v>
      </c>
      <c r="E2476" s="1">
        <f t="shared" si="38"/>
        <v>-2.4237123064619834</v>
      </c>
      <c r="F2476" s="7">
        <f>SQRT(IRS_returns_2015_25[[#This Row],[  σ2]])</f>
        <v>4.4757849107608472</v>
      </c>
    </row>
    <row r="2477" spans="1:6" x14ac:dyDescent="0.3">
      <c r="A2477" s="2">
        <v>45702</v>
      </c>
      <c r="B2477" s="1">
        <v>1.624906768684431</v>
      </c>
      <c r="C2477" s="1">
        <f>IRS_returns_2015_25[[#This Row],[IRSrtn]]-AVERAGE($B$2:$B$2600)</f>
        <v>1.6191302746178151</v>
      </c>
      <c r="D2477" s="1">
        <f>w+a*C2476^2+b*D2476</f>
        <v>14.74080462233615</v>
      </c>
      <c r="E2477" s="1">
        <f t="shared" si="38"/>
        <v>-2.353170920556011</v>
      </c>
      <c r="F2477" s="7">
        <f>SQRT(IRS_returns_2015_25[[#This Row],[  σ2]])</f>
        <v>3.8393755510937124</v>
      </c>
    </row>
    <row r="2478" spans="1:6" x14ac:dyDescent="0.3">
      <c r="A2478" s="2">
        <v>45706</v>
      </c>
      <c r="B2478" s="1">
        <v>-0.35100204139966173</v>
      </c>
      <c r="C2478" s="1">
        <f>IRS_returns_2015_25[[#This Row],[IRSrtn]]-AVERAGE($B$2:$B$2600)</f>
        <v>-0.35677853546627752</v>
      </c>
      <c r="D2478" s="1">
        <f>w+a*C2477^2+b*D2477</f>
        <v>11.797212513980494</v>
      </c>
      <c r="E2478" s="1">
        <f t="shared" si="38"/>
        <v>-2.1582651288046959</v>
      </c>
      <c r="F2478" s="7">
        <f>SQRT(IRS_returns_2015_25[[#This Row],[  σ2]])</f>
        <v>3.4347070492227565</v>
      </c>
    </row>
    <row r="2479" spans="1:6" x14ac:dyDescent="0.3">
      <c r="A2479" s="2">
        <v>45707</v>
      </c>
      <c r="B2479" s="1">
        <v>-1.4878066467542972</v>
      </c>
      <c r="C2479" s="1">
        <f>IRS_returns_2015_25[[#This Row],[IRSrtn]]-AVERAGE($B$2:$B$2600)</f>
        <v>-1.493583140820913</v>
      </c>
      <c r="D2479" s="1">
        <f>w+a*C2478^2+b*D2478</f>
        <v>9.2298804000508259</v>
      </c>
      <c r="E2479" s="1">
        <f t="shared" si="38"/>
        <v>-2.1510077055769887</v>
      </c>
      <c r="F2479" s="7">
        <f>SQRT(IRS_returns_2015_25[[#This Row],[  σ2]])</f>
        <v>3.0380718227275052</v>
      </c>
    </row>
    <row r="2480" spans="1:6" x14ac:dyDescent="0.3">
      <c r="A2480" s="2">
        <v>45708</v>
      </c>
      <c r="B2480" s="1">
        <v>2.3978592102937402</v>
      </c>
      <c r="C2480" s="1">
        <f>IRS_returns_2015_25[[#This Row],[IRSrtn]]-AVERAGE($B$2:$B$2600)</f>
        <v>2.3920827162271245</v>
      </c>
      <c r="D2480" s="1">
        <f>w+a*C2479^2+b*D2479</f>
        <v>8.0332817125808251</v>
      </c>
      <c r="E2480" s="1">
        <f t="shared" si="38"/>
        <v>-2.3168821806655107</v>
      </c>
      <c r="F2480" s="7">
        <f>SQRT(IRS_returns_2015_25[[#This Row],[  σ2]])</f>
        <v>2.8343044495221088</v>
      </c>
    </row>
    <row r="2481" spans="1:6" x14ac:dyDescent="0.3">
      <c r="A2481" s="2">
        <v>45709</v>
      </c>
      <c r="B2481" s="1">
        <v>-1.3328891299293488</v>
      </c>
      <c r="C2481" s="1">
        <f>IRS_returns_2015_25[[#This Row],[IRSrtn]]-AVERAGE($B$2:$B$2600)</f>
        <v>-1.3386656239959647</v>
      </c>
      <c r="D2481" s="1">
        <f>w+a*C2480^2+b*D2480</f>
        <v>8.0873328815917134</v>
      </c>
      <c r="E2481" s="1">
        <f t="shared" si="38"/>
        <v>-2.074880159936852</v>
      </c>
      <c r="F2481" s="7">
        <f>SQRT(IRS_returns_2015_25[[#This Row],[  σ2]])</f>
        <v>2.8438236375682147</v>
      </c>
    </row>
    <row r="2482" spans="1:6" x14ac:dyDescent="0.3">
      <c r="A2482" s="2">
        <v>45712</v>
      </c>
      <c r="B2482" s="1">
        <v>-2.4304281232252922</v>
      </c>
      <c r="C2482" s="1">
        <f>IRS_returns_2015_25[[#This Row],[IRSrtn]]-AVERAGE($B$2:$B$2600)</f>
        <v>-2.4362046172919078</v>
      </c>
      <c r="D2482" s="1">
        <f>w+a*C2481^2+b*D2481</f>
        <v>7.1657637562267329</v>
      </c>
      <c r="E2482" s="1">
        <f t="shared" si="38"/>
        <v>-2.3177242851642688</v>
      </c>
      <c r="F2482" s="7">
        <f>SQRT(IRS_returns_2015_25[[#This Row],[  σ2]])</f>
        <v>2.6768944238103103</v>
      </c>
    </row>
    <row r="2483" spans="1:6" x14ac:dyDescent="0.3">
      <c r="A2483" s="2">
        <v>45713</v>
      </c>
      <c r="B2483" s="1">
        <v>-2.639446920665911</v>
      </c>
      <c r="C2483" s="1">
        <f>IRS_returns_2015_25[[#This Row],[IRSrtn]]-AVERAGE($B$2:$B$2600)</f>
        <v>-2.6452234147325266</v>
      </c>
      <c r="D2483" s="1">
        <f>w+a*C2482^2+b*D2482</f>
        <v>7.5617171727637507</v>
      </c>
      <c r="E2483" s="1">
        <f t="shared" si="38"/>
        <v>-2.3931608288415096</v>
      </c>
      <c r="F2483" s="7">
        <f>SQRT(IRS_returns_2015_25[[#This Row],[  σ2]])</f>
        <v>2.7498576640916799</v>
      </c>
    </row>
    <row r="2484" spans="1:6" x14ac:dyDescent="0.3">
      <c r="A2484" s="2">
        <v>45714</v>
      </c>
      <c r="B2484" s="1">
        <v>-0.37216411357579027</v>
      </c>
      <c r="C2484" s="1">
        <f>IRS_returns_2015_25[[#This Row],[IRSrtn]]-AVERAGE($B$2:$B$2600)</f>
        <v>-0.37794060764240606</v>
      </c>
      <c r="D2484" s="1">
        <f>w+a*C2483^2+b*D2483</f>
        <v>8.0840938046197444</v>
      </c>
      <c r="E2484" s="1">
        <f t="shared" si="38"/>
        <v>-1.9727223120904203</v>
      </c>
      <c r="F2484" s="7">
        <f>SQRT(IRS_returns_2015_25[[#This Row],[  σ2]])</f>
        <v>2.8432540872422472</v>
      </c>
    </row>
    <row r="2485" spans="1:6" x14ac:dyDescent="0.3">
      <c r="A2485" s="2">
        <v>45715</v>
      </c>
      <c r="B2485" s="1">
        <v>-3.1051328453385985</v>
      </c>
      <c r="C2485" s="1">
        <f>IRS_returns_2015_25[[#This Row],[IRSrtn]]-AVERAGE($B$2:$B$2600)</f>
        <v>-3.1109093394052141</v>
      </c>
      <c r="D2485" s="1">
        <f>w+a*C2484^2+b*D2484</f>
        <v>6.7617835270249191</v>
      </c>
      <c r="E2485" s="1">
        <f t="shared" si="38"/>
        <v>-2.5902034951552109</v>
      </c>
      <c r="F2485" s="7">
        <f>SQRT(IRS_returns_2015_25[[#This Row],[  σ2]])</f>
        <v>2.6003429633463582</v>
      </c>
    </row>
    <row r="2486" spans="1:6" x14ac:dyDescent="0.3">
      <c r="A2486" s="2">
        <v>45716</v>
      </c>
      <c r="B2486" s="1">
        <v>2.0556525378710777</v>
      </c>
      <c r="C2486" s="1">
        <f>IRS_returns_2015_25[[#This Row],[IRSrtn]]-AVERAGE($B$2:$B$2600)</f>
        <v>2.0498760438044621</v>
      </c>
      <c r="D2486" s="1">
        <f>w+a*C2485^2+b*D2485</f>
        <v>8.2046799957383776</v>
      </c>
      <c r="E2486" s="1">
        <f t="shared" si="38"/>
        <v>-2.2273637576497616</v>
      </c>
      <c r="F2486" s="7">
        <f>SQRT(IRS_returns_2015_25[[#This Row],[  σ2]])</f>
        <v>2.8643812587954098</v>
      </c>
    </row>
    <row r="2487" spans="1:6" x14ac:dyDescent="0.3">
      <c r="A2487" s="2">
        <v>45719</v>
      </c>
      <c r="B2487" s="1">
        <v>2.0880678561836064</v>
      </c>
      <c r="C2487" s="1">
        <f>IRS_returns_2015_25[[#This Row],[IRSrtn]]-AVERAGE($B$2:$B$2600)</f>
        <v>2.0822913621169907</v>
      </c>
      <c r="D2487" s="1">
        <f>w+a*C2486^2+b*D2486</f>
        <v>7.8310713845935664</v>
      </c>
      <c r="E2487" s="1">
        <f t="shared" si="38"/>
        <v>-2.2248300959813365</v>
      </c>
      <c r="F2487" s="7">
        <f>SQRT(IRS_returns_2015_25[[#This Row],[  σ2]])</f>
        <v>2.7984051501870786</v>
      </c>
    </row>
    <row r="2488" spans="1:6" x14ac:dyDescent="0.3">
      <c r="A2488" s="2">
        <v>45720</v>
      </c>
      <c r="B2488" s="1">
        <v>-2.541243998011522</v>
      </c>
      <c r="C2488" s="1">
        <f>IRS_returns_2015_25[[#This Row],[IRSrtn]]-AVERAGE($B$2:$B$2600)</f>
        <v>-2.5470204920781376</v>
      </c>
      <c r="D2488" s="1">
        <f>w+a*C2487^2+b*D2487</f>
        <v>7.6149896833208288</v>
      </c>
      <c r="E2488" s="1">
        <f t="shared" si="38"/>
        <v>-2.3599546563387896</v>
      </c>
      <c r="F2488" s="7">
        <f>SQRT(IRS_returns_2015_25[[#This Row],[  σ2]])</f>
        <v>2.7595270760260404</v>
      </c>
    </row>
    <row r="2489" spans="1:6" x14ac:dyDescent="0.3">
      <c r="A2489" s="2">
        <v>45721</v>
      </c>
      <c r="B2489" s="1">
        <v>0.75415425114750967</v>
      </c>
      <c r="C2489" s="1">
        <f>IRS_returns_2015_25[[#This Row],[IRSrtn]]-AVERAGE($B$2:$B$2600)</f>
        <v>0.74837775708089382</v>
      </c>
      <c r="D2489" s="1">
        <f>w+a*C2488^2+b*D2488</f>
        <v>7.995322765369905</v>
      </c>
      <c r="E2489" s="1">
        <f t="shared" si="38"/>
        <v>-1.9933916980023545</v>
      </c>
      <c r="F2489" s="7">
        <f>SQRT(IRS_returns_2015_25[[#This Row],[  σ2]])</f>
        <v>2.8276001777779518</v>
      </c>
    </row>
    <row r="2490" spans="1:6" x14ac:dyDescent="0.3">
      <c r="A2490" s="2">
        <v>45722</v>
      </c>
      <c r="B2490" s="1">
        <v>-1.5140392345688536</v>
      </c>
      <c r="C2490" s="1">
        <f>IRS_returns_2015_25[[#This Row],[IRSrtn]]-AVERAGE($B$2:$B$2600)</f>
        <v>-1.5198157286354694</v>
      </c>
      <c r="D2490" s="1">
        <f>w+a*C2489^2+b*D2489</f>
        <v>6.8043451956063912</v>
      </c>
      <c r="E2490" s="1">
        <f t="shared" si="38"/>
        <v>-2.0474519432146385</v>
      </c>
      <c r="F2490" s="7">
        <f>SQRT(IRS_returns_2015_25[[#This Row],[  σ2]])</f>
        <v>2.6085139822524224</v>
      </c>
    </row>
    <row r="2491" spans="1:6" x14ac:dyDescent="0.3">
      <c r="A2491" s="2">
        <v>45723</v>
      </c>
      <c r="B2491" s="1">
        <v>1.6641856879385575</v>
      </c>
      <c r="C2491" s="1">
        <f>IRS_returns_2015_25[[#This Row],[IRSrtn]]-AVERAGE($B$2:$B$2600)</f>
        <v>1.6584091938719416</v>
      </c>
      <c r="D2491" s="1">
        <f>w+a*C2490^2+b*D2490</f>
        <v>6.4378227198238482</v>
      </c>
      <c r="E2491" s="1">
        <f t="shared" si="38"/>
        <v>-2.0636401921005749</v>
      </c>
      <c r="F2491" s="7">
        <f>SQRT(IRS_returns_2015_25[[#This Row],[  σ2]])</f>
        <v>2.5372864875342414</v>
      </c>
    </row>
    <row r="2492" spans="1:6" x14ac:dyDescent="0.3">
      <c r="A2492" s="2">
        <v>45726</v>
      </c>
      <c r="B2492" s="1">
        <v>-3.9790979801535009</v>
      </c>
      <c r="C2492" s="1">
        <f>IRS_returns_2015_25[[#This Row],[IRSrtn]]-AVERAGE($B$2:$B$2600)</f>
        <v>-3.9848744742201165</v>
      </c>
      <c r="D2492" s="1">
        <f>w+a*C2491^2+b*D2491</f>
        <v>6.301145725700076</v>
      </c>
      <c r="E2492" s="1">
        <f t="shared" si="38"/>
        <v>-3.0993310409128552</v>
      </c>
      <c r="F2492" s="7">
        <f>SQRT(IRS_returns_2015_25[[#This Row],[  σ2]])</f>
        <v>2.5102083032489708</v>
      </c>
    </row>
    <row r="2493" spans="1:6" x14ac:dyDescent="0.3">
      <c r="A2493" s="2">
        <v>45727</v>
      </c>
      <c r="B2493" s="1">
        <v>3.3016384556108669</v>
      </c>
      <c r="C2493" s="1">
        <f>IRS_returns_2015_25[[#This Row],[IRSrtn]]-AVERAGE($B$2:$B$2600)</f>
        <v>3.2958619615442513</v>
      </c>
      <c r="D2493" s="1">
        <f>w+a*C2492^2+b*D2492</f>
        <v>9.4090118732241059</v>
      </c>
      <c r="E2493" s="1">
        <f t="shared" si="38"/>
        <v>-2.6170226021102461</v>
      </c>
      <c r="F2493" s="7">
        <f>SQRT(IRS_returns_2015_25[[#This Row],[  σ2]])</f>
        <v>3.0674112657457764</v>
      </c>
    </row>
    <row r="2494" spans="1:6" x14ac:dyDescent="0.3">
      <c r="A2494" s="2">
        <v>45728</v>
      </c>
      <c r="B2494" s="1">
        <v>4.936546174398293</v>
      </c>
      <c r="C2494" s="1">
        <f>IRS_returns_2015_25[[#This Row],[IRSrtn]]-AVERAGE($B$2:$B$2600)</f>
        <v>4.930769680331677</v>
      </c>
      <c r="D2494" s="1">
        <f>w+a*C2493^2+b*D2493</f>
        <v>10.255696736544175</v>
      </c>
      <c r="E2494" s="1">
        <f t="shared" si="38"/>
        <v>-3.2681715286717412</v>
      </c>
      <c r="F2494" s="7">
        <f>SQRT(IRS_returns_2015_25[[#This Row],[  σ2]])</f>
        <v>3.2024516759108441</v>
      </c>
    </row>
    <row r="2495" spans="1:6" x14ac:dyDescent="0.3">
      <c r="A2495" s="2">
        <v>45729</v>
      </c>
      <c r="B2495" s="1">
        <v>-6.3053838987496835</v>
      </c>
      <c r="C2495" s="1">
        <f>IRS_returns_2015_25[[#This Row],[IRSrtn]]-AVERAGE($B$2:$B$2600)</f>
        <v>-6.3111603928162996</v>
      </c>
      <c r="D2495" s="1">
        <f>w+a*C2494^2+b*D2494</f>
        <v>14.096385657780603</v>
      </c>
      <c r="E2495" s="1">
        <f t="shared" si="38"/>
        <v>-3.6546976830748137</v>
      </c>
      <c r="F2495" s="7">
        <f>SQRT(IRS_returns_2015_25[[#This Row],[  σ2]])</f>
        <v>3.7545153692295097</v>
      </c>
    </row>
    <row r="2496" spans="1:6" x14ac:dyDescent="0.3">
      <c r="A2496" s="2">
        <v>45730</v>
      </c>
      <c r="B2496" s="1">
        <v>2.5700522510775148</v>
      </c>
      <c r="C2496" s="1">
        <f>IRS_returns_2015_25[[#This Row],[IRSrtn]]-AVERAGE($B$2:$B$2600)</f>
        <v>2.5642757570108992</v>
      </c>
      <c r="D2496" s="1">
        <f>w+a*C2495^2+b*D2495</f>
        <v>20.43421591585281</v>
      </c>
      <c r="E2496" s="1">
        <f t="shared" si="38"/>
        <v>-2.5884385105682011</v>
      </c>
      <c r="F2496" s="7">
        <f>SQRT(IRS_returns_2015_25[[#This Row],[  σ2]])</f>
        <v>4.5204220948770715</v>
      </c>
    </row>
    <row r="2497" spans="1:6" x14ac:dyDescent="0.3">
      <c r="A2497" s="2">
        <v>45733</v>
      </c>
      <c r="B2497" s="1">
        <v>2.2870817867667093</v>
      </c>
      <c r="C2497" s="1">
        <f>IRS_returns_2015_25[[#This Row],[IRSrtn]]-AVERAGE($B$2:$B$2600)</f>
        <v>2.2813052927000936</v>
      </c>
      <c r="D2497" s="1">
        <f>w+a*C2496^2+b*D2496</f>
        <v>16.55078504307793</v>
      </c>
      <c r="E2497" s="1">
        <f t="shared" si="38"/>
        <v>-2.4793790768076551</v>
      </c>
      <c r="F2497" s="7">
        <f>SQRT(IRS_returns_2015_25[[#This Row],[  σ2]])</f>
        <v>4.0682656062599856</v>
      </c>
    </row>
    <row r="2498" spans="1:6" x14ac:dyDescent="0.3">
      <c r="A2498" s="2">
        <v>45734</v>
      </c>
      <c r="B2498" s="1">
        <v>-4.9337347972241652</v>
      </c>
      <c r="C2498" s="1">
        <f>IRS_returns_2015_25[[#This Row],[IRSrtn]]-AVERAGE($B$2:$B$2600)</f>
        <v>-4.9395112912907813</v>
      </c>
      <c r="D2498" s="1">
        <f>w+a*C2497^2+b*D2497</f>
        <v>13.631438285870871</v>
      </c>
      <c r="E2498" s="1">
        <f t="shared" ref="E2498:E2561" si="39">-0.5*(LN(2*PI())+LN(D2498)+C2498^2/D2498)</f>
        <v>-3.1200727948566609</v>
      </c>
      <c r="F2498" s="7">
        <f>SQRT(IRS_returns_2015_25[[#This Row],[  σ2]])</f>
        <v>3.6920777735403774</v>
      </c>
    </row>
    <row r="2499" spans="1:6" x14ac:dyDescent="0.3">
      <c r="A2499" s="2">
        <v>45735</v>
      </c>
      <c r="B2499" s="1">
        <v>3.241892314103012</v>
      </c>
      <c r="C2499" s="1">
        <f>IRS_returns_2015_25[[#This Row],[IRSrtn]]-AVERAGE($B$2:$B$2600)</f>
        <v>3.2361158200363964</v>
      </c>
      <c r="D2499" s="1">
        <f>w+a*C2498^2+b*D2498</f>
        <v>16.364695854459214</v>
      </c>
      <c r="E2499" s="1">
        <f t="shared" si="39"/>
        <v>-2.6364723708546784</v>
      </c>
      <c r="F2499" s="7">
        <f>SQRT(IRS_returns_2015_25[[#This Row],[  σ2]])</f>
        <v>4.045330129230396</v>
      </c>
    </row>
    <row r="2500" spans="1:6" x14ac:dyDescent="0.3">
      <c r="A2500" s="2">
        <v>45736</v>
      </c>
      <c r="B2500" s="1">
        <v>-0.74460082722156429</v>
      </c>
      <c r="C2500" s="1">
        <f>IRS_returns_2015_25[[#This Row],[IRSrtn]]-AVERAGE($B$2:$B$2600)</f>
        <v>-0.75037732128818013</v>
      </c>
      <c r="D2500" s="1">
        <f>w+a*C2499^2+b*D2499</f>
        <v>14.791124942454882</v>
      </c>
      <c r="E2500" s="1">
        <f t="shared" si="39"/>
        <v>-2.2849861188227281</v>
      </c>
      <c r="F2500" s="7">
        <f>SQRT(IRS_returns_2015_25[[#This Row],[  σ2]])</f>
        <v>3.845923158677885</v>
      </c>
    </row>
    <row r="2501" spans="1:6" x14ac:dyDescent="0.3">
      <c r="A2501" s="2">
        <v>45737</v>
      </c>
      <c r="B2501" s="1">
        <v>2.7277760859365063</v>
      </c>
      <c r="C2501" s="1">
        <f>IRS_returns_2015_25[[#This Row],[IRSrtn]]-AVERAGE($B$2:$B$2600)</f>
        <v>2.7219995918698907</v>
      </c>
      <c r="D2501" s="1">
        <f>w+a*C2500^2+b*D2500</f>
        <v>11.329154468847099</v>
      </c>
      <c r="E2501" s="1">
        <f t="shared" si="39"/>
        <v>-2.459628906731278</v>
      </c>
      <c r="F2501" s="7">
        <f>SQRT(IRS_returns_2015_25[[#This Row],[  σ2]])</f>
        <v>3.3658809350372301</v>
      </c>
    </row>
    <row r="2502" spans="1:6" x14ac:dyDescent="0.3">
      <c r="A2502" s="2">
        <v>45740</v>
      </c>
      <c r="B2502" s="1">
        <v>-2.5038138197657656</v>
      </c>
      <c r="C2502" s="1">
        <f>IRS_returns_2015_25[[#This Row],[IRSrtn]]-AVERAGE($B$2:$B$2600)</f>
        <v>-2.5095903138323812</v>
      </c>
      <c r="D2502" s="1">
        <f>w+a*C2501^2+b*D2501</f>
        <v>10.69254172441185</v>
      </c>
      <c r="E2502" s="1">
        <f t="shared" si="39"/>
        <v>-2.3982181463056675</v>
      </c>
      <c r="F2502" s="7">
        <f>SQRT(IRS_returns_2015_25[[#This Row],[  σ2]])</f>
        <v>3.2699452173410872</v>
      </c>
    </row>
    <row r="2503" spans="1:6" x14ac:dyDescent="0.3">
      <c r="A2503" s="2">
        <v>45741</v>
      </c>
      <c r="B2503" s="1">
        <v>1.1860765442850862</v>
      </c>
      <c r="C2503" s="1">
        <f>IRS_returns_2015_25[[#This Row],[IRSrtn]]-AVERAGE($B$2:$B$2600)</f>
        <v>1.1803000502184704</v>
      </c>
      <c r="D2503" s="1">
        <f>w+a*C2502^2+b*D2502</f>
        <v>9.9979850415762499</v>
      </c>
      <c r="E2503" s="1">
        <f t="shared" si="39"/>
        <v>-2.1397997701605065</v>
      </c>
      <c r="F2503" s="7">
        <f>SQRT(IRS_returns_2015_25[[#This Row],[  σ2]])</f>
        <v>3.1619590512174964</v>
      </c>
    </row>
    <row r="2504" spans="1:6" x14ac:dyDescent="0.3">
      <c r="A2504" s="2">
        <v>45742</v>
      </c>
      <c r="B2504" s="1">
        <v>-0.29520289111308884</v>
      </c>
      <c r="C2504" s="1">
        <f>IRS_returns_2015_25[[#This Row],[IRSrtn]]-AVERAGE($B$2:$B$2600)</f>
        <v>-0.30097938517970463</v>
      </c>
      <c r="D2504" s="1">
        <f>w+a*C2503^2+b*D2503</f>
        <v>8.3405206894153974</v>
      </c>
      <c r="E2504" s="1">
        <f t="shared" si="39"/>
        <v>-1.984931988399617</v>
      </c>
      <c r="F2504" s="7">
        <f>SQRT(IRS_returns_2015_25[[#This Row],[  σ2]])</f>
        <v>2.8879959642311479</v>
      </c>
    </row>
    <row r="2505" spans="1:6" x14ac:dyDescent="0.3">
      <c r="A2505" s="2">
        <v>45743</v>
      </c>
      <c r="B2505" s="1">
        <v>-0.22197370022589702</v>
      </c>
      <c r="C2505" s="1">
        <f>IRS_returns_2015_25[[#This Row],[IRSrtn]]-AVERAGE($B$2:$B$2600)</f>
        <v>-0.22775019429251281</v>
      </c>
      <c r="D2505" s="1">
        <f>w+a*C2504^2+b*D2504</f>
        <v>6.9197603646661818</v>
      </c>
      <c r="E2505" s="1">
        <f t="shared" si="39"/>
        <v>-1.8898770760982702</v>
      </c>
      <c r="F2505" s="7">
        <f>SQRT(IRS_returns_2015_25[[#This Row],[  σ2]])</f>
        <v>2.6305437393562157</v>
      </c>
    </row>
    <row r="2506" spans="1:6" x14ac:dyDescent="0.3">
      <c r="A2506" s="2">
        <v>45744</v>
      </c>
      <c r="B2506" s="1">
        <v>-2.0202741917948686</v>
      </c>
      <c r="C2506" s="1">
        <f>IRS_returns_2015_25[[#This Row],[IRSrtn]]-AVERAGE($B$2:$B$2600)</f>
        <v>-2.0260506858614842</v>
      </c>
      <c r="D2506" s="1">
        <f>w+a*C2505^2+b*D2505</f>
        <v>5.9645027320716837</v>
      </c>
      <c r="E2506" s="1">
        <f t="shared" si="39"/>
        <v>-2.1559606487442711</v>
      </c>
      <c r="F2506" s="7">
        <f>SQRT(IRS_returns_2015_25[[#This Row],[  σ2]])</f>
        <v>2.4422331444953578</v>
      </c>
    </row>
    <row r="2507" spans="1:6" x14ac:dyDescent="0.3">
      <c r="A2507" s="2">
        <v>45747</v>
      </c>
      <c r="B2507" s="1">
        <v>-2.525966173010552</v>
      </c>
      <c r="C2507" s="1">
        <f>IRS_returns_2015_25[[#This Row],[IRSrtn]]-AVERAGE($B$2:$B$2600)</f>
        <v>-2.5317426670771677</v>
      </c>
      <c r="D2507" s="1">
        <f>w+a*C2506^2+b*D2506</f>
        <v>6.3160870096242956</v>
      </c>
      <c r="E2507" s="1">
        <f t="shared" si="39"/>
        <v>-2.3479008057372228</v>
      </c>
      <c r="F2507" s="7">
        <f>SQRT(IRS_returns_2015_25[[#This Row],[  σ2]])</f>
        <v>2.5131826454964021</v>
      </c>
    </row>
    <row r="2508" spans="1:6" x14ac:dyDescent="0.3">
      <c r="A2508" s="2">
        <v>45748</v>
      </c>
      <c r="B2508" s="1">
        <v>2.2989533346384761</v>
      </c>
      <c r="C2508" s="1">
        <f>IRS_returns_2015_25[[#This Row],[IRSrtn]]-AVERAGE($B$2:$B$2600)</f>
        <v>2.2931768405718604</v>
      </c>
      <c r="D2508" s="1">
        <f>w+a*C2507^2+b*D2507</f>
        <v>7.1117161628492322</v>
      </c>
      <c r="E2508" s="1">
        <f t="shared" si="39"/>
        <v>-2.2695284023027695</v>
      </c>
      <c r="F2508" s="7">
        <f>SQRT(IRS_returns_2015_25[[#This Row],[  σ2]])</f>
        <v>2.666780111454492</v>
      </c>
    </row>
    <row r="2509" spans="1:6" x14ac:dyDescent="0.3">
      <c r="A2509" s="2">
        <v>45749</v>
      </c>
      <c r="B2509" s="1">
        <v>0.82988487907291741</v>
      </c>
      <c r="C2509" s="1">
        <f>IRS_returns_2015_25[[#This Row],[IRSrtn]]-AVERAGE($B$2:$B$2600)</f>
        <v>0.82410838500630157</v>
      </c>
      <c r="D2509" s="1">
        <f>w+a*C2508^2+b*D2508</f>
        <v>7.360924063178464</v>
      </c>
      <c r="E2509" s="1">
        <f t="shared" si="39"/>
        <v>-1.9631637018068546</v>
      </c>
      <c r="F2509" s="7">
        <f>SQRT(IRS_returns_2015_25[[#This Row],[  σ2]])</f>
        <v>2.7131022950081451</v>
      </c>
    </row>
    <row r="2510" spans="1:6" x14ac:dyDescent="0.3">
      <c r="A2510" s="2">
        <v>45750</v>
      </c>
      <c r="B2510" s="1">
        <v>-2.9739159673883631</v>
      </c>
      <c r="C2510" s="1">
        <f>IRS_returns_2015_25[[#This Row],[IRSrtn]]-AVERAGE($B$2:$B$2600)</f>
        <v>-2.9796924614549787</v>
      </c>
      <c r="D2510" s="1">
        <f>w+a*C2509^2+b*D2509</f>
        <v>6.4110304977900441</v>
      </c>
      <c r="E2510" s="1">
        <f t="shared" si="39"/>
        <v>-2.540393165122909</v>
      </c>
      <c r="F2510" s="7">
        <f>SQRT(IRS_returns_2015_25[[#This Row],[  σ2]])</f>
        <v>2.5320012831335696</v>
      </c>
    </row>
    <row r="2511" spans="1:6" x14ac:dyDescent="0.3">
      <c r="A2511" s="2">
        <v>45751</v>
      </c>
      <c r="B2511" s="1">
        <v>-2.9055823483770116</v>
      </c>
      <c r="C2511" s="1">
        <f>IRS_returns_2015_25[[#This Row],[IRSrtn]]-AVERAGE($B$2:$B$2600)</f>
        <v>-2.9113588424436272</v>
      </c>
      <c r="D2511" s="1">
        <f>w+a*C2510^2+b*D2510</f>
        <v>7.7764554433855828</v>
      </c>
      <c r="E2511" s="1">
        <f t="shared" si="39"/>
        <v>-2.4894678824558643</v>
      </c>
      <c r="F2511" s="7">
        <f>SQRT(IRS_returns_2015_25[[#This Row],[  σ2]])</f>
        <v>2.7886296712517393</v>
      </c>
    </row>
    <row r="2512" spans="1:6" x14ac:dyDescent="0.3">
      <c r="A2512" s="2">
        <v>45754</v>
      </c>
      <c r="B2512" s="1">
        <v>-6.50167188425681</v>
      </c>
      <c r="C2512" s="1">
        <f>IRS_returns_2015_25[[#This Row],[IRSrtn]]-AVERAGE($B$2:$B$2600)</f>
        <v>-6.507448378323426</v>
      </c>
      <c r="D2512" s="1">
        <f>w+a*C2511^2+b*D2511</f>
        <v>8.5873587657351429</v>
      </c>
      <c r="E2512" s="1">
        <f t="shared" si="39"/>
        <v>-4.4597365908197135</v>
      </c>
      <c r="F2512" s="7">
        <f>SQRT(IRS_returns_2015_25[[#This Row],[  σ2]])</f>
        <v>2.9304195545578695</v>
      </c>
    </row>
    <row r="2513" spans="1:6" x14ac:dyDescent="0.3">
      <c r="A2513" s="2">
        <v>45755</v>
      </c>
      <c r="B2513" s="1">
        <v>-2.2356926564017332</v>
      </c>
      <c r="C2513" s="1">
        <f>IRS_returns_2015_25[[#This Row],[IRSrtn]]-AVERAGE($B$2:$B$2600)</f>
        <v>-2.2414691504683488</v>
      </c>
      <c r="D2513" s="1">
        <f>w+a*C2512^2+b*D2512</f>
        <v>17.37982129902111</v>
      </c>
      <c r="E2513" s="1">
        <f t="shared" si="39"/>
        <v>-2.4911341774081608</v>
      </c>
      <c r="F2513" s="7">
        <f>SQRT(IRS_returns_2015_25[[#This Row],[  σ2]])</f>
        <v>4.1689112846186962</v>
      </c>
    </row>
    <row r="2514" spans="1:6" x14ac:dyDescent="0.3">
      <c r="A2514" s="2">
        <v>45756</v>
      </c>
      <c r="B2514" s="1">
        <v>6.5624865604775104</v>
      </c>
      <c r="C2514" s="1">
        <f>IRS_returns_2015_25[[#This Row],[IRSrtn]]-AVERAGE($B$2:$B$2600)</f>
        <v>6.5567100664108944</v>
      </c>
      <c r="D2514" s="1">
        <f>w+a*C2513^2+b*D2513</f>
        <v>14.139443226343248</v>
      </c>
      <c r="E2514" s="1">
        <f t="shared" si="39"/>
        <v>-3.7636539249586649</v>
      </c>
      <c r="F2514" s="7">
        <f>SQRT(IRS_returns_2015_25[[#This Row],[  σ2]])</f>
        <v>3.7602451018973815</v>
      </c>
    </row>
    <row r="2515" spans="1:6" x14ac:dyDescent="0.3">
      <c r="A2515" s="2">
        <v>45757</v>
      </c>
      <c r="B2515" s="1">
        <v>-2.6404149261947563</v>
      </c>
      <c r="C2515" s="1">
        <f>IRS_returns_2015_25[[#This Row],[IRSrtn]]-AVERAGE($B$2:$B$2600)</f>
        <v>-2.6461914202613719</v>
      </c>
      <c r="D2515" s="1">
        <f>w+a*C2514^2+b*D2514</f>
        <v>21.232740572148799</v>
      </c>
      <c r="E2515" s="1">
        <f t="shared" si="39"/>
        <v>-2.6116053236005854</v>
      </c>
      <c r="F2515" s="7">
        <f>SQRT(IRS_returns_2015_25[[#This Row],[  σ2]])</f>
        <v>4.6078998005760496</v>
      </c>
    </row>
    <row r="2516" spans="1:6" x14ac:dyDescent="0.3">
      <c r="A2516" s="2">
        <v>45758</v>
      </c>
      <c r="B2516" s="1">
        <v>6.553095417921817</v>
      </c>
      <c r="C2516" s="1">
        <f>IRS_returns_2015_25[[#This Row],[IRSrtn]]-AVERAGE($B$2:$B$2600)</f>
        <v>6.547318923855201</v>
      </c>
      <c r="D2516" s="1">
        <f>w+a*C2515^2+b*D2515</f>
        <v>17.186370572886943</v>
      </c>
      <c r="E2516" s="1">
        <f t="shared" si="39"/>
        <v>-3.5881300181819391</v>
      </c>
      <c r="F2516" s="7">
        <f>SQRT(IRS_returns_2015_25[[#This Row],[  σ2]])</f>
        <v>4.1456447716714635</v>
      </c>
    </row>
    <row r="2517" spans="1:6" x14ac:dyDescent="0.3">
      <c r="A2517" s="2">
        <v>45761</v>
      </c>
      <c r="B2517" s="1">
        <v>8.3350257432431185</v>
      </c>
      <c r="C2517" s="1">
        <f>IRS_returns_2015_25[[#This Row],[IRSrtn]]-AVERAGE($B$2:$B$2600)</f>
        <v>8.3292492491765024</v>
      </c>
      <c r="D2517" s="1">
        <f>w+a*C2516^2+b*D2516</f>
        <v>23.231147050864088</v>
      </c>
      <c r="E2517" s="1">
        <f t="shared" si="39"/>
        <v>-3.9848617230677963</v>
      </c>
      <c r="F2517" s="7">
        <f>SQRT(IRS_returns_2015_25[[#This Row],[  σ2]])</f>
        <v>4.8198700242707879</v>
      </c>
    </row>
    <row r="2518" spans="1:6" x14ac:dyDescent="0.3">
      <c r="A2518" s="2">
        <v>45762</v>
      </c>
      <c r="B2518" s="1">
        <v>0.14398493690994663</v>
      </c>
      <c r="C2518" s="1">
        <f>IRS_returns_2015_25[[#This Row],[IRSrtn]]-AVERAGE($B$2:$B$2600)</f>
        <v>0.13820844284333084</v>
      </c>
      <c r="D2518" s="1">
        <f>w+a*C2517^2+b*D2517</f>
        <v>33.714169440860175</v>
      </c>
      <c r="E2518" s="1">
        <f t="shared" si="39"/>
        <v>-2.6781809238200593</v>
      </c>
      <c r="F2518" s="7">
        <f>SQRT(IRS_returns_2015_25[[#This Row],[  σ2]])</f>
        <v>5.8063903968696575</v>
      </c>
    </row>
    <row r="2519" spans="1:6" x14ac:dyDescent="0.3">
      <c r="A2519" s="2">
        <v>45763</v>
      </c>
      <c r="B2519" s="1">
        <v>0.430728737403685</v>
      </c>
      <c r="C2519" s="1">
        <f>IRS_returns_2015_25[[#This Row],[IRSrtn]]-AVERAGE($B$2:$B$2600)</f>
        <v>0.42495224333706921</v>
      </c>
      <c r="D2519" s="1">
        <f>w+a*C2518^2+b*D2518</f>
        <v>23.794004621422996</v>
      </c>
      <c r="E2519" s="1">
        <f t="shared" si="39"/>
        <v>-2.5074501003743439</v>
      </c>
      <c r="F2519" s="7">
        <f>SQRT(IRS_returns_2015_25[[#This Row],[  σ2]])</f>
        <v>4.8779098619616779</v>
      </c>
    </row>
    <row r="2520" spans="1:6" x14ac:dyDescent="0.3">
      <c r="A2520" s="2">
        <v>45764</v>
      </c>
      <c r="B2520" s="1">
        <v>4.6194346427118838</v>
      </c>
      <c r="C2520" s="1">
        <f>IRS_returns_2015_25[[#This Row],[IRSrtn]]-AVERAGE($B$2:$B$2600)</f>
        <v>4.6136581486452677</v>
      </c>
      <c r="D2520" s="1">
        <f>w+a*C2519^2+b*D2519</f>
        <v>17.229330357716709</v>
      </c>
      <c r="E2520" s="1">
        <f t="shared" si="39"/>
        <v>-2.9599662172554653</v>
      </c>
      <c r="F2520" s="7">
        <f>SQRT(IRS_returns_2015_25[[#This Row],[  σ2]])</f>
        <v>4.1508228530878917</v>
      </c>
    </row>
    <row r="2521" spans="1:6" x14ac:dyDescent="0.3">
      <c r="A2521" s="2">
        <v>45768</v>
      </c>
      <c r="B2521" s="1">
        <v>-5.6273650236596584</v>
      </c>
      <c r="C2521" s="1">
        <f>IRS_returns_2015_25[[#This Row],[IRSrtn]]-AVERAGE($B$2:$B$2600)</f>
        <v>-5.6331415177262745</v>
      </c>
      <c r="D2521" s="1">
        <f>w+a*C2520^2+b*D2520</f>
        <v>18.001407995529593</v>
      </c>
      <c r="E2521" s="1">
        <f t="shared" si="39"/>
        <v>-3.2455468935833287</v>
      </c>
      <c r="F2521" s="7">
        <f>SQRT(IRS_returns_2015_25[[#This Row],[  σ2]])</f>
        <v>4.2428066177389692</v>
      </c>
    </row>
    <row r="2522" spans="1:6" x14ac:dyDescent="0.3">
      <c r="A2522" s="2">
        <v>45769</v>
      </c>
      <c r="B2522" s="1">
        <v>3.134163477942975</v>
      </c>
      <c r="C2522" s="1">
        <f>IRS_returns_2015_25[[#This Row],[IRSrtn]]-AVERAGE($B$2:$B$2600)</f>
        <v>3.1283869838763594</v>
      </c>
      <c r="D2522" s="1">
        <f>w+a*C2521^2+b*D2521</f>
        <v>21.060666123094876</v>
      </c>
      <c r="E2522" s="1">
        <f t="shared" si="39"/>
        <v>-2.6749900493491081</v>
      </c>
      <c r="F2522" s="7">
        <f>SQRT(IRS_returns_2015_25[[#This Row],[  σ2]])</f>
        <v>4.5891901380412294</v>
      </c>
    </row>
    <row r="2523" spans="1:6" x14ac:dyDescent="0.3">
      <c r="A2523" s="2">
        <v>45770</v>
      </c>
      <c r="B2523" s="1">
        <v>-0.56258884112239116</v>
      </c>
      <c r="C2523" s="1">
        <f>IRS_returns_2015_25[[#This Row],[IRSrtn]]-AVERAGE($B$2:$B$2600)</f>
        <v>-0.568365335189007</v>
      </c>
      <c r="D2523" s="1">
        <f>w+a*C2522^2+b*D2522</f>
        <v>17.750254691203882</v>
      </c>
      <c r="E2523" s="1">
        <f t="shared" si="39"/>
        <v>-2.3662380294319592</v>
      </c>
      <c r="F2523" s="7">
        <f>SQRT(IRS_returns_2015_25[[#This Row],[  σ2]])</f>
        <v>4.213105112764679</v>
      </c>
    </row>
    <row r="2524" spans="1:6" x14ac:dyDescent="0.3">
      <c r="A2524" s="2">
        <v>45771</v>
      </c>
      <c r="B2524" s="1">
        <v>1.4701002132156749</v>
      </c>
      <c r="C2524" s="1">
        <f>IRS_returns_2015_25[[#This Row],[IRSrtn]]-AVERAGE($B$2:$B$2600)</f>
        <v>1.464323719149059</v>
      </c>
      <c r="D2524" s="1">
        <f>w+a*C2523^2+b*D2523</f>
        <v>13.240614083732083</v>
      </c>
      <c r="E2524" s="1">
        <f t="shared" si="39"/>
        <v>-2.2915552229795884</v>
      </c>
      <c r="F2524" s="7">
        <f>SQRT(IRS_returns_2015_25[[#This Row],[  σ2]])</f>
        <v>3.6387654614899381</v>
      </c>
    </row>
    <row r="2525" spans="1:6" x14ac:dyDescent="0.3">
      <c r="A2525" s="2">
        <v>45772</v>
      </c>
      <c r="B2525" s="1">
        <v>0.13888546647007338</v>
      </c>
      <c r="C2525" s="1">
        <f>IRS_returns_2015_25[[#This Row],[IRSrtn]]-AVERAGE($B$2:$B$2600)</f>
        <v>0.13310897240345759</v>
      </c>
      <c r="D2525" s="1">
        <f>w+a*C2524^2+b*D2524</f>
        <v>10.682207088678751</v>
      </c>
      <c r="E2525" s="1">
        <f t="shared" si="39"/>
        <v>-2.1040575903457746</v>
      </c>
      <c r="F2525" s="7">
        <f>SQRT(IRS_returns_2015_25[[#This Row],[  σ2]])</f>
        <v>3.2683645893135531</v>
      </c>
    </row>
    <row r="2526" spans="1:6" x14ac:dyDescent="0.3">
      <c r="A2526" s="2">
        <v>45775</v>
      </c>
      <c r="B2526" s="1">
        <v>-3.2442904827778563</v>
      </c>
      <c r="C2526" s="1">
        <f>IRS_returns_2015_25[[#This Row],[IRSrtn]]-AVERAGE($B$2:$B$2600)</f>
        <v>-3.2500669768444719</v>
      </c>
      <c r="D2526" s="1">
        <f>w+a*C2525^2+b*D2525</f>
        <v>8.4609052351840326</v>
      </c>
      <c r="E2526" s="1">
        <f t="shared" si="39"/>
        <v>-2.6108867848255861</v>
      </c>
      <c r="F2526" s="7">
        <f>SQRT(IRS_returns_2015_25[[#This Row],[  σ2]])</f>
        <v>2.908763523420911</v>
      </c>
    </row>
    <row r="2527" spans="1:6" x14ac:dyDescent="0.3">
      <c r="A2527" s="2">
        <v>45776</v>
      </c>
      <c r="B2527" s="1">
        <v>1.9169948558867222</v>
      </c>
      <c r="C2527" s="1">
        <f>IRS_returns_2015_25[[#This Row],[IRSrtn]]-AVERAGE($B$2:$B$2600)</f>
        <v>1.9112183618201064</v>
      </c>
      <c r="D2527" s="1">
        <f>w+a*C2526^2+b*D2526</f>
        <v>9.5514872360590637</v>
      </c>
      <c r="E2527" s="1">
        <f t="shared" si="39"/>
        <v>-2.2385009421890145</v>
      </c>
      <c r="F2527" s="7">
        <f>SQRT(IRS_returns_2015_25[[#This Row],[  σ2]])</f>
        <v>3.0905480478483205</v>
      </c>
    </row>
    <row r="2528" spans="1:6" x14ac:dyDescent="0.3">
      <c r="A2528" s="2">
        <v>45777</v>
      </c>
      <c r="B2528" s="1">
        <v>-2.3480261669978741</v>
      </c>
      <c r="C2528" s="1">
        <f>IRS_returns_2015_25[[#This Row],[IRSrtn]]-AVERAGE($B$2:$B$2600)</f>
        <v>-2.3538026610644898</v>
      </c>
      <c r="D2528" s="1">
        <f>w+a*C2527^2+b*D2527</f>
        <v>8.5938422086780655</v>
      </c>
      <c r="E2528" s="1">
        <f t="shared" si="39"/>
        <v>-2.3168078239710401</v>
      </c>
      <c r="F2528" s="7">
        <f>SQRT(IRS_returns_2015_25[[#This Row],[  σ2]])</f>
        <v>2.9315255770124309</v>
      </c>
    </row>
    <row r="2529" spans="1:6" x14ac:dyDescent="0.3">
      <c r="A2529" s="2">
        <v>45778</v>
      </c>
      <c r="B2529" s="1">
        <v>-1.1585995044032238</v>
      </c>
      <c r="C2529" s="1">
        <f>IRS_returns_2015_25[[#This Row],[IRSrtn]]-AVERAGE($B$2:$B$2600)</f>
        <v>-1.1643759984698396</v>
      </c>
      <c r="D2529" s="1">
        <f>w+a*C2528^2+b*D2528</f>
        <v>8.4162428481625717</v>
      </c>
      <c r="E2529" s="1">
        <f t="shared" si="39"/>
        <v>-2.064565223731615</v>
      </c>
      <c r="F2529" s="7">
        <f>SQRT(IRS_returns_2015_25[[#This Row],[  σ2]])</f>
        <v>2.9010761534579839</v>
      </c>
    </row>
    <row r="2530" spans="1:6" x14ac:dyDescent="0.3">
      <c r="A2530" s="2">
        <v>45779</v>
      </c>
      <c r="B2530" s="1">
        <v>0.94237825515146589</v>
      </c>
      <c r="C2530" s="1">
        <f>IRS_returns_2015_25[[#This Row],[IRSrtn]]-AVERAGE($B$2:$B$2600)</f>
        <v>0.93660176108485005</v>
      </c>
      <c r="D2530" s="1">
        <f>w+a*C2529^2+b*D2529</f>
        <v>7.2784313863586902</v>
      </c>
      <c r="E2530" s="1">
        <f t="shared" si="39"/>
        <v>-1.9716580255173346</v>
      </c>
      <c r="F2530" s="7">
        <f>SQRT(IRS_returns_2015_25[[#This Row],[  σ2]])</f>
        <v>2.6978568135389782</v>
      </c>
    </row>
    <row r="2531" spans="1:6" x14ac:dyDescent="0.3">
      <c r="A2531" s="2">
        <v>45782</v>
      </c>
      <c r="B2531" s="1">
        <v>-0.86956988548587688</v>
      </c>
      <c r="C2531" s="1">
        <f>IRS_returns_2015_25[[#This Row],[IRSrtn]]-AVERAGE($B$2:$B$2600)</f>
        <v>-0.87534637955249273</v>
      </c>
      <c r="D2531" s="1">
        <f>w+a*C2530^2+b*D2530</f>
        <v>6.4043730222068653</v>
      </c>
      <c r="E2531" s="1">
        <f t="shared" si="39"/>
        <v>-1.9072499984216285</v>
      </c>
      <c r="F2531" s="7">
        <f>SQRT(IRS_returns_2015_25[[#This Row],[  σ2]])</f>
        <v>2.5306862749473442</v>
      </c>
    </row>
    <row r="2532" spans="1:6" x14ac:dyDescent="0.3">
      <c r="A2532" s="2">
        <v>45783</v>
      </c>
      <c r="B2532" s="1">
        <v>2.9403326994118295</v>
      </c>
      <c r="C2532" s="1">
        <f>IRS_returns_2015_25[[#This Row],[IRSrtn]]-AVERAGE($B$2:$B$2600)</f>
        <v>2.9345562053452139</v>
      </c>
      <c r="D2532" s="1">
        <f>w+a*C2531^2+b*D2531</f>
        <v>5.7954546892690786</v>
      </c>
      <c r="E2532" s="1">
        <f t="shared" si="39"/>
        <v>-2.5404387874672238</v>
      </c>
      <c r="F2532" s="7">
        <f>SQRT(IRS_returns_2015_25[[#This Row],[  σ2]])</f>
        <v>2.4073750620269121</v>
      </c>
    </row>
    <row r="2533" spans="1:6" x14ac:dyDescent="0.3">
      <c r="A2533" s="2">
        <v>45784</v>
      </c>
      <c r="B2533" s="1">
        <v>1.7513582960746454</v>
      </c>
      <c r="C2533" s="1">
        <f>IRS_returns_2015_25[[#This Row],[IRSrtn]]-AVERAGE($B$2:$B$2600)</f>
        <v>1.7455818020080296</v>
      </c>
      <c r="D2533" s="1">
        <f>w+a*C2532^2+b*D2532</f>
        <v>7.3016147541566436</v>
      </c>
      <c r="E2533" s="1">
        <f t="shared" si="39"/>
        <v>-2.1216425939832222</v>
      </c>
      <c r="F2533" s="7">
        <f>SQRT(IRS_returns_2015_25[[#This Row],[  σ2]])</f>
        <v>2.7021500243614609</v>
      </c>
    </row>
    <row r="2534" spans="1:6" x14ac:dyDescent="0.3">
      <c r="A2534" s="2">
        <v>45785</v>
      </c>
      <c r="B2534" s="1">
        <v>2.3336691142249233</v>
      </c>
      <c r="C2534" s="1">
        <f>IRS_returns_2015_25[[#This Row],[IRSrtn]]-AVERAGE($B$2:$B$2600)</f>
        <v>2.3278926201583077</v>
      </c>
      <c r="D2534" s="1">
        <f>w+a*C2533^2+b*D2533</f>
        <v>6.94848587865713</v>
      </c>
      <c r="E2534" s="1">
        <f t="shared" si="39"/>
        <v>-2.2781475370353546</v>
      </c>
      <c r="F2534" s="7">
        <f>SQRT(IRS_returns_2015_25[[#This Row],[  σ2]])</f>
        <v>2.6359980801694696</v>
      </c>
    </row>
    <row r="2535" spans="1:6" x14ac:dyDescent="0.3">
      <c r="A2535" s="2">
        <v>45786</v>
      </c>
      <c r="B2535" s="1">
        <v>3.1388237545970199</v>
      </c>
      <c r="C2535" s="1">
        <f>IRS_returns_2015_25[[#This Row],[IRSrtn]]-AVERAGE($B$2:$B$2600)</f>
        <v>3.1330472605304043</v>
      </c>
      <c r="D2535" s="1">
        <f>w+a*C2534^2+b*D2534</f>
        <v>7.2913462124032806</v>
      </c>
      <c r="E2535" s="1">
        <f t="shared" si="39"/>
        <v>-2.5854083367010174</v>
      </c>
      <c r="F2535" s="7">
        <f>SQRT(IRS_returns_2015_25[[#This Row],[  σ2]])</f>
        <v>2.7002492870850427</v>
      </c>
    </row>
    <row r="2536" spans="1:6" x14ac:dyDescent="0.3">
      <c r="A2536" s="2">
        <v>45789</v>
      </c>
      <c r="B2536" s="1">
        <v>-6.5769347533661815E-2</v>
      </c>
      <c r="C2536" s="1">
        <f>IRS_returns_2015_25[[#This Row],[IRSrtn]]-AVERAGE($B$2:$B$2600)</f>
        <v>-7.1545841600277604E-2</v>
      </c>
      <c r="D2536" s="1">
        <f>w+a*C2535^2+b*D2535</f>
        <v>8.590897999672654</v>
      </c>
      <c r="E2536" s="1">
        <f t="shared" si="39"/>
        <v>-1.9945880889281846</v>
      </c>
      <c r="F2536" s="7">
        <f>SQRT(IRS_returns_2015_25[[#This Row],[  σ2]])</f>
        <v>2.9310233707141697</v>
      </c>
    </row>
    <row r="2537" spans="1:6" x14ac:dyDescent="0.3">
      <c r="A2537" s="2">
        <v>45790</v>
      </c>
      <c r="B2537" s="1">
        <v>1.8899224348789989</v>
      </c>
      <c r="C2537" s="1">
        <f>IRS_returns_2015_25[[#This Row],[IRSrtn]]-AVERAGE($B$2:$B$2600)</f>
        <v>1.8841459408123831</v>
      </c>
      <c r="D2537" s="1">
        <f>w+a*C2536^2+b*D2536</f>
        <v>7.0656160319140318</v>
      </c>
      <c r="E2537" s="1">
        <f t="shared" si="39"/>
        <v>-2.1477756510352495</v>
      </c>
      <c r="F2537" s="7">
        <f>SQRT(IRS_returns_2015_25[[#This Row],[  σ2]])</f>
        <v>2.6581226517815222</v>
      </c>
    </row>
    <row r="2538" spans="1:6" x14ac:dyDescent="0.3">
      <c r="A2538" s="2">
        <v>45791</v>
      </c>
      <c r="B2538" s="1">
        <v>-1.299562220660011</v>
      </c>
      <c r="C2538" s="1">
        <f>IRS_returns_2015_25[[#This Row],[IRSrtn]]-AVERAGE($B$2:$B$2600)</f>
        <v>-1.3053387147266269</v>
      </c>
      <c r="D2538" s="1">
        <f>w+a*C2537^2+b*D2537</f>
        <v>6.9139212601979141</v>
      </c>
      <c r="E2538" s="1">
        <f t="shared" si="39"/>
        <v>-2.0089300763172373</v>
      </c>
      <c r="F2538" s="7">
        <f>SQRT(IRS_returns_2015_25[[#This Row],[  σ2]])</f>
        <v>2.6294336386754305</v>
      </c>
    </row>
    <row r="2539" spans="1:6" x14ac:dyDescent="0.3">
      <c r="A2539" s="2">
        <v>45792</v>
      </c>
      <c r="B2539" s="1">
        <v>-0.65617284629286843</v>
      </c>
      <c r="C2539" s="1">
        <f>IRS_returns_2015_25[[#This Row],[IRSrtn]]-AVERAGE($B$2:$B$2600)</f>
        <v>-0.66194934035948427</v>
      </c>
      <c r="D2539" s="1">
        <f>w+a*C2538^2+b*D2538</f>
        <v>6.3631344651867243</v>
      </c>
      <c r="E2539" s="1">
        <f t="shared" si="39"/>
        <v>-1.87862998424818</v>
      </c>
      <c r="F2539" s="7">
        <f>SQRT(IRS_returns_2015_25[[#This Row],[  σ2]])</f>
        <v>2.522525414180544</v>
      </c>
    </row>
    <row r="2540" spans="1:6" x14ac:dyDescent="0.3">
      <c r="A2540" s="2">
        <v>45793</v>
      </c>
      <c r="B2540" s="1">
        <v>-0.85950387484037272</v>
      </c>
      <c r="C2540" s="1">
        <f>IRS_returns_2015_25[[#This Row],[IRSrtn]]-AVERAGE($B$2:$B$2600)</f>
        <v>-0.86528036890698856</v>
      </c>
      <c r="D2540" s="1">
        <f>w+a*C2539^2+b*D2539</f>
        <v>5.6880711248955667</v>
      </c>
      <c r="E2540" s="1">
        <f t="shared" si="39"/>
        <v>-1.8539381923270049</v>
      </c>
      <c r="F2540" s="7">
        <f>SQRT(IRS_returns_2015_25[[#This Row],[  σ2]])</f>
        <v>2.3849677408500867</v>
      </c>
    </row>
    <row r="2541" spans="1:6" x14ac:dyDescent="0.3">
      <c r="A2541" s="2">
        <v>45796</v>
      </c>
      <c r="B2541" s="1">
        <v>4.0343784150261186</v>
      </c>
      <c r="C2541" s="1">
        <f>IRS_returns_2015_25[[#This Row],[IRSrtn]]-AVERAGE($B$2:$B$2600)</f>
        <v>4.0286019209595025</v>
      </c>
      <c r="D2541" s="1">
        <f>w+a*C2540^2+b*D2540</f>
        <v>5.3143315160635316</v>
      </c>
      <c r="E2541" s="1">
        <f t="shared" si="39"/>
        <v>-3.2811106288834795</v>
      </c>
      <c r="F2541" s="7">
        <f>SQRT(IRS_returns_2015_25[[#This Row],[  σ2]])</f>
        <v>2.3052833917034001</v>
      </c>
    </row>
    <row r="2542" spans="1:6" x14ac:dyDescent="0.3">
      <c r="A2542" s="2">
        <v>45797</v>
      </c>
      <c r="B2542" s="1">
        <v>0.57233956174433942</v>
      </c>
      <c r="C2542" s="1">
        <f>IRS_returns_2015_25[[#This Row],[IRSrtn]]-AVERAGE($B$2:$B$2600)</f>
        <v>0.56656306767772358</v>
      </c>
      <c r="D2542" s="1">
        <f>w+a*C2541^2+b*D2541</f>
        <v>8.8374501991840866</v>
      </c>
      <c r="E2542" s="1">
        <f t="shared" si="39"/>
        <v>-2.0265987223698803</v>
      </c>
      <c r="F2542" s="7">
        <f>SQRT(IRS_returns_2015_25[[#This Row],[  σ2]])</f>
        <v>2.9727849231291668</v>
      </c>
    </row>
    <row r="2543" spans="1:6" x14ac:dyDescent="0.3">
      <c r="A2543" s="2">
        <v>45798</v>
      </c>
      <c r="B2543" s="1">
        <v>-1.5979885752292144</v>
      </c>
      <c r="C2543" s="1">
        <f>IRS_returns_2015_25[[#This Row],[IRSrtn]]-AVERAGE($B$2:$B$2600)</f>
        <v>-1.6037650692958303</v>
      </c>
      <c r="D2543" s="1">
        <f>w+a*C2542^2+b*D2542</f>
        <v>7.3067127987121312</v>
      </c>
      <c r="E2543" s="1">
        <f t="shared" si="39"/>
        <v>-2.0893420850304016</v>
      </c>
      <c r="F2543" s="7">
        <f>SQRT(IRS_returns_2015_25[[#This Row],[  σ2]])</f>
        <v>2.703093190904104</v>
      </c>
    </row>
    <row r="2544" spans="1:6" x14ac:dyDescent="0.3">
      <c r="A2544" s="2">
        <v>45799</v>
      </c>
      <c r="B2544" s="1">
        <v>-0.97119941453827074</v>
      </c>
      <c r="C2544" s="1">
        <f>IRS_returns_2015_25[[#This Row],[IRSrtn]]-AVERAGE($B$2:$B$2600)</f>
        <v>-0.97697590860488659</v>
      </c>
      <c r="D2544" s="1">
        <f>w+a*C2543^2+b*D2543</f>
        <v>6.8361476927432587</v>
      </c>
      <c r="E2544" s="1">
        <f t="shared" si="39"/>
        <v>-1.9498621068693189</v>
      </c>
      <c r="F2544" s="7">
        <f>SQRT(IRS_returns_2015_25[[#This Row],[  σ2]])</f>
        <v>2.6146027791508328</v>
      </c>
    </row>
    <row r="2545" spans="1:6" x14ac:dyDescent="0.3">
      <c r="A2545" s="2">
        <v>45800</v>
      </c>
      <c r="B2545" s="1">
        <v>0.8422473820429488</v>
      </c>
      <c r="C2545" s="1">
        <f>IRS_returns_2015_25[[#This Row],[IRSrtn]]-AVERAGE($B$2:$B$2600)</f>
        <v>0.83647088797633296</v>
      </c>
      <c r="D2545" s="1">
        <f>w+a*C2544^2+b*D2544</f>
        <v>6.128761529176221</v>
      </c>
      <c r="E2545" s="1">
        <f t="shared" si="39"/>
        <v>-1.8825168493850788</v>
      </c>
      <c r="F2545" s="7">
        <f>SQRT(IRS_returns_2015_25[[#This Row],[  σ2]])</f>
        <v>2.4756335611669633</v>
      </c>
    </row>
    <row r="2546" spans="1:6" x14ac:dyDescent="0.3">
      <c r="A2546" s="2">
        <v>45804</v>
      </c>
      <c r="B2546" s="1">
        <v>0.38635217926983323</v>
      </c>
      <c r="C2546" s="1">
        <f>IRS_returns_2015_25[[#This Row],[IRSrtn]]-AVERAGE($B$2:$B$2600)</f>
        <v>0.38057568520321744</v>
      </c>
      <c r="D2546" s="1">
        <f>w+a*C2545^2+b*D2545</f>
        <v>5.5957611710575987</v>
      </c>
      <c r="E2546" s="1">
        <f t="shared" si="39"/>
        <v>-1.7928849690273481</v>
      </c>
      <c r="F2546" s="7">
        <f>SQRT(IRS_returns_2015_25[[#This Row],[  σ2]])</f>
        <v>2.3655361276162319</v>
      </c>
    </row>
    <row r="2547" spans="1:6" x14ac:dyDescent="0.3">
      <c r="A2547" s="2">
        <v>45805</v>
      </c>
      <c r="B2547" s="1">
        <v>-0.96869062877495971</v>
      </c>
      <c r="C2547" s="1">
        <f>IRS_returns_2015_25[[#This Row],[IRSrtn]]-AVERAGE($B$2:$B$2600)</f>
        <v>-0.97446712284157555</v>
      </c>
      <c r="D2547" s="1">
        <f>w+a*C2546^2+b*D2546</f>
        <v>5.1057458993509037</v>
      </c>
      <c r="E2547" s="1">
        <f t="shared" si="39"/>
        <v>-1.8271137240615269</v>
      </c>
      <c r="F2547" s="7">
        <f>SQRT(IRS_returns_2015_25[[#This Row],[  σ2]])</f>
        <v>2.2595897635081692</v>
      </c>
    </row>
    <row r="2548" spans="1:6" x14ac:dyDescent="0.3">
      <c r="A2548" s="2">
        <v>45806</v>
      </c>
      <c r="B2548" s="1">
        <v>0.12970467230002392</v>
      </c>
      <c r="C2548" s="1">
        <f>IRS_returns_2015_25[[#This Row],[IRSrtn]]-AVERAGE($B$2:$B$2600)</f>
        <v>0.12392817823340813</v>
      </c>
      <c r="D2548" s="1">
        <f>w+a*C2547^2+b*D2547</f>
        <v>4.9756112855872905</v>
      </c>
      <c r="E2548" s="1">
        <f t="shared" si="39"/>
        <v>-1.7227559978610874</v>
      </c>
      <c r="F2548" s="7">
        <f>SQRT(IRS_returns_2015_25[[#This Row],[  σ2]])</f>
        <v>2.2306078287290418</v>
      </c>
    </row>
    <row r="2549" spans="1:6" x14ac:dyDescent="0.3">
      <c r="A2549" s="2">
        <v>45807</v>
      </c>
      <c r="B2549" s="1">
        <v>-2.1618917069375687</v>
      </c>
      <c r="C2549" s="1">
        <f>IRS_returns_2015_25[[#This Row],[IRSrtn]]-AVERAGE($B$2:$B$2600)</f>
        <v>-2.1676682010041843</v>
      </c>
      <c r="D2549" s="1">
        <f>w+a*C2548^2+b*D2548</f>
        <v>4.6613540669014526</v>
      </c>
      <c r="E2549" s="1">
        <f t="shared" si="39"/>
        <v>-2.1926065962861236</v>
      </c>
      <c r="F2549" s="7">
        <f>SQRT(IRS_returns_2015_25[[#This Row],[  σ2]])</f>
        <v>2.159016921402297</v>
      </c>
    </row>
  </sheetData>
  <pageMargins left="0.7" right="0.7" top="0.75" bottom="0.75" header="0.3" footer="0.3"/>
  <pageSetup paperSize="9" orientation="portrait" horizontalDpi="300" verticalDpi="300" r:id="rId1"/>
  <ignoredErrors>
    <ignoredError sqref="D2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B4B7-FFCD-402C-BD06-C770DFB56ACF}">
  <dimension ref="A1"/>
  <sheetViews>
    <sheetView zoomScale="130" zoomScaleNormal="130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DBAC90-FF97-4BA8-AFEE-B91CF55A39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IRS_returns_2015-25</vt:lpstr>
      <vt:lpstr>Sheet1</vt:lpstr>
      <vt:lpstr>a</vt:lpstr>
      <vt:lpstr>b</vt:lpstr>
      <vt:lpstr>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Duran</dc:creator>
  <cp:lastModifiedBy>Lucas Duran</cp:lastModifiedBy>
  <dcterms:created xsi:type="dcterms:W3CDTF">2025-07-08T21:23:23Z</dcterms:created>
  <dcterms:modified xsi:type="dcterms:W3CDTF">2025-07-14T22:16:32Z</dcterms:modified>
</cp:coreProperties>
</file>