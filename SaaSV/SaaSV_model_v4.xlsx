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quant-summer-2025\SaaSV\"/>
    </mc:Choice>
  </mc:AlternateContent>
  <xr:revisionPtr revIDLastSave="0" documentId="13_ncr:1_{2E7DC5B6-DBC7-4EC7-BBD6-1C1819ACDA47}" xr6:coauthVersionLast="47" xr6:coauthVersionMax="47" xr10:uidLastSave="{00000000-0000-0000-0000-000000000000}"/>
  <bookViews>
    <workbookView xWindow="-108" yWindow="-108" windowWidth="23256" windowHeight="13176" xr2:uid="{270BAFE9-F160-4EC3-8ED5-C7005A9C532B}"/>
  </bookViews>
  <sheets>
    <sheet name="MonteCarlo" sheetId="8" r:id="rId1"/>
    <sheet name="Drivers" sheetId="1" r:id="rId2"/>
    <sheet name="IncomeStmt" sheetId="2" r:id="rId3"/>
    <sheet name="BalanceSheet" sheetId="3" r:id="rId4"/>
    <sheet name="CashFlow" sheetId="4" r:id="rId5"/>
    <sheet name="FCF_Sched" sheetId="5" r:id="rId6"/>
    <sheet name="WACC_inputs" sheetId="6" r:id="rId7"/>
    <sheet name="DCF" sheetId="7" r:id="rId8"/>
  </sheets>
  <definedNames>
    <definedName name="_xlchart.v1.0" hidden="1">MonteCarlo!$B$9:$B$1008</definedName>
    <definedName name="_xlchart.v1.1" hidden="1">MonteCarlo!$B$9:$B$1008</definedName>
    <definedName name="base_decay">MonteCarlo!$C$3</definedName>
    <definedName name="base_growth">MonteCarlo!$C$2</definedName>
    <definedName name="base_margin">MonteCarlo!$C$4</definedName>
    <definedName name="base_wacc">MonteCarlo!$C$5</definedName>
    <definedName name="beta_L">WACC_inputs!$B$11</definedName>
    <definedName name="beta_table">WACC_inputs!$B$17:$B$19</definedName>
    <definedName name="beta_U">WACC_inputs!$B$12</definedName>
    <definedName name="current_price">DCF!$B$17</definedName>
    <definedName name="erp_base">WACC_inputs!$B$3</definedName>
    <definedName name="ev_per_share">DCF!$B$16</definedName>
    <definedName name="ke">WACC_inputs!$B$14</definedName>
    <definedName name="rf">WACC_inputs!$B$2</definedName>
    <definedName name="tax_rate">FCF_Sched!$I$1</definedName>
    <definedName name="wacc">WACC_inputs!$B$15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8" l="1" a="1"/>
  <c r="H5" i="8" s="1"/>
  <c r="H4" i="8"/>
  <c r="H3" i="8"/>
  <c r="H2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9" i="8"/>
  <c r="E5" i="8"/>
  <c r="B15" i="6" s="1"/>
  <c r="D2" i="8"/>
  <c r="B2" i="8"/>
  <c r="D3" i="8"/>
  <c r="B3" i="8"/>
  <c r="E3" i="8"/>
  <c r="B3" i="1" s="1"/>
  <c r="B4" i="8"/>
  <c r="D11" i="1"/>
  <c r="E11" i="1"/>
  <c r="F11" i="1"/>
  <c r="C11" i="1"/>
  <c r="D10" i="1"/>
  <c r="E10" i="1"/>
  <c r="F10" i="1"/>
  <c r="C10" i="1"/>
  <c r="D9" i="1"/>
  <c r="E9" i="1"/>
  <c r="F9" i="1"/>
  <c r="C9" i="1"/>
  <c r="B13" i="7"/>
  <c r="A13" i="7"/>
  <c r="A12" i="7"/>
  <c r="B10" i="6"/>
  <c r="B8" i="6"/>
  <c r="B12" i="6" s="1"/>
  <c r="B13" i="6" s="1"/>
  <c r="B14" i="6" s="1"/>
  <c r="D15" i="6" s="1"/>
  <c r="B6" i="6"/>
  <c r="B26" i="5"/>
  <c r="C14" i="1"/>
  <c r="D14" i="1" s="1"/>
  <c r="C8" i="4"/>
  <c r="D8" i="4"/>
  <c r="E8" i="4"/>
  <c r="F8" i="4"/>
  <c r="C11" i="4"/>
  <c r="D11" i="4"/>
  <c r="E11" i="4"/>
  <c r="F11" i="4"/>
  <c r="B13" i="4"/>
  <c r="B11" i="4"/>
  <c r="B8" i="4"/>
  <c r="B3" i="7" l="1"/>
  <c r="C6" i="7" s="1"/>
  <c r="D4" i="8"/>
  <c r="E2" i="8"/>
  <c r="E4" i="8"/>
  <c r="B12" i="1" s="1"/>
  <c r="D3" i="7"/>
  <c r="F3" i="7"/>
  <c r="E3" i="7"/>
  <c r="C3" i="7"/>
  <c r="E14" i="1"/>
  <c r="C5" i="1"/>
  <c r="D5" i="1" s="1"/>
  <c r="E5" i="1" s="1"/>
  <c r="F5" i="1" s="1"/>
  <c r="E6" i="7" l="1"/>
  <c r="F6" i="7"/>
  <c r="D6" i="7"/>
  <c r="B6" i="7"/>
  <c r="C12" i="1"/>
  <c r="E12" i="1"/>
  <c r="F12" i="1"/>
  <c r="D12" i="1"/>
  <c r="B4" i="1"/>
  <c r="C4" i="1" s="1"/>
  <c r="F14" i="1"/>
  <c r="B6" i="1"/>
  <c r="B2" i="2" s="1"/>
  <c r="D4" i="1" l="1"/>
  <c r="E4" i="1" s="1"/>
  <c r="F4" i="1" s="1"/>
  <c r="C2" i="1"/>
  <c r="C6" i="1" s="1"/>
  <c r="C2" i="2" s="1"/>
  <c r="C6" i="2" s="1"/>
  <c r="B3" i="2"/>
  <c r="B4" i="2" s="1"/>
  <c r="B8" i="2"/>
  <c r="B5" i="2"/>
  <c r="B6" i="2"/>
  <c r="B3" i="3"/>
  <c r="B5" i="3" s="1"/>
  <c r="B5" i="5"/>
  <c r="D2" i="1" l="1"/>
  <c r="E2" i="1" s="1"/>
  <c r="E6" i="1" s="1"/>
  <c r="E2" i="2" s="1"/>
  <c r="C3" i="2"/>
  <c r="C4" i="2" s="1"/>
  <c r="C8" i="2"/>
  <c r="C5" i="5"/>
  <c r="C3" i="3"/>
  <c r="B4" i="4" s="1"/>
  <c r="C5" i="2"/>
  <c r="B7" i="2"/>
  <c r="B9" i="2" s="1"/>
  <c r="B4" i="5"/>
  <c r="B6" i="3"/>
  <c r="B8" i="3" s="1"/>
  <c r="C7" i="2" l="1"/>
  <c r="C4" i="5"/>
  <c r="C6" i="3"/>
  <c r="B5" i="4" s="1"/>
  <c r="B6" i="5" s="1"/>
  <c r="D6" i="1"/>
  <c r="D2" i="2" s="1"/>
  <c r="D6" i="2" s="1"/>
  <c r="F2" i="1"/>
  <c r="F6" i="1" s="1"/>
  <c r="F2" i="2" s="1"/>
  <c r="F3" i="2" s="1"/>
  <c r="F4" i="2" s="1"/>
  <c r="C9" i="2"/>
  <c r="E3" i="2"/>
  <c r="E4" i="2" s="1"/>
  <c r="E8" i="2"/>
  <c r="E6" i="2"/>
  <c r="E5" i="5"/>
  <c r="E3" i="3"/>
  <c r="E5" i="2"/>
  <c r="D8" i="2" l="1"/>
  <c r="D3" i="2"/>
  <c r="D4" i="2" s="1"/>
  <c r="D5" i="2"/>
  <c r="D5" i="5"/>
  <c r="D3" i="3"/>
  <c r="C4" i="4" s="1"/>
  <c r="F5" i="2"/>
  <c r="F8" i="2"/>
  <c r="F5" i="5"/>
  <c r="F3" i="3"/>
  <c r="E4" i="4" s="1"/>
  <c r="F6" i="2"/>
  <c r="C11" i="2"/>
  <c r="C25" i="5" s="1"/>
  <c r="C2" i="5"/>
  <c r="B11" i="2"/>
  <c r="B25" i="5" s="1"/>
  <c r="B27" i="5" s="1"/>
  <c r="B28" i="5" s="1"/>
  <c r="B2" i="5"/>
  <c r="F4" i="5"/>
  <c r="F6" i="3"/>
  <c r="E4" i="5"/>
  <c r="E6" i="3"/>
  <c r="E7" i="2"/>
  <c r="E9" i="2" s="1"/>
  <c r="D4" i="5" l="1"/>
  <c r="D4" i="4"/>
  <c r="D6" i="3"/>
  <c r="C5" i="4" s="1"/>
  <c r="C6" i="5" s="1"/>
  <c r="D7" i="2"/>
  <c r="D9" i="2" s="1"/>
  <c r="D2" i="5" s="1"/>
  <c r="F7" i="2"/>
  <c r="F4" i="4"/>
  <c r="E11" i="2"/>
  <c r="E25" i="5" s="1"/>
  <c r="E2" i="5"/>
  <c r="F9" i="2"/>
  <c r="B29" i="5"/>
  <c r="B30" i="5" s="1"/>
  <c r="C26" i="5" s="1"/>
  <c r="C27" i="5" s="1"/>
  <c r="C28" i="5" s="1"/>
  <c r="B3" i="5"/>
  <c r="B7" i="5" s="1"/>
  <c r="B12" i="2"/>
  <c r="B13" i="2" s="1"/>
  <c r="B2" i="4" s="1"/>
  <c r="B6" i="4" s="1"/>
  <c r="F5" i="4"/>
  <c r="E5" i="4"/>
  <c r="E6" i="5" s="1"/>
  <c r="D11" i="2" l="1"/>
  <c r="D25" i="5" s="1"/>
  <c r="D5" i="4"/>
  <c r="D6" i="5" s="1"/>
  <c r="F6" i="5"/>
  <c r="F11" i="2"/>
  <c r="F25" i="5" s="1"/>
  <c r="F2" i="5"/>
  <c r="C29" i="5"/>
  <c r="C30" i="5" s="1"/>
  <c r="D26" i="5" s="1"/>
  <c r="B12" i="4"/>
  <c r="B14" i="4" s="1"/>
  <c r="C2" i="3" s="1"/>
  <c r="B16" i="4"/>
  <c r="B10" i="5"/>
  <c r="B5" i="7"/>
  <c r="B7" i="7" s="1"/>
  <c r="C12" i="2"/>
  <c r="C13" i="2" s="1"/>
  <c r="C2" i="4" s="1"/>
  <c r="C6" i="4" s="1"/>
  <c r="C16" i="4" s="1"/>
  <c r="C3" i="5"/>
  <c r="C7" i="5" s="1"/>
  <c r="D27" i="5" l="1"/>
  <c r="D28" i="5" s="1"/>
  <c r="D3" i="5" s="1"/>
  <c r="D7" i="5" s="1"/>
  <c r="C5" i="3"/>
  <c r="C8" i="3" s="1"/>
  <c r="C13" i="4"/>
  <c r="C10" i="5"/>
  <c r="C5" i="7"/>
  <c r="C7" i="7" s="1"/>
  <c r="C12" i="4"/>
  <c r="D12" i="2"/>
  <c r="D13" i="2" s="1"/>
  <c r="D2" i="4" s="1"/>
  <c r="D6" i="4" s="1"/>
  <c r="D16" i="4" s="1"/>
  <c r="D29" i="5" l="1"/>
  <c r="D30" i="5" s="1"/>
  <c r="E26" i="5" s="1"/>
  <c r="E27" i="5" s="1"/>
  <c r="E28" i="5" s="1"/>
  <c r="C14" i="4"/>
  <c r="D2" i="3" s="1"/>
  <c r="D5" i="3" s="1"/>
  <c r="D8" i="3" s="1"/>
  <c r="D10" i="5"/>
  <c r="D5" i="7"/>
  <c r="D7" i="7" s="1"/>
  <c r="D12" i="4"/>
  <c r="E29" i="5"/>
  <c r="E30" i="5" s="1"/>
  <c r="F26" i="5" s="1"/>
  <c r="D13" i="4" l="1"/>
  <c r="D14" i="4" s="1"/>
  <c r="E2" i="3" s="1"/>
  <c r="E5" i="3" s="1"/>
  <c r="E8" i="3" s="1"/>
  <c r="E12" i="2"/>
  <c r="E13" i="2" s="1"/>
  <c r="E2" i="4" s="1"/>
  <c r="E6" i="4" s="1"/>
  <c r="E12" i="4" s="1"/>
  <c r="E3" i="5"/>
  <c r="E7" i="5" s="1"/>
  <c r="F27" i="5"/>
  <c r="F28" i="5" s="1"/>
  <c r="E13" i="4" l="1"/>
  <c r="E14" i="4" s="1"/>
  <c r="F2" i="3" s="1"/>
  <c r="B12" i="7" s="1"/>
  <c r="E10" i="5"/>
  <c r="E5" i="7"/>
  <c r="E7" i="7" s="1"/>
  <c r="E16" i="4"/>
  <c r="F29" i="5"/>
  <c r="F5" i="3" l="1"/>
  <c r="F8" i="3" s="1"/>
  <c r="F13" i="4"/>
  <c r="F12" i="2"/>
  <c r="F13" i="2" s="1"/>
  <c r="F2" i="4" s="1"/>
  <c r="F6" i="4" s="1"/>
  <c r="F12" i="4" s="1"/>
  <c r="F3" i="5"/>
  <c r="F7" i="5" s="1"/>
  <c r="F30" i="5"/>
  <c r="F14" i="4" l="1"/>
  <c r="F16" i="4"/>
  <c r="F10" i="5"/>
  <c r="F5" i="7"/>
  <c r="B9" i="7" l="1"/>
  <c r="B10" i="7" s="1"/>
  <c r="F7" i="7"/>
  <c r="B8" i="7" s="1"/>
  <c r="B11" i="7" l="1"/>
  <c r="B14" i="7" s="1"/>
  <c r="B16" i="7" s="1"/>
  <c r="B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Duran</author>
  </authors>
  <commentList>
    <comment ref="B2" authorId="0" shapeId="0" xr:uid="{CCF761CD-F4CF-417A-B8E6-1CFF23CADFCF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10-yr UST</t>
        </r>
      </text>
    </comment>
    <comment ref="B3" authorId="0" shapeId="0" xr:uid="{A7432ED8-EEF4-45B7-955F-C240AB1C81B7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Damodaran Jan-25 mature ERP</t>
        </r>
      </text>
    </comment>
    <comment ref="B4" authorId="0" shapeId="0" xr:uid="{9D6AE03F-5B82-42C2-A0C9-E633B3B5758D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Argentina line in Damodaran table</t>
        </r>
      </text>
    </comment>
    <comment ref="B5" authorId="0" shapeId="0" xr:uid="{504416D6-3567-4296-8CD1-6672D1D1EB9F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from same table (CRP column)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<sst xmlns="http://schemas.openxmlformats.org/spreadsheetml/2006/main" count="124" uniqueCount="109">
  <si>
    <t>Line Item</t>
  </si>
  <si>
    <t># Customers (beginning)</t>
  </si>
  <si>
    <t>Average Revenue per Customer ($)</t>
  </si>
  <si>
    <t>Growth Rate (%)</t>
  </si>
  <si>
    <t>Total Revenue (in $000´s)</t>
  </si>
  <si>
    <t>Revenue</t>
  </si>
  <si>
    <t>COGS</t>
  </si>
  <si>
    <t>Gross Profit</t>
  </si>
  <si>
    <t>SG&amp;A</t>
  </si>
  <si>
    <t>R&amp;D</t>
  </si>
  <si>
    <t>EBIT</t>
  </si>
  <si>
    <t>Interest Expense</t>
  </si>
  <si>
    <t>Pre-Tax Income</t>
  </si>
  <si>
    <t>Tax Expense</t>
  </si>
  <si>
    <t>Net Income</t>
  </si>
  <si>
    <t>All Numbers in 000´s</t>
  </si>
  <si>
    <t>Cash</t>
  </si>
  <si>
    <t>Accounts Receivable</t>
  </si>
  <si>
    <t>Net PP&amp;E</t>
  </si>
  <si>
    <t>Total Assets</t>
  </si>
  <si>
    <t>Accounts Payable</t>
  </si>
  <si>
    <t>Long-Term Debt</t>
  </si>
  <si>
    <t>Common Equity</t>
  </si>
  <si>
    <t>All numbers in $000´s</t>
  </si>
  <si>
    <t>Depreciation &amp; Amortization</t>
  </si>
  <si>
    <t>∆ Accounts Payable</t>
  </si>
  <si>
    <t>∆ Accounts Receivable</t>
  </si>
  <si>
    <t>Operating Cash Flow</t>
  </si>
  <si>
    <t>Capital Expenditures (CapEx)</t>
  </si>
  <si>
    <t>Investing Cash Flow</t>
  </si>
  <si>
    <t>Debt Issued (Repaid)</t>
  </si>
  <si>
    <t>Equity Issued</t>
  </si>
  <si>
    <t>Financing Cash Flow</t>
  </si>
  <si>
    <t>Net Change in Cash</t>
  </si>
  <si>
    <t>Beggining Cash</t>
  </si>
  <si>
    <t>Ending Cash</t>
  </si>
  <si>
    <t>Blue Cells = Inputs</t>
  </si>
  <si>
    <t>A-col label</t>
  </si>
  <si>
    <t>SG&amp;A % of Revenue</t>
  </si>
  <si>
    <t>R&amp;D % of Revenue</t>
  </si>
  <si>
    <t>DSO (days)</t>
  </si>
  <si>
    <t>DPO(days)</t>
  </si>
  <si>
    <t>Free Cash Flow</t>
  </si>
  <si>
    <t>Less: Cash tax</t>
  </si>
  <si>
    <t>Tax Rate</t>
  </si>
  <si>
    <t xml:space="preserve">Add: Depr. &amp; Amort. </t>
  </si>
  <si>
    <t>Less: Capital Expenditures</t>
  </si>
  <si>
    <t>Less: ∆ Net Working Capital</t>
  </si>
  <si>
    <t>Unlevered FCF</t>
  </si>
  <si>
    <t>RevAdj</t>
  </si>
  <si>
    <r>
      <t xml:space="preserve">Sensititivity: Rev growth </t>
    </r>
    <r>
      <rPr>
        <b/>
        <sz val="11"/>
        <color theme="1"/>
        <rFont val="Aptos Narrow"/>
        <family val="2"/>
      </rPr>
      <t>±</t>
    </r>
    <r>
      <rPr>
        <b/>
        <sz val="11"/>
        <color theme="1"/>
        <rFont val="Times New Roman"/>
        <family val="1"/>
      </rPr>
      <t>5%</t>
    </r>
  </si>
  <si>
    <t>Beg. NOL</t>
  </si>
  <si>
    <t>Taxable Income</t>
  </si>
  <si>
    <t>Cash Tax @25%</t>
  </si>
  <si>
    <t>NOL Used</t>
  </si>
  <si>
    <t>End NOL</t>
  </si>
  <si>
    <t>Risk-free rate (Rf)</t>
  </si>
  <si>
    <t>Base ERP (US)</t>
  </si>
  <si>
    <t>Country default spread</t>
  </si>
  <si>
    <t>Country equity risk premium</t>
  </si>
  <si>
    <t>Corporate tax rate</t>
  </si>
  <si>
    <t>Debt/(Debt+Equity)</t>
  </si>
  <si>
    <t>Equity/(Debt+Equity)</t>
  </si>
  <si>
    <t>Cost of Debt (pre-tax)</t>
  </si>
  <si>
    <t>Cost of Debt (after-tax)</t>
  </si>
  <si>
    <t>Beta picker (levered)</t>
  </si>
  <si>
    <t>Cost of equity (ke)</t>
  </si>
  <si>
    <t>WACC</t>
  </si>
  <si>
    <t>Unlevered β</t>
  </si>
  <si>
    <t>Re-levered β (target)</t>
  </si>
  <si>
    <t>SaaS 25th pct</t>
  </si>
  <si>
    <t>SaaS Median</t>
  </si>
  <si>
    <t>SaaS 75th pct</t>
  </si>
  <si>
    <t>β</t>
  </si>
  <si>
    <t>Discounted Cash-Flow (DCF)</t>
  </si>
  <si>
    <t>WACC (%)</t>
  </si>
  <si>
    <t>Terminal Growth (g)</t>
  </si>
  <si>
    <t>PV Factor</t>
  </si>
  <si>
    <t>Sum PV of forecast</t>
  </si>
  <si>
    <t>PV of FCF</t>
  </si>
  <si>
    <t>Terminal Value (TV)</t>
  </si>
  <si>
    <t>PV of TV</t>
  </si>
  <si>
    <t>Enterprise Value (EV)</t>
  </si>
  <si>
    <t>Equity Value</t>
  </si>
  <si>
    <t>Shares Outstanding (m)</t>
  </si>
  <si>
    <t>Implied share price</t>
  </si>
  <si>
    <t>Input</t>
  </si>
  <si>
    <t>Low</t>
  </si>
  <si>
    <t>Mode (Base)</t>
  </si>
  <si>
    <t>High</t>
  </si>
  <si>
    <t>Sample</t>
  </si>
  <si>
    <t>Margin</t>
  </si>
  <si>
    <t>Target EBIT Margin</t>
  </si>
  <si>
    <t xml:space="preserve">Adj EBIT </t>
  </si>
  <si>
    <t>COGS % of Revenue</t>
  </si>
  <si>
    <t>Actual EBIT</t>
  </si>
  <si>
    <t>Monte-Carlo Toggle</t>
  </si>
  <si>
    <t>ON</t>
  </si>
  <si>
    <t>Decay Factor Growth</t>
  </si>
  <si>
    <t>Growth Rate</t>
  </si>
  <si>
    <t>Decay Factor</t>
  </si>
  <si>
    <t>Estimated WACC</t>
  </si>
  <si>
    <t>Green Cells = Dependent on MC</t>
  </si>
  <si>
    <t>SimID</t>
  </si>
  <si>
    <t>P10</t>
  </si>
  <si>
    <t>P50</t>
  </si>
  <si>
    <t>P90</t>
  </si>
  <si>
    <t>Prob &gt; Current Price</t>
  </si>
  <si>
    <t>Current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</si>
</sst>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164" formatCode="&quot;$&quot;#,##0.00"/>
    <numFmt numFmtId="165" formatCode="&quot;$&quot;#,##0,"/>
    <numFmt numFmtId="166" formatCode="&quot;$&quot;#,##0,;\(&quot;$&quot;#,##0,\)"/>
    <numFmt numFmtId="167" formatCode="\F\C\F\ &quot;2024&quot;"/>
    <numFmt numFmtId="168" formatCode="\F\C\F\ &quot;2025&quot;"/>
    <numFmt numFmtId="169" formatCode="&quot;Bull (+5%)&quot;"/>
    <numFmt numFmtId="170" formatCode="&quot;Base&quot;"/>
    <numFmt numFmtId="171" formatCode="&quot;Bear (-5%)&quot;"/>
    <numFmt numFmtId="172" formatCode="&quot;$&quot;#,###,"/>
    <numFmt numFmtId="173" formatCode="&quot;FCF 2026&quot;"/>
    <numFmt numFmtId="174" formatCode="\F\C\F\ &quot;2028&quot;"/>
    <numFmt numFmtId="175" formatCode="&quot;FCF 2027&quot;"/>
    <numFmt numFmtId="176" formatCode="#,###,,"/>
    <numFmt numFmtId="177" formatCode="0.0%"/>
    <numFmt numFmtId="178" formatCode="&quot;EV_per_share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3" fillId="3" borderId="1" xfId="0" applyFont="1" applyFill="1" applyBorder="1"/>
    <xf numFmtId="165" fontId="4" fillId="3" borderId="1" xfId="0" applyNumberFormat="1" applyFont="1" applyFill="1" applyBorder="1"/>
    <xf numFmtId="0" fontId="3" fillId="3" borderId="0" xfId="0" applyFont="1" applyFill="1"/>
    <xf numFmtId="165" fontId="5" fillId="3" borderId="1" xfId="1" applyNumberFormat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/>
    <xf numFmtId="166" fontId="2" fillId="0" borderId="0" xfId="0" applyNumberFormat="1" applyFont="1"/>
    <xf numFmtId="166" fontId="4" fillId="3" borderId="1" xfId="0" applyNumberFormat="1" applyFont="1" applyFill="1" applyBorder="1"/>
    <xf numFmtId="166" fontId="2" fillId="4" borderId="0" xfId="0" applyNumberFormat="1" applyFont="1" applyFill="1"/>
    <xf numFmtId="166" fontId="5" fillId="3" borderId="1" xfId="0" applyNumberFormat="1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3" borderId="2" xfId="0" applyFont="1" applyFill="1" applyBorder="1"/>
    <xf numFmtId="9" fontId="2" fillId="4" borderId="0" xfId="2" applyFont="1" applyFill="1"/>
    <xf numFmtId="9" fontId="2" fillId="0" borderId="0" xfId="2" applyFont="1"/>
    <xf numFmtId="165" fontId="5" fillId="3" borderId="1" xfId="0" applyNumberFormat="1" applyFont="1" applyFill="1" applyBorder="1"/>
    <xf numFmtId="9" fontId="3" fillId="3" borderId="0" xfId="2" applyFont="1" applyFill="1"/>
    <xf numFmtId="172" fontId="2" fillId="0" borderId="0" xfId="0" applyNumberFormat="1" applyFont="1"/>
    <xf numFmtId="0" fontId="2" fillId="3" borderId="0" xfId="0" applyFont="1" applyFill="1"/>
    <xf numFmtId="0" fontId="4" fillId="3" borderId="0" xfId="0" applyFont="1" applyFill="1"/>
    <xf numFmtId="167" fontId="4" fillId="3" borderId="0" xfId="0" applyNumberFormat="1" applyFont="1" applyFill="1" applyAlignment="1">
      <alignment horizontal="center"/>
    </xf>
    <xf numFmtId="168" fontId="4" fillId="3" borderId="0" xfId="0" applyNumberFormat="1" applyFont="1" applyFill="1" applyAlignment="1">
      <alignment horizontal="center"/>
    </xf>
    <xf numFmtId="173" fontId="4" fillId="3" borderId="0" xfId="0" applyNumberFormat="1" applyFont="1" applyFill="1"/>
    <xf numFmtId="2" fontId="2" fillId="4" borderId="0" xfId="0" applyNumberFormat="1" applyFont="1" applyFill="1"/>
    <xf numFmtId="174" fontId="4" fillId="3" borderId="0" xfId="0" applyNumberFormat="1" applyFont="1" applyFill="1" applyAlignment="1">
      <alignment horizontal="center"/>
    </xf>
    <xf numFmtId="175" fontId="4" fillId="3" borderId="0" xfId="0" applyNumberFormat="1" applyFont="1" applyFill="1"/>
    <xf numFmtId="0" fontId="3" fillId="3" borderId="3" xfId="0" applyFont="1" applyFill="1" applyBorder="1"/>
    <xf numFmtId="0" fontId="2" fillId="0" borderId="3" xfId="0" applyFont="1" applyBorder="1"/>
    <xf numFmtId="0" fontId="5" fillId="3" borderId="4" xfId="0" applyFont="1" applyFill="1" applyBorder="1"/>
    <xf numFmtId="0" fontId="2" fillId="3" borderId="3" xfId="0" applyFont="1" applyFill="1" applyBorder="1"/>
    <xf numFmtId="169" fontId="2" fillId="3" borderId="3" xfId="0" applyNumberFormat="1" applyFont="1" applyFill="1" applyBorder="1" applyAlignment="1">
      <alignment horizontal="left"/>
    </xf>
    <xf numFmtId="170" fontId="2" fillId="3" borderId="3" xfId="0" applyNumberFormat="1" applyFont="1" applyFill="1" applyBorder="1" applyAlignment="1">
      <alignment horizontal="left"/>
    </xf>
    <xf numFmtId="171" fontId="2" fillId="3" borderId="3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5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3" fillId="3" borderId="4" xfId="0" applyFont="1" applyFill="1" applyBorder="1"/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center"/>
    </xf>
    <xf numFmtId="0" fontId="0" fillId="3" borderId="3" xfId="0" applyFill="1" applyBorder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0" fontId="2" fillId="0" borderId="0" xfId="0" applyNumberFormat="1" applyFont="1"/>
    <xf numFmtId="10" fontId="2" fillId="4" borderId="0" xfId="0" applyNumberFormat="1" applyFont="1" applyFill="1"/>
    <xf numFmtId="10" fontId="2" fillId="0" borderId="0" xfId="2" applyNumberFormat="1" applyFont="1"/>
    <xf numFmtId="10" fontId="2" fillId="4" borderId="0" xfId="2" applyNumberFormat="1" applyFont="1" applyFill="1"/>
    <xf numFmtId="164" fontId="2" fillId="0" borderId="0" xfId="0" applyNumberFormat="1" applyFont="1"/>
    <xf numFmtId="176" fontId="2" fillId="4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2" fillId="3" borderId="4" xfId="0" applyFont="1" applyFill="1" applyBorder="1"/>
    <xf numFmtId="0" fontId="2" fillId="0" borderId="0" xfId="0" applyFont="1" applyFill="1" applyBorder="1"/>
    <xf numFmtId="9" fontId="2" fillId="0" borderId="0" xfId="2" applyFont="1" applyFill="1"/>
    <xf numFmtId="166" fontId="4" fillId="3" borderId="0" xfId="0" applyNumberFormat="1" applyFont="1" applyFill="1" applyBorder="1"/>
    <xf numFmtId="0" fontId="2" fillId="0" borderId="5" xfId="0" applyFont="1" applyBorder="1"/>
    <xf numFmtId="9" fontId="2" fillId="0" borderId="0" xfId="0" applyNumberFormat="1" applyFont="1" applyFill="1"/>
    <xf numFmtId="0" fontId="2" fillId="0" borderId="0" xfId="0" applyFont="1" applyFill="1"/>
    <xf numFmtId="2" fontId="2" fillId="0" borderId="0" xfId="0" applyNumberFormat="1" applyFont="1" applyFill="1"/>
    <xf numFmtId="166" fontId="4" fillId="0" borderId="1" xfId="0" applyNumberFormat="1" applyFont="1" applyFill="1" applyBorder="1"/>
    <xf numFmtId="166" fontId="4" fillId="0" borderId="0" xfId="0" applyNumberFormat="1" applyFont="1" applyFill="1" applyBorder="1"/>
    <xf numFmtId="166" fontId="4" fillId="3" borderId="6" xfId="0" applyNumberFormat="1" applyFont="1" applyFill="1" applyBorder="1"/>
    <xf numFmtId="0" fontId="4" fillId="3" borderId="5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166" fontId="2" fillId="4" borderId="1" xfId="0" applyNumberFormat="1" applyFont="1" applyFill="1" applyBorder="1"/>
    <xf numFmtId="177" fontId="2" fillId="0" borderId="0" xfId="2" applyNumberFormat="1" applyFont="1"/>
    <xf numFmtId="177" fontId="0" fillId="0" borderId="0" xfId="2" applyNumberFormat="1" applyFont="1"/>
    <xf numFmtId="9" fontId="2" fillId="0" borderId="0" xfId="0" applyNumberFormat="1" applyFont="1" applyFill="1" applyAlignment="1">
      <alignment horizontal="center"/>
    </xf>
    <xf numFmtId="0" fontId="9" fillId="3" borderId="0" xfId="0" applyFont="1" applyFill="1"/>
    <xf numFmtId="9" fontId="2" fillId="5" borderId="0" xfId="2" applyFont="1" applyFill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0" fontId="2" fillId="5" borderId="0" xfId="2" applyNumberFormat="1" applyFont="1" applyFill="1"/>
    <xf numFmtId="9" fontId="2" fillId="5" borderId="0" xfId="2" applyFont="1" applyFill="1"/>
    <xf numFmtId="44" fontId="2" fillId="0" borderId="0" xfId="1" applyFont="1"/>
    <xf numFmtId="0" fontId="3" fillId="3" borderId="0" xfId="0" applyFont="1" applyFill="1" applyBorder="1" applyAlignment="1">
      <alignment horizontal="center"/>
    </xf>
    <xf numFmtId="178" fontId="3" fillId="3" borderId="0" xfId="0" applyNumberFormat="1" applyFont="1" applyFill="1" applyAlignment="1">
      <alignment horizontal="center"/>
    </xf>
    <xf numFmtId="0" fontId="5" fillId="3" borderId="0" xfId="0" applyFont="1" applyFill="1"/>
    <xf numFmtId="44" fontId="5" fillId="3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DCF Equity Value per Share -1000 sims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DCF Equity Value per Share -1000 sims</a:t>
          </a:r>
        </a:p>
      </cx:txPr>
    </cx:title>
    <cx:plotArea>
      <cx:plotAreaRegion>
        <cx:series layoutId="clusteredColumn" uniqueId="{2305B08B-6D09-4FC5-BA2D-A97053E8ED5D}"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785445</xdr:colOff>
      <xdr:row>7</xdr:row>
      <xdr:rowOff>0</xdr:rowOff>
    </xdr:from>
    <xdr:to>
      <xdr:col>9</xdr:col>
      <xdr:colOff>609599</xdr:colOff>
      <xdr:row>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D08AD3-D16F-D1C6-FCA3-2B9E5A9281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8045" y="1271954"/>
              <a:ext cx="4870939" cy="2725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5D28-5DE2-463C-A4A8-7F4F99A26262}">
  <dimension ref="A1:K1009"/>
  <sheetViews>
    <sheetView tabSelected="1" zoomScale="115" zoomScaleNormal="115" workbookViewId="0">
      <selection activeCell="J2" sqref="J2"/>
    </sheetView>
  </sheetViews>
  <sheetFormatPr defaultRowHeight="14.4" x14ac:dyDescent="0.3"/>
  <cols>
    <col min="1" max="1" width="11.88671875" bestFit="1" customWidth="1"/>
    <col min="2" max="2" width="13.6640625" bestFit="1" customWidth="1"/>
    <col min="3" max="3" width="11.44140625" bestFit="1" customWidth="1"/>
    <col min="7" max="7" width="18.21875" bestFit="1" customWidth="1"/>
    <col min="9" max="9" width="9" customWidth="1"/>
    <col min="10" max="10" width="17.6640625" bestFit="1" customWidth="1"/>
  </cols>
  <sheetData>
    <row r="1" spans="1:11" x14ac:dyDescent="0.3">
      <c r="A1" s="67" t="s">
        <v>86</v>
      </c>
      <c r="B1" s="53" t="s">
        <v>87</v>
      </c>
      <c r="C1" s="53" t="s">
        <v>88</v>
      </c>
      <c r="D1" s="53" t="s">
        <v>89</v>
      </c>
      <c r="E1" s="53" t="s">
        <v>90</v>
      </c>
      <c r="G1" s="25"/>
      <c r="H1" s="25"/>
    </row>
    <row r="2" spans="1:11" x14ac:dyDescent="0.3">
      <c r="A2" s="68" t="s">
        <v>99</v>
      </c>
      <c r="B2" s="21">
        <f>base_growth-0.2</f>
        <v>0.39999999999999997</v>
      </c>
      <c r="C2" s="58">
        <v>0.6</v>
      </c>
      <c r="D2" s="21">
        <f>base_growth+0.2</f>
        <v>0.8</v>
      </c>
      <c r="E2" s="83">
        <f ca="1">_xlfn.LET(_xlpm.a,B2, _xlpm.m,C2, _xlpm.b,D2, _xlpm.u,RAND(),
     IF(_xlpm.u&lt;(_xlpm.m-_xlpm.a)/(_xlpm.b-_xlpm.a),
        _xlpm.a+SQRT(_xlpm.u*(_xlpm.b-_xlpm.a)*(_xlpm.m-_xlpm.a)),
        _xlpm.b-SQRT((1-_xlpm.u)*(_xlpm.b-_xlpm.a)*(_xlpm.b-_xlpm.m))))</f>
        <v>0.57489703103552448</v>
      </c>
      <c r="G2" s="36" t="s">
        <v>104</v>
      </c>
      <c r="H2" s="92">
        <f>_xlfn.PERCENTILE.INC(B9:B1008, 0.1)</f>
        <v>1.8728594558927563</v>
      </c>
      <c r="J2" s="1" t="s">
        <v>96</v>
      </c>
      <c r="K2" s="1" t="s">
        <v>97</v>
      </c>
    </row>
    <row r="3" spans="1:11" x14ac:dyDescent="0.3">
      <c r="A3" s="36" t="s">
        <v>100</v>
      </c>
      <c r="B3" s="21">
        <f>C3-0.05</f>
        <v>0.7</v>
      </c>
      <c r="C3" s="58">
        <v>0.75</v>
      </c>
      <c r="D3" s="21">
        <f>C3+0.05</f>
        <v>0.8</v>
      </c>
      <c r="E3" s="83">
        <f ca="1">_xlfn.LET(_xlpm.a,B3, _xlpm.m,C3, _xlpm.b,D3, _xlpm.u,RAND(),
     IF(_xlpm.u&lt;(_xlpm.m-_xlpm.a)/(_xlpm.b-_xlpm.a),
        _xlpm.a+SQRT(_xlpm.u*(_xlpm.b-_xlpm.a)*(_xlpm.m-_xlpm.a)),
        _xlpm.b-SQRT((1-_xlpm.u)*(_xlpm.b-_xlpm.a)*(_xlpm.b-_xlpm.m))))</f>
        <v>0.75208465650965828</v>
      </c>
      <c r="G3" s="36" t="s">
        <v>105</v>
      </c>
      <c r="H3" s="92">
        <f>_xlfn.PERCENTILE.INC(B9:B1008, 0.5)</f>
        <v>2.1352994063649762</v>
      </c>
    </row>
    <row r="4" spans="1:11" x14ac:dyDescent="0.3">
      <c r="A4" s="36" t="s">
        <v>91</v>
      </c>
      <c r="B4" s="21">
        <f>base_margin-0.05</f>
        <v>0.22000000000000003</v>
      </c>
      <c r="C4" s="58">
        <v>0.27</v>
      </c>
      <c r="D4" s="21">
        <f>base_margin+0.05</f>
        <v>0.32</v>
      </c>
      <c r="E4" s="83">
        <f ca="1">_xlfn.LET(_xlpm.a,B4, _xlpm.m,C4, _xlpm.b,D4, _xlpm.u,RAND(),
     IF(_xlpm.u&lt;(_xlpm.m-_xlpm.a)/(_xlpm.b-_xlpm.a),
        _xlpm.a+SQRT(_xlpm.u*(_xlpm.b-_xlpm.a)*(_xlpm.m-_xlpm.a)),
        _xlpm.b-SQRT((1-_xlpm.u)*(_xlpm.b-_xlpm.a)*(_xlpm.b-_xlpm.m))))</f>
        <v>0.24019977530751874</v>
      </c>
      <c r="G4" s="36" t="s">
        <v>106</v>
      </c>
      <c r="H4" s="92">
        <f>_xlfn.PERCENTILE.INC(B9:B1008, 0.9)</f>
        <v>2.4515125817341632</v>
      </c>
    </row>
    <row r="5" spans="1:11" x14ac:dyDescent="0.3">
      <c r="A5" s="36" t="s">
        <v>67</v>
      </c>
      <c r="B5" s="21"/>
      <c r="C5" s="60">
        <v>0.2697</v>
      </c>
      <c r="D5" s="83">
        <v>1.4999999999999999E-2</v>
      </c>
      <c r="E5" s="59">
        <f ca="1">_xlfn.NORM.INV(RAND(),base_wacc,D5)</f>
        <v>0.29254383451030419</v>
      </c>
      <c r="G5" s="36" t="s">
        <v>107</v>
      </c>
      <c r="H5" s="21" cm="1">
        <f t="array" ref="H5">COUNTIF(B9:B1008, "&gt;"&amp;current_price)/1000</f>
        <v>0.74099999999999999</v>
      </c>
    </row>
    <row r="8" spans="1:11" x14ac:dyDescent="0.3">
      <c r="A8" s="93" t="s">
        <v>103</v>
      </c>
      <c r="B8" s="94">
        <f ca="1">ev_per_share</f>
        <v>1.822503731754461</v>
      </c>
    </row>
    <row r="9" spans="1:11" x14ac:dyDescent="0.3">
      <c r="A9" s="1">
        <f>ROW()-8</f>
        <v>1</v>
      </c>
      <c r="B9" s="92">
        <f t="dataTable" ref="B9:B1008" dt2D="0" dtr="0" r1="N1" ca="1"/>
        <v>2.1147413212545687</v>
      </c>
    </row>
    <row r="10" spans="1:11" x14ac:dyDescent="0.3">
      <c r="A10" s="1">
        <f t="shared" ref="A10:A73" si="0">ROW()-8</f>
        <v>2</v>
      </c>
      <c r="B10" s="92">
        <v>2.3371317509117486</v>
      </c>
    </row>
    <row r="11" spans="1:11" x14ac:dyDescent="0.3">
      <c r="A11" s="1">
        <f t="shared" si="0"/>
        <v>3</v>
      </c>
      <c r="B11" s="92">
        <v>1.8947062479016088</v>
      </c>
    </row>
    <row r="12" spans="1:11" x14ac:dyDescent="0.3">
      <c r="A12" s="1">
        <f t="shared" si="0"/>
        <v>4</v>
      </c>
      <c r="B12" s="92">
        <v>2.4606856166729121</v>
      </c>
    </row>
    <row r="13" spans="1:11" x14ac:dyDescent="0.3">
      <c r="A13" s="1">
        <f t="shared" si="0"/>
        <v>5</v>
      </c>
      <c r="B13" s="92">
        <v>1.9036745636044399</v>
      </c>
    </row>
    <row r="14" spans="1:11" x14ac:dyDescent="0.3">
      <c r="A14" s="1">
        <f t="shared" si="0"/>
        <v>6</v>
      </c>
      <c r="B14" s="92">
        <v>1.9296292871728034</v>
      </c>
    </row>
    <row r="15" spans="1:11" x14ac:dyDescent="0.3">
      <c r="A15" s="1">
        <f t="shared" si="0"/>
        <v>7</v>
      </c>
      <c r="B15" s="92">
        <v>2.2123268843324757</v>
      </c>
    </row>
    <row r="16" spans="1:11" x14ac:dyDescent="0.3">
      <c r="A16" s="1">
        <f t="shared" si="0"/>
        <v>8</v>
      </c>
      <c r="B16" s="92">
        <v>2.1197591766185258</v>
      </c>
    </row>
    <row r="17" spans="1:2" x14ac:dyDescent="0.3">
      <c r="A17" s="1">
        <f t="shared" si="0"/>
        <v>9</v>
      </c>
      <c r="B17" s="92">
        <v>2.2520830869386588</v>
      </c>
    </row>
    <row r="18" spans="1:2" x14ac:dyDescent="0.3">
      <c r="A18" s="1">
        <f t="shared" si="0"/>
        <v>10</v>
      </c>
      <c r="B18" s="92">
        <v>1.9809272278167658</v>
      </c>
    </row>
    <row r="19" spans="1:2" x14ac:dyDescent="0.3">
      <c r="A19" s="1">
        <f t="shared" si="0"/>
        <v>11</v>
      </c>
      <c r="B19" s="92">
        <v>2.108624398585496</v>
      </c>
    </row>
    <row r="20" spans="1:2" x14ac:dyDescent="0.3">
      <c r="A20" s="1">
        <f t="shared" si="0"/>
        <v>12</v>
      </c>
      <c r="B20" s="92">
        <v>2.2581385446556106</v>
      </c>
    </row>
    <row r="21" spans="1:2" x14ac:dyDescent="0.3">
      <c r="A21" s="1">
        <f t="shared" si="0"/>
        <v>13</v>
      </c>
      <c r="B21" s="92">
        <v>2.2431927635080511</v>
      </c>
    </row>
    <row r="22" spans="1:2" x14ac:dyDescent="0.3">
      <c r="A22" s="1">
        <f t="shared" si="0"/>
        <v>14</v>
      </c>
      <c r="B22" s="92">
        <v>2.3649934346384875</v>
      </c>
    </row>
    <row r="23" spans="1:2" x14ac:dyDescent="0.3">
      <c r="A23" s="1">
        <f t="shared" si="0"/>
        <v>15</v>
      </c>
      <c r="B23" s="92">
        <v>2.0147027355610834</v>
      </c>
    </row>
    <row r="24" spans="1:2" x14ac:dyDescent="0.3">
      <c r="A24" s="1">
        <f t="shared" si="0"/>
        <v>16</v>
      </c>
      <c r="B24" s="92">
        <v>1.995914784890414</v>
      </c>
    </row>
    <row r="25" spans="1:2" x14ac:dyDescent="0.3">
      <c r="A25" s="1">
        <f t="shared" si="0"/>
        <v>17</v>
      </c>
      <c r="B25" s="92">
        <v>2.4058759497046691</v>
      </c>
    </row>
    <row r="26" spans="1:2" x14ac:dyDescent="0.3">
      <c r="A26" s="1">
        <f t="shared" si="0"/>
        <v>18</v>
      </c>
      <c r="B26" s="92">
        <v>2.2586077215423273</v>
      </c>
    </row>
    <row r="27" spans="1:2" x14ac:dyDescent="0.3">
      <c r="A27" s="1">
        <f t="shared" si="0"/>
        <v>19</v>
      </c>
      <c r="B27" s="92">
        <v>2.0647866736270681</v>
      </c>
    </row>
    <row r="28" spans="1:2" x14ac:dyDescent="0.3">
      <c r="A28" s="1">
        <f t="shared" si="0"/>
        <v>20</v>
      </c>
      <c r="B28" s="92">
        <v>2.2868930301604049</v>
      </c>
    </row>
    <row r="29" spans="1:2" x14ac:dyDescent="0.3">
      <c r="A29" s="1">
        <f t="shared" si="0"/>
        <v>21</v>
      </c>
      <c r="B29" s="92">
        <v>2.5179164502637046</v>
      </c>
    </row>
    <row r="30" spans="1:2" x14ac:dyDescent="0.3">
      <c r="A30" s="1">
        <f t="shared" si="0"/>
        <v>22</v>
      </c>
      <c r="B30" s="92">
        <v>2.0405029370503982</v>
      </c>
    </row>
    <row r="31" spans="1:2" x14ac:dyDescent="0.3">
      <c r="A31" s="1">
        <f t="shared" si="0"/>
        <v>23</v>
      </c>
      <c r="B31" s="92">
        <v>2.186438401791317</v>
      </c>
    </row>
    <row r="32" spans="1:2" x14ac:dyDescent="0.3">
      <c r="A32" s="1">
        <f t="shared" si="0"/>
        <v>24</v>
      </c>
      <c r="B32" s="92">
        <v>2.1948867878652325</v>
      </c>
    </row>
    <row r="33" spans="1:2" x14ac:dyDescent="0.3">
      <c r="A33" s="1">
        <f t="shared" si="0"/>
        <v>25</v>
      </c>
      <c r="B33" s="92">
        <v>1.8324351423047367</v>
      </c>
    </row>
    <row r="34" spans="1:2" x14ac:dyDescent="0.3">
      <c r="A34" s="1">
        <f t="shared" si="0"/>
        <v>26</v>
      </c>
      <c r="B34" s="92">
        <v>2.0741334897535362</v>
      </c>
    </row>
    <row r="35" spans="1:2" x14ac:dyDescent="0.3">
      <c r="A35" s="1">
        <f t="shared" si="0"/>
        <v>27</v>
      </c>
      <c r="B35" s="92">
        <v>2.5839161962500339</v>
      </c>
    </row>
    <row r="36" spans="1:2" x14ac:dyDescent="0.3">
      <c r="A36" s="1">
        <f t="shared" si="0"/>
        <v>28</v>
      </c>
      <c r="B36" s="92">
        <v>1.9876633034078885</v>
      </c>
    </row>
    <row r="37" spans="1:2" x14ac:dyDescent="0.3">
      <c r="A37" s="1">
        <f t="shared" si="0"/>
        <v>29</v>
      </c>
      <c r="B37" s="92">
        <v>2.3302115532048524</v>
      </c>
    </row>
    <row r="38" spans="1:2" x14ac:dyDescent="0.3">
      <c r="A38" s="1">
        <f t="shared" si="0"/>
        <v>30</v>
      </c>
      <c r="B38" s="92">
        <v>1.9653751058712357</v>
      </c>
    </row>
    <row r="39" spans="1:2" x14ac:dyDescent="0.3">
      <c r="A39" s="1">
        <f t="shared" si="0"/>
        <v>31</v>
      </c>
      <c r="B39" s="92">
        <v>2.0496691001325167</v>
      </c>
    </row>
    <row r="40" spans="1:2" x14ac:dyDescent="0.3">
      <c r="A40" s="1">
        <f t="shared" si="0"/>
        <v>32</v>
      </c>
      <c r="B40" s="92">
        <v>1.7243989969180014</v>
      </c>
    </row>
    <row r="41" spans="1:2" x14ac:dyDescent="0.3">
      <c r="A41" s="1">
        <f t="shared" si="0"/>
        <v>33</v>
      </c>
      <c r="B41" s="92">
        <v>1.8889769458098593</v>
      </c>
    </row>
    <row r="42" spans="1:2" x14ac:dyDescent="0.3">
      <c r="A42" s="1">
        <f t="shared" si="0"/>
        <v>34</v>
      </c>
      <c r="B42" s="92">
        <v>2.2239702414243476</v>
      </c>
    </row>
    <row r="43" spans="1:2" x14ac:dyDescent="0.3">
      <c r="A43" s="1">
        <f t="shared" si="0"/>
        <v>35</v>
      </c>
      <c r="B43" s="92">
        <v>1.960354364197211</v>
      </c>
    </row>
    <row r="44" spans="1:2" x14ac:dyDescent="0.3">
      <c r="A44" s="1">
        <f t="shared" si="0"/>
        <v>36</v>
      </c>
      <c r="B44" s="92">
        <v>2.1526990657013094</v>
      </c>
    </row>
    <row r="45" spans="1:2" x14ac:dyDescent="0.3">
      <c r="A45" s="1">
        <f t="shared" si="0"/>
        <v>37</v>
      </c>
      <c r="B45" s="92">
        <v>2.282432468496705</v>
      </c>
    </row>
    <row r="46" spans="1:2" x14ac:dyDescent="0.3">
      <c r="A46" s="1">
        <f t="shared" si="0"/>
        <v>38</v>
      </c>
      <c r="B46" s="92">
        <v>1.9956886087222081</v>
      </c>
    </row>
    <row r="47" spans="1:2" x14ac:dyDescent="0.3">
      <c r="A47" s="1">
        <f t="shared" si="0"/>
        <v>39</v>
      </c>
      <c r="B47" s="92">
        <v>1.9584656190393139</v>
      </c>
    </row>
    <row r="48" spans="1:2" x14ac:dyDescent="0.3">
      <c r="A48" s="1">
        <f t="shared" si="0"/>
        <v>40</v>
      </c>
      <c r="B48" s="92">
        <v>2.046243862777525</v>
      </c>
    </row>
    <row r="49" spans="1:2" x14ac:dyDescent="0.3">
      <c r="A49" s="1">
        <f t="shared" si="0"/>
        <v>41</v>
      </c>
      <c r="B49" s="92">
        <v>1.7152995413578556</v>
      </c>
    </row>
    <row r="50" spans="1:2" x14ac:dyDescent="0.3">
      <c r="A50" s="1">
        <f t="shared" si="0"/>
        <v>42</v>
      </c>
      <c r="B50" s="92">
        <v>2.1197212458781838</v>
      </c>
    </row>
    <row r="51" spans="1:2" x14ac:dyDescent="0.3">
      <c r="A51" s="1">
        <f t="shared" si="0"/>
        <v>43</v>
      </c>
      <c r="B51" s="92">
        <v>1.934640960114244</v>
      </c>
    </row>
    <row r="52" spans="1:2" x14ac:dyDescent="0.3">
      <c r="A52" s="1">
        <f t="shared" si="0"/>
        <v>44</v>
      </c>
      <c r="B52" s="92">
        <v>2.1451695014137795</v>
      </c>
    </row>
    <row r="53" spans="1:2" x14ac:dyDescent="0.3">
      <c r="A53" s="1">
        <f t="shared" si="0"/>
        <v>45</v>
      </c>
      <c r="B53" s="92">
        <v>1.7681225465106147</v>
      </c>
    </row>
    <row r="54" spans="1:2" x14ac:dyDescent="0.3">
      <c r="A54" s="1">
        <f t="shared" si="0"/>
        <v>46</v>
      </c>
      <c r="B54" s="92">
        <v>2.5064002580390068</v>
      </c>
    </row>
    <row r="55" spans="1:2" x14ac:dyDescent="0.3">
      <c r="A55" s="1">
        <f t="shared" si="0"/>
        <v>47</v>
      </c>
      <c r="B55" s="92">
        <v>2.2034126809126637</v>
      </c>
    </row>
    <row r="56" spans="1:2" x14ac:dyDescent="0.3">
      <c r="A56" s="1">
        <f t="shared" si="0"/>
        <v>48</v>
      </c>
      <c r="B56" s="92">
        <v>2.0178255050711678</v>
      </c>
    </row>
    <row r="57" spans="1:2" x14ac:dyDescent="0.3">
      <c r="A57" s="1">
        <f t="shared" si="0"/>
        <v>49</v>
      </c>
      <c r="B57" s="92">
        <v>2.081399195224424</v>
      </c>
    </row>
    <row r="58" spans="1:2" x14ac:dyDescent="0.3">
      <c r="A58" s="1">
        <f t="shared" si="0"/>
        <v>50</v>
      </c>
      <c r="B58" s="92">
        <v>2.415949161153907</v>
      </c>
    </row>
    <row r="59" spans="1:2" x14ac:dyDescent="0.3">
      <c r="A59" s="1">
        <f t="shared" si="0"/>
        <v>51</v>
      </c>
      <c r="B59" s="92">
        <v>2.3738671384896333</v>
      </c>
    </row>
    <row r="60" spans="1:2" x14ac:dyDescent="0.3">
      <c r="A60" s="1">
        <f t="shared" si="0"/>
        <v>52</v>
      </c>
      <c r="B60" s="92">
        <v>1.8498266176275318</v>
      </c>
    </row>
    <row r="61" spans="1:2" x14ac:dyDescent="0.3">
      <c r="A61" s="1">
        <f t="shared" si="0"/>
        <v>53</v>
      </c>
      <c r="B61" s="92">
        <v>2.2728276906656646</v>
      </c>
    </row>
    <row r="62" spans="1:2" x14ac:dyDescent="0.3">
      <c r="A62" s="1">
        <f t="shared" si="0"/>
        <v>54</v>
      </c>
      <c r="B62" s="92">
        <v>2.2832971574163916</v>
      </c>
    </row>
    <row r="63" spans="1:2" x14ac:dyDescent="0.3">
      <c r="A63" s="1">
        <f t="shared" si="0"/>
        <v>55</v>
      </c>
      <c r="B63" s="92">
        <v>2.206002485288626</v>
      </c>
    </row>
    <row r="64" spans="1:2" x14ac:dyDescent="0.3">
      <c r="A64" s="1">
        <f t="shared" si="0"/>
        <v>56</v>
      </c>
      <c r="B64" s="92">
        <v>1.9330490444559463</v>
      </c>
    </row>
    <row r="65" spans="1:2" x14ac:dyDescent="0.3">
      <c r="A65" s="1">
        <f t="shared" si="0"/>
        <v>57</v>
      </c>
      <c r="B65" s="92">
        <v>2.0415993777793973</v>
      </c>
    </row>
    <row r="66" spans="1:2" x14ac:dyDescent="0.3">
      <c r="A66" s="1">
        <f t="shared" si="0"/>
        <v>58</v>
      </c>
      <c r="B66" s="92">
        <v>2.2828065358722056</v>
      </c>
    </row>
    <row r="67" spans="1:2" x14ac:dyDescent="0.3">
      <c r="A67" s="1">
        <f t="shared" si="0"/>
        <v>59</v>
      </c>
      <c r="B67" s="92">
        <v>2.3156891626444578</v>
      </c>
    </row>
    <row r="68" spans="1:2" x14ac:dyDescent="0.3">
      <c r="A68" s="1">
        <f t="shared" si="0"/>
        <v>60</v>
      </c>
      <c r="B68" s="92">
        <v>2.0492652408831957</v>
      </c>
    </row>
    <row r="69" spans="1:2" x14ac:dyDescent="0.3">
      <c r="A69" s="1">
        <f t="shared" si="0"/>
        <v>61</v>
      </c>
      <c r="B69" s="92">
        <v>1.9836133247231458</v>
      </c>
    </row>
    <row r="70" spans="1:2" x14ac:dyDescent="0.3">
      <c r="A70" s="1">
        <f t="shared" si="0"/>
        <v>62</v>
      </c>
      <c r="B70" s="92">
        <v>2.2838866273741014</v>
      </c>
    </row>
    <row r="71" spans="1:2" x14ac:dyDescent="0.3">
      <c r="A71" s="1">
        <f t="shared" si="0"/>
        <v>63</v>
      </c>
      <c r="B71" s="92">
        <v>2.3174439824731663</v>
      </c>
    </row>
    <row r="72" spans="1:2" x14ac:dyDescent="0.3">
      <c r="A72" s="1">
        <f t="shared" si="0"/>
        <v>64</v>
      </c>
      <c r="B72" s="92">
        <v>2.094057803796515</v>
      </c>
    </row>
    <row r="73" spans="1:2" x14ac:dyDescent="0.3">
      <c r="A73" s="1">
        <f t="shared" si="0"/>
        <v>65</v>
      </c>
      <c r="B73" s="92">
        <v>2.4380652526287903</v>
      </c>
    </row>
    <row r="74" spans="1:2" x14ac:dyDescent="0.3">
      <c r="A74" s="1">
        <f t="shared" ref="A74:A137" si="1">ROW()-8</f>
        <v>66</v>
      </c>
      <c r="B74" s="92">
        <v>2.0374854402524143</v>
      </c>
    </row>
    <row r="75" spans="1:2" x14ac:dyDescent="0.3">
      <c r="A75" s="1">
        <f t="shared" si="1"/>
        <v>67</v>
      </c>
      <c r="B75" s="92">
        <v>2.0129123454478663</v>
      </c>
    </row>
    <row r="76" spans="1:2" x14ac:dyDescent="0.3">
      <c r="A76" s="1">
        <f t="shared" si="1"/>
        <v>68</v>
      </c>
      <c r="B76" s="92">
        <v>1.9030547667087201</v>
      </c>
    </row>
    <row r="77" spans="1:2" x14ac:dyDescent="0.3">
      <c r="A77" s="1">
        <f t="shared" si="1"/>
        <v>69</v>
      </c>
      <c r="B77" s="92">
        <v>2.3608835507750046</v>
      </c>
    </row>
    <row r="78" spans="1:2" x14ac:dyDescent="0.3">
      <c r="A78" s="1">
        <f t="shared" si="1"/>
        <v>70</v>
      </c>
      <c r="B78" s="92">
        <v>2.2268977500338107</v>
      </c>
    </row>
    <row r="79" spans="1:2" x14ac:dyDescent="0.3">
      <c r="A79" s="1">
        <f t="shared" si="1"/>
        <v>71</v>
      </c>
      <c r="B79" s="92">
        <v>2.0934483644825015</v>
      </c>
    </row>
    <row r="80" spans="1:2" x14ac:dyDescent="0.3">
      <c r="A80" s="1">
        <f t="shared" si="1"/>
        <v>72</v>
      </c>
      <c r="B80" s="92">
        <v>2.2166084288275445</v>
      </c>
    </row>
    <row r="81" spans="1:2" x14ac:dyDescent="0.3">
      <c r="A81" s="1">
        <f t="shared" si="1"/>
        <v>73</v>
      </c>
      <c r="B81" s="92">
        <v>1.9312235225406871</v>
      </c>
    </row>
    <row r="82" spans="1:2" x14ac:dyDescent="0.3">
      <c r="A82" s="1">
        <f t="shared" si="1"/>
        <v>74</v>
      </c>
      <c r="B82" s="92">
        <v>2.1072000981011034</v>
      </c>
    </row>
    <row r="83" spans="1:2" x14ac:dyDescent="0.3">
      <c r="A83" s="1">
        <f t="shared" si="1"/>
        <v>75</v>
      </c>
      <c r="B83" s="92">
        <v>2.0452144228820353</v>
      </c>
    </row>
    <row r="84" spans="1:2" x14ac:dyDescent="0.3">
      <c r="A84" s="1">
        <f t="shared" si="1"/>
        <v>76</v>
      </c>
      <c r="B84" s="92">
        <v>1.8078682307815086</v>
      </c>
    </row>
    <row r="85" spans="1:2" x14ac:dyDescent="0.3">
      <c r="A85" s="1">
        <f t="shared" si="1"/>
        <v>77</v>
      </c>
      <c r="B85" s="92">
        <v>1.9786709295577045</v>
      </c>
    </row>
    <row r="86" spans="1:2" x14ac:dyDescent="0.3">
      <c r="A86" s="1">
        <f t="shared" si="1"/>
        <v>78</v>
      </c>
      <c r="B86" s="92">
        <v>1.9613355264100958</v>
      </c>
    </row>
    <row r="87" spans="1:2" x14ac:dyDescent="0.3">
      <c r="A87" s="1">
        <f t="shared" si="1"/>
        <v>79</v>
      </c>
      <c r="B87" s="92">
        <v>2.2617258482074374</v>
      </c>
    </row>
    <row r="88" spans="1:2" x14ac:dyDescent="0.3">
      <c r="A88" s="1">
        <f t="shared" si="1"/>
        <v>80</v>
      </c>
      <c r="B88" s="92">
        <v>1.7864961441439657</v>
      </c>
    </row>
    <row r="89" spans="1:2" x14ac:dyDescent="0.3">
      <c r="A89" s="1">
        <f t="shared" si="1"/>
        <v>81</v>
      </c>
      <c r="B89" s="92">
        <v>2.4804530981873274</v>
      </c>
    </row>
    <row r="90" spans="1:2" x14ac:dyDescent="0.3">
      <c r="A90" s="1">
        <f t="shared" si="1"/>
        <v>82</v>
      </c>
      <c r="B90" s="92">
        <v>2.1627900696126878</v>
      </c>
    </row>
    <row r="91" spans="1:2" x14ac:dyDescent="0.3">
      <c r="A91" s="1">
        <f t="shared" si="1"/>
        <v>83</v>
      </c>
      <c r="B91" s="92">
        <v>2.535256902346875</v>
      </c>
    </row>
    <row r="92" spans="1:2" x14ac:dyDescent="0.3">
      <c r="A92" s="1">
        <f t="shared" si="1"/>
        <v>84</v>
      </c>
      <c r="B92" s="92">
        <v>2.0983156611171281</v>
      </c>
    </row>
    <row r="93" spans="1:2" x14ac:dyDescent="0.3">
      <c r="A93" s="1">
        <f t="shared" si="1"/>
        <v>85</v>
      </c>
      <c r="B93" s="92">
        <v>2.0646093736095659</v>
      </c>
    </row>
    <row r="94" spans="1:2" x14ac:dyDescent="0.3">
      <c r="A94" s="1">
        <f t="shared" si="1"/>
        <v>86</v>
      </c>
      <c r="B94" s="92">
        <v>2.0775052608546241</v>
      </c>
    </row>
    <row r="95" spans="1:2" x14ac:dyDescent="0.3">
      <c r="A95" s="1">
        <f t="shared" si="1"/>
        <v>87</v>
      </c>
      <c r="B95" s="92">
        <v>2.0208811243184193</v>
      </c>
    </row>
    <row r="96" spans="1:2" x14ac:dyDescent="0.3">
      <c r="A96" s="1">
        <f t="shared" si="1"/>
        <v>88</v>
      </c>
      <c r="B96" s="92">
        <v>1.8310051042611621</v>
      </c>
    </row>
    <row r="97" spans="1:2" x14ac:dyDescent="0.3">
      <c r="A97" s="1">
        <f t="shared" si="1"/>
        <v>89</v>
      </c>
      <c r="B97" s="92">
        <v>2.1303968388230383</v>
      </c>
    </row>
    <row r="98" spans="1:2" x14ac:dyDescent="0.3">
      <c r="A98" s="1">
        <f t="shared" si="1"/>
        <v>90</v>
      </c>
      <c r="B98" s="92">
        <v>2.0507482761657094</v>
      </c>
    </row>
    <row r="99" spans="1:2" x14ac:dyDescent="0.3">
      <c r="A99" s="1">
        <f t="shared" si="1"/>
        <v>91</v>
      </c>
      <c r="B99" s="92">
        <v>2.5761905895346233</v>
      </c>
    </row>
    <row r="100" spans="1:2" x14ac:dyDescent="0.3">
      <c r="A100" s="1">
        <f t="shared" si="1"/>
        <v>92</v>
      </c>
      <c r="B100" s="92">
        <v>2.2014013889403357</v>
      </c>
    </row>
    <row r="101" spans="1:2" x14ac:dyDescent="0.3">
      <c r="A101" s="1">
        <f t="shared" si="1"/>
        <v>93</v>
      </c>
      <c r="B101" s="92">
        <v>2.317788032273159</v>
      </c>
    </row>
    <row r="102" spans="1:2" x14ac:dyDescent="0.3">
      <c r="A102" s="1">
        <f t="shared" si="1"/>
        <v>94</v>
      </c>
      <c r="B102" s="92">
        <v>2.2161368064371199</v>
      </c>
    </row>
    <row r="103" spans="1:2" x14ac:dyDescent="0.3">
      <c r="A103" s="1">
        <f t="shared" si="1"/>
        <v>95</v>
      </c>
      <c r="B103" s="92">
        <v>1.9775433677593373</v>
      </c>
    </row>
    <row r="104" spans="1:2" x14ac:dyDescent="0.3">
      <c r="A104" s="1">
        <f t="shared" si="1"/>
        <v>96</v>
      </c>
      <c r="B104" s="92">
        <v>2.4951835401319489</v>
      </c>
    </row>
    <row r="105" spans="1:2" x14ac:dyDescent="0.3">
      <c r="A105" s="1">
        <f t="shared" si="1"/>
        <v>97</v>
      </c>
      <c r="B105" s="92">
        <v>1.9667465694560051</v>
      </c>
    </row>
    <row r="106" spans="1:2" x14ac:dyDescent="0.3">
      <c r="A106" s="1">
        <f t="shared" si="1"/>
        <v>98</v>
      </c>
      <c r="B106" s="92">
        <v>2.4365518666446029</v>
      </c>
    </row>
    <row r="107" spans="1:2" x14ac:dyDescent="0.3">
      <c r="A107" s="1">
        <f t="shared" si="1"/>
        <v>99</v>
      </c>
      <c r="B107" s="92">
        <v>2.050989986740503</v>
      </c>
    </row>
    <row r="108" spans="1:2" x14ac:dyDescent="0.3">
      <c r="A108" s="1">
        <f t="shared" si="1"/>
        <v>100</v>
      </c>
      <c r="B108" s="92">
        <v>1.9489404602489657</v>
      </c>
    </row>
    <row r="109" spans="1:2" x14ac:dyDescent="0.3">
      <c r="A109" s="1">
        <f t="shared" si="1"/>
        <v>101</v>
      </c>
      <c r="B109" s="92">
        <v>1.9641166915490291</v>
      </c>
    </row>
    <row r="110" spans="1:2" x14ac:dyDescent="0.3">
      <c r="A110" s="1">
        <f t="shared" si="1"/>
        <v>102</v>
      </c>
      <c r="B110" s="92">
        <v>2.4401989426817976</v>
      </c>
    </row>
    <row r="111" spans="1:2" x14ac:dyDescent="0.3">
      <c r="A111" s="1">
        <f t="shared" si="1"/>
        <v>103</v>
      </c>
      <c r="B111" s="92">
        <v>2.2249157867828444</v>
      </c>
    </row>
    <row r="112" spans="1:2" x14ac:dyDescent="0.3">
      <c r="A112" s="1">
        <f t="shared" si="1"/>
        <v>104</v>
      </c>
      <c r="B112" s="92">
        <v>2.0879117331584802</v>
      </c>
    </row>
    <row r="113" spans="1:2" x14ac:dyDescent="0.3">
      <c r="A113" s="1">
        <f t="shared" si="1"/>
        <v>105</v>
      </c>
      <c r="B113" s="92">
        <v>2.2964859843461349</v>
      </c>
    </row>
    <row r="114" spans="1:2" x14ac:dyDescent="0.3">
      <c r="A114" s="1">
        <f t="shared" si="1"/>
        <v>106</v>
      </c>
      <c r="B114" s="92">
        <v>2.0247724375227114</v>
      </c>
    </row>
    <row r="115" spans="1:2" x14ac:dyDescent="0.3">
      <c r="A115" s="1">
        <f t="shared" si="1"/>
        <v>107</v>
      </c>
      <c r="B115" s="92">
        <v>2.1377952742185058</v>
      </c>
    </row>
    <row r="116" spans="1:2" x14ac:dyDescent="0.3">
      <c r="A116" s="1">
        <f t="shared" si="1"/>
        <v>108</v>
      </c>
      <c r="B116" s="92">
        <v>1.7523283706922859</v>
      </c>
    </row>
    <row r="117" spans="1:2" x14ac:dyDescent="0.3">
      <c r="A117" s="1">
        <f t="shared" si="1"/>
        <v>109</v>
      </c>
      <c r="B117" s="92">
        <v>2.13657508924878</v>
      </c>
    </row>
    <row r="118" spans="1:2" x14ac:dyDescent="0.3">
      <c r="A118" s="1">
        <f t="shared" si="1"/>
        <v>110</v>
      </c>
      <c r="B118" s="92">
        <v>2.2010988431205245</v>
      </c>
    </row>
    <row r="119" spans="1:2" x14ac:dyDescent="0.3">
      <c r="A119" s="1">
        <f t="shared" si="1"/>
        <v>111</v>
      </c>
      <c r="B119" s="92">
        <v>2.1971566562076963</v>
      </c>
    </row>
    <row r="120" spans="1:2" x14ac:dyDescent="0.3">
      <c r="A120" s="1">
        <f t="shared" si="1"/>
        <v>112</v>
      </c>
      <c r="B120" s="92">
        <v>1.9701555604365253</v>
      </c>
    </row>
    <row r="121" spans="1:2" x14ac:dyDescent="0.3">
      <c r="A121" s="1">
        <f t="shared" si="1"/>
        <v>113</v>
      </c>
      <c r="B121" s="92">
        <v>2.0401137269624052</v>
      </c>
    </row>
    <row r="122" spans="1:2" x14ac:dyDescent="0.3">
      <c r="A122" s="1">
        <f t="shared" si="1"/>
        <v>114</v>
      </c>
      <c r="B122" s="92">
        <v>2.0500059897772975</v>
      </c>
    </row>
    <row r="123" spans="1:2" x14ac:dyDescent="0.3">
      <c r="A123" s="1">
        <f t="shared" si="1"/>
        <v>115</v>
      </c>
      <c r="B123" s="92">
        <v>2.2129263440716707</v>
      </c>
    </row>
    <row r="124" spans="1:2" x14ac:dyDescent="0.3">
      <c r="A124" s="1">
        <f t="shared" si="1"/>
        <v>116</v>
      </c>
      <c r="B124" s="92">
        <v>1.9456771895304605</v>
      </c>
    </row>
    <row r="125" spans="1:2" x14ac:dyDescent="0.3">
      <c r="A125" s="1">
        <f t="shared" si="1"/>
        <v>117</v>
      </c>
      <c r="B125" s="92">
        <v>2.0138398580686885</v>
      </c>
    </row>
    <row r="126" spans="1:2" x14ac:dyDescent="0.3">
      <c r="A126" s="1">
        <f t="shared" si="1"/>
        <v>118</v>
      </c>
      <c r="B126" s="92">
        <v>1.9601327785617244</v>
      </c>
    </row>
    <row r="127" spans="1:2" x14ac:dyDescent="0.3">
      <c r="A127" s="1">
        <f t="shared" si="1"/>
        <v>119</v>
      </c>
      <c r="B127" s="92">
        <v>2.2709600406549395</v>
      </c>
    </row>
    <row r="128" spans="1:2" x14ac:dyDescent="0.3">
      <c r="A128" s="1">
        <f t="shared" si="1"/>
        <v>120</v>
      </c>
      <c r="B128" s="92">
        <v>2.1604065732649289</v>
      </c>
    </row>
    <row r="129" spans="1:2" x14ac:dyDescent="0.3">
      <c r="A129" s="1">
        <f t="shared" si="1"/>
        <v>121</v>
      </c>
      <c r="B129" s="92">
        <v>2.4816281924261308</v>
      </c>
    </row>
    <row r="130" spans="1:2" x14ac:dyDescent="0.3">
      <c r="A130" s="1">
        <f t="shared" si="1"/>
        <v>122</v>
      </c>
      <c r="B130" s="92">
        <v>2.1574076188877886</v>
      </c>
    </row>
    <row r="131" spans="1:2" x14ac:dyDescent="0.3">
      <c r="A131" s="1">
        <f t="shared" si="1"/>
        <v>123</v>
      </c>
      <c r="B131" s="92">
        <v>2.6273890086712774</v>
      </c>
    </row>
    <row r="132" spans="1:2" x14ac:dyDescent="0.3">
      <c r="A132" s="1">
        <f t="shared" si="1"/>
        <v>124</v>
      </c>
      <c r="B132" s="92">
        <v>1.763048418252473</v>
      </c>
    </row>
    <row r="133" spans="1:2" x14ac:dyDescent="0.3">
      <c r="A133" s="1">
        <f t="shared" si="1"/>
        <v>125</v>
      </c>
      <c r="B133" s="92">
        <v>2.1141162628325687</v>
      </c>
    </row>
    <row r="134" spans="1:2" x14ac:dyDescent="0.3">
      <c r="A134" s="1">
        <f t="shared" si="1"/>
        <v>126</v>
      </c>
      <c r="B134" s="92">
        <v>1.9481360246628698</v>
      </c>
    </row>
    <row r="135" spans="1:2" x14ac:dyDescent="0.3">
      <c r="A135" s="1">
        <f t="shared" si="1"/>
        <v>127</v>
      </c>
      <c r="B135" s="92">
        <v>2.4839054002898999</v>
      </c>
    </row>
    <row r="136" spans="1:2" x14ac:dyDescent="0.3">
      <c r="A136" s="1">
        <f t="shared" si="1"/>
        <v>128</v>
      </c>
      <c r="B136" s="92">
        <v>1.7706554438187943</v>
      </c>
    </row>
    <row r="137" spans="1:2" x14ac:dyDescent="0.3">
      <c r="A137" s="1">
        <f t="shared" si="1"/>
        <v>129</v>
      </c>
      <c r="B137" s="92">
        <v>1.8717553616065652</v>
      </c>
    </row>
    <row r="138" spans="1:2" x14ac:dyDescent="0.3">
      <c r="A138" s="1">
        <f t="shared" ref="A138:A201" si="2">ROW()-8</f>
        <v>130</v>
      </c>
      <c r="B138" s="92">
        <v>2.0297977390013626</v>
      </c>
    </row>
    <row r="139" spans="1:2" x14ac:dyDescent="0.3">
      <c r="A139" s="1">
        <f t="shared" si="2"/>
        <v>131</v>
      </c>
      <c r="B139" s="92">
        <v>2.1512915008589046</v>
      </c>
    </row>
    <row r="140" spans="1:2" x14ac:dyDescent="0.3">
      <c r="A140" s="1">
        <f t="shared" si="2"/>
        <v>132</v>
      </c>
      <c r="B140" s="92">
        <v>2.3828822028372234</v>
      </c>
    </row>
    <row r="141" spans="1:2" x14ac:dyDescent="0.3">
      <c r="A141" s="1">
        <f t="shared" si="2"/>
        <v>133</v>
      </c>
      <c r="B141" s="92">
        <v>2.2141337485059784</v>
      </c>
    </row>
    <row r="142" spans="1:2" x14ac:dyDescent="0.3">
      <c r="A142" s="1">
        <f t="shared" si="2"/>
        <v>134</v>
      </c>
      <c r="B142" s="92">
        <v>1.8423919448644663</v>
      </c>
    </row>
    <row r="143" spans="1:2" x14ac:dyDescent="0.3">
      <c r="A143" s="1">
        <f t="shared" si="2"/>
        <v>135</v>
      </c>
      <c r="B143" s="92">
        <v>2.1850261986387478</v>
      </c>
    </row>
    <row r="144" spans="1:2" x14ac:dyDescent="0.3">
      <c r="A144" s="1">
        <f t="shared" si="2"/>
        <v>136</v>
      </c>
      <c r="B144" s="92">
        <v>2.4998260151017435</v>
      </c>
    </row>
    <row r="145" spans="1:2" x14ac:dyDescent="0.3">
      <c r="A145" s="1">
        <f t="shared" si="2"/>
        <v>137</v>
      </c>
      <c r="B145" s="92">
        <v>2.256073743258086</v>
      </c>
    </row>
    <row r="146" spans="1:2" x14ac:dyDescent="0.3">
      <c r="A146" s="1">
        <f t="shared" si="2"/>
        <v>138</v>
      </c>
      <c r="B146" s="92">
        <v>2.7506455798880869</v>
      </c>
    </row>
    <row r="147" spans="1:2" x14ac:dyDescent="0.3">
      <c r="A147" s="1">
        <f t="shared" si="2"/>
        <v>139</v>
      </c>
      <c r="B147" s="92">
        <v>1.739235435170257</v>
      </c>
    </row>
    <row r="148" spans="1:2" x14ac:dyDescent="0.3">
      <c r="A148" s="1">
        <f t="shared" si="2"/>
        <v>140</v>
      </c>
      <c r="B148" s="92">
        <v>2.0621909159747518</v>
      </c>
    </row>
    <row r="149" spans="1:2" x14ac:dyDescent="0.3">
      <c r="A149" s="1">
        <f t="shared" si="2"/>
        <v>141</v>
      </c>
      <c r="B149" s="92">
        <v>1.7440052455886439</v>
      </c>
    </row>
    <row r="150" spans="1:2" x14ac:dyDescent="0.3">
      <c r="A150" s="1">
        <f t="shared" si="2"/>
        <v>142</v>
      </c>
      <c r="B150" s="92">
        <v>2.3325690740147902</v>
      </c>
    </row>
    <row r="151" spans="1:2" x14ac:dyDescent="0.3">
      <c r="A151" s="1">
        <f t="shared" si="2"/>
        <v>143</v>
      </c>
      <c r="B151" s="92">
        <v>2.0584117191397406</v>
      </c>
    </row>
    <row r="152" spans="1:2" x14ac:dyDescent="0.3">
      <c r="A152" s="1">
        <f t="shared" si="2"/>
        <v>144</v>
      </c>
      <c r="B152" s="92">
        <v>2.1608942962225934</v>
      </c>
    </row>
    <row r="153" spans="1:2" x14ac:dyDescent="0.3">
      <c r="A153" s="1">
        <f t="shared" si="2"/>
        <v>145</v>
      </c>
      <c r="B153" s="92">
        <v>2.2390532994269128</v>
      </c>
    </row>
    <row r="154" spans="1:2" x14ac:dyDescent="0.3">
      <c r="A154" s="1">
        <f t="shared" si="2"/>
        <v>146</v>
      </c>
      <c r="B154" s="92">
        <v>1.7300270326808915</v>
      </c>
    </row>
    <row r="155" spans="1:2" x14ac:dyDescent="0.3">
      <c r="A155" s="1">
        <f t="shared" si="2"/>
        <v>147</v>
      </c>
      <c r="B155" s="92">
        <v>2.0807975965852283</v>
      </c>
    </row>
    <row r="156" spans="1:2" x14ac:dyDescent="0.3">
      <c r="A156" s="1">
        <f t="shared" si="2"/>
        <v>148</v>
      </c>
      <c r="B156" s="92">
        <v>2.0040158786817166</v>
      </c>
    </row>
    <row r="157" spans="1:2" x14ac:dyDescent="0.3">
      <c r="A157" s="1">
        <f t="shared" si="2"/>
        <v>149</v>
      </c>
      <c r="B157" s="92">
        <v>2.0614437106903991</v>
      </c>
    </row>
    <row r="158" spans="1:2" x14ac:dyDescent="0.3">
      <c r="A158" s="1">
        <f t="shared" si="2"/>
        <v>150</v>
      </c>
      <c r="B158" s="92">
        <v>2.0570066366613613</v>
      </c>
    </row>
    <row r="159" spans="1:2" x14ac:dyDescent="0.3">
      <c r="A159" s="1">
        <f t="shared" si="2"/>
        <v>151</v>
      </c>
      <c r="B159" s="92">
        <v>1.8782925679667208</v>
      </c>
    </row>
    <row r="160" spans="1:2" x14ac:dyDescent="0.3">
      <c r="A160" s="1">
        <f t="shared" si="2"/>
        <v>152</v>
      </c>
      <c r="B160" s="92">
        <v>2.1056263056074322</v>
      </c>
    </row>
    <row r="161" spans="1:2" x14ac:dyDescent="0.3">
      <c r="A161" s="1">
        <f t="shared" si="2"/>
        <v>153</v>
      </c>
      <c r="B161" s="92">
        <v>1.9227625064904936</v>
      </c>
    </row>
    <row r="162" spans="1:2" x14ac:dyDescent="0.3">
      <c r="A162" s="1">
        <f t="shared" si="2"/>
        <v>154</v>
      </c>
      <c r="B162" s="92">
        <v>2.6819858448400438</v>
      </c>
    </row>
    <row r="163" spans="1:2" x14ac:dyDescent="0.3">
      <c r="A163" s="1">
        <f t="shared" si="2"/>
        <v>155</v>
      </c>
      <c r="B163" s="92">
        <v>2.1506764867669115</v>
      </c>
    </row>
    <row r="164" spans="1:2" x14ac:dyDescent="0.3">
      <c r="A164" s="1">
        <f t="shared" si="2"/>
        <v>156</v>
      </c>
      <c r="B164" s="92">
        <v>2.3140611585075952</v>
      </c>
    </row>
    <row r="165" spans="1:2" x14ac:dyDescent="0.3">
      <c r="A165" s="1">
        <f t="shared" si="2"/>
        <v>157</v>
      </c>
      <c r="B165" s="92">
        <v>1.8991673116076779</v>
      </c>
    </row>
    <row r="166" spans="1:2" x14ac:dyDescent="0.3">
      <c r="A166" s="1">
        <f t="shared" si="2"/>
        <v>158</v>
      </c>
      <c r="B166" s="92">
        <v>2.1923672294806438</v>
      </c>
    </row>
    <row r="167" spans="1:2" x14ac:dyDescent="0.3">
      <c r="A167" s="1">
        <f t="shared" si="2"/>
        <v>159</v>
      </c>
      <c r="B167" s="92">
        <v>2.0301258661853172</v>
      </c>
    </row>
    <row r="168" spans="1:2" x14ac:dyDescent="0.3">
      <c r="A168" s="1">
        <f t="shared" si="2"/>
        <v>160</v>
      </c>
      <c r="B168" s="92">
        <v>2.5357864025493853</v>
      </c>
    </row>
    <row r="169" spans="1:2" x14ac:dyDescent="0.3">
      <c r="A169" s="1">
        <f t="shared" si="2"/>
        <v>161</v>
      </c>
      <c r="B169" s="92">
        <v>1.8711867221827931</v>
      </c>
    </row>
    <row r="170" spans="1:2" x14ac:dyDescent="0.3">
      <c r="A170" s="1">
        <f t="shared" si="2"/>
        <v>162</v>
      </c>
      <c r="B170" s="92">
        <v>2.0654667314310782</v>
      </c>
    </row>
    <row r="171" spans="1:2" x14ac:dyDescent="0.3">
      <c r="A171" s="1">
        <f t="shared" si="2"/>
        <v>163</v>
      </c>
      <c r="B171" s="92">
        <v>1.9387888991092466</v>
      </c>
    </row>
    <row r="172" spans="1:2" x14ac:dyDescent="0.3">
      <c r="A172" s="1">
        <f t="shared" si="2"/>
        <v>164</v>
      </c>
      <c r="B172" s="92">
        <v>2.529167853138047</v>
      </c>
    </row>
    <row r="173" spans="1:2" x14ac:dyDescent="0.3">
      <c r="A173" s="1">
        <f t="shared" si="2"/>
        <v>165</v>
      </c>
      <c r="B173" s="92">
        <v>2.3471342576501093</v>
      </c>
    </row>
    <row r="174" spans="1:2" x14ac:dyDescent="0.3">
      <c r="A174" s="1">
        <f t="shared" si="2"/>
        <v>166</v>
      </c>
      <c r="B174" s="92">
        <v>2.2256871881622522</v>
      </c>
    </row>
    <row r="175" spans="1:2" x14ac:dyDescent="0.3">
      <c r="A175" s="1">
        <f t="shared" si="2"/>
        <v>167</v>
      </c>
      <c r="B175" s="92">
        <v>2.2601617148992412</v>
      </c>
    </row>
    <row r="176" spans="1:2" x14ac:dyDescent="0.3">
      <c r="A176" s="1">
        <f t="shared" si="2"/>
        <v>168</v>
      </c>
      <c r="B176" s="92">
        <v>2.1043997936445495</v>
      </c>
    </row>
    <row r="177" spans="1:2" x14ac:dyDescent="0.3">
      <c r="A177" s="1">
        <f t="shared" si="2"/>
        <v>169</v>
      </c>
      <c r="B177" s="92">
        <v>2.0992379423785903</v>
      </c>
    </row>
    <row r="178" spans="1:2" x14ac:dyDescent="0.3">
      <c r="A178" s="1">
        <f t="shared" si="2"/>
        <v>170</v>
      </c>
      <c r="B178" s="92">
        <v>2.0809091540510223</v>
      </c>
    </row>
    <row r="179" spans="1:2" x14ac:dyDescent="0.3">
      <c r="A179" s="1">
        <f t="shared" si="2"/>
        <v>171</v>
      </c>
      <c r="B179" s="92">
        <v>2.7576322685238037</v>
      </c>
    </row>
    <row r="180" spans="1:2" x14ac:dyDescent="0.3">
      <c r="A180" s="1">
        <f t="shared" si="2"/>
        <v>172</v>
      </c>
      <c r="B180" s="92">
        <v>2.157022266842564</v>
      </c>
    </row>
    <row r="181" spans="1:2" x14ac:dyDescent="0.3">
      <c r="A181" s="1">
        <f t="shared" si="2"/>
        <v>173</v>
      </c>
      <c r="B181" s="92">
        <v>2.0916606763552581</v>
      </c>
    </row>
    <row r="182" spans="1:2" x14ac:dyDescent="0.3">
      <c r="A182" s="1">
        <f t="shared" si="2"/>
        <v>174</v>
      </c>
      <c r="B182" s="92">
        <v>2.3607153886114536</v>
      </c>
    </row>
    <row r="183" spans="1:2" x14ac:dyDescent="0.3">
      <c r="A183" s="1">
        <f t="shared" si="2"/>
        <v>175</v>
      </c>
      <c r="B183" s="92">
        <v>1.8044978254256159</v>
      </c>
    </row>
    <row r="184" spans="1:2" x14ac:dyDescent="0.3">
      <c r="A184" s="1">
        <f t="shared" si="2"/>
        <v>176</v>
      </c>
      <c r="B184" s="92">
        <v>2.2693652248006573</v>
      </c>
    </row>
    <row r="185" spans="1:2" x14ac:dyDescent="0.3">
      <c r="A185" s="1">
        <f t="shared" si="2"/>
        <v>177</v>
      </c>
      <c r="B185" s="92">
        <v>2.2186979619245757</v>
      </c>
    </row>
    <row r="186" spans="1:2" x14ac:dyDescent="0.3">
      <c r="A186" s="1">
        <f t="shared" si="2"/>
        <v>178</v>
      </c>
      <c r="B186" s="92">
        <v>1.859517455224764</v>
      </c>
    </row>
    <row r="187" spans="1:2" x14ac:dyDescent="0.3">
      <c r="A187" s="1">
        <f t="shared" si="2"/>
        <v>179</v>
      </c>
      <c r="B187" s="92">
        <v>2.3700768106445147</v>
      </c>
    </row>
    <row r="188" spans="1:2" x14ac:dyDescent="0.3">
      <c r="A188" s="1">
        <f t="shared" si="2"/>
        <v>180</v>
      </c>
      <c r="B188" s="92">
        <v>2.6115299234324145</v>
      </c>
    </row>
    <row r="189" spans="1:2" x14ac:dyDescent="0.3">
      <c r="A189" s="1">
        <f t="shared" si="2"/>
        <v>181</v>
      </c>
      <c r="B189" s="92">
        <v>2.409699138261058</v>
      </c>
    </row>
    <row r="190" spans="1:2" x14ac:dyDescent="0.3">
      <c r="A190" s="1">
        <f t="shared" si="2"/>
        <v>182</v>
      </c>
      <c r="B190" s="92">
        <v>1.9126055818777719</v>
      </c>
    </row>
    <row r="191" spans="1:2" x14ac:dyDescent="0.3">
      <c r="A191" s="1">
        <f t="shared" si="2"/>
        <v>183</v>
      </c>
      <c r="B191" s="92">
        <v>2.2313126927868487</v>
      </c>
    </row>
    <row r="192" spans="1:2" x14ac:dyDescent="0.3">
      <c r="A192" s="1">
        <f t="shared" si="2"/>
        <v>184</v>
      </c>
      <c r="B192" s="92">
        <v>2.014435719733684</v>
      </c>
    </row>
    <row r="193" spans="1:2" x14ac:dyDescent="0.3">
      <c r="A193" s="1">
        <f t="shared" si="2"/>
        <v>185</v>
      </c>
      <c r="B193" s="92">
        <v>2.5651989071437735</v>
      </c>
    </row>
    <row r="194" spans="1:2" x14ac:dyDescent="0.3">
      <c r="A194" s="1">
        <f t="shared" si="2"/>
        <v>186</v>
      </c>
      <c r="B194" s="92">
        <v>2.229681568575991</v>
      </c>
    </row>
    <row r="195" spans="1:2" x14ac:dyDescent="0.3">
      <c r="A195" s="1">
        <f t="shared" si="2"/>
        <v>187</v>
      </c>
      <c r="B195" s="92">
        <v>2.0467753645384597</v>
      </c>
    </row>
    <row r="196" spans="1:2" x14ac:dyDescent="0.3">
      <c r="A196" s="1">
        <f t="shared" si="2"/>
        <v>188</v>
      </c>
      <c r="B196" s="92">
        <v>2.3625242405430069</v>
      </c>
    </row>
    <row r="197" spans="1:2" x14ac:dyDescent="0.3">
      <c r="A197" s="1">
        <f t="shared" si="2"/>
        <v>189</v>
      </c>
      <c r="B197" s="92">
        <v>2.1326713373901378</v>
      </c>
    </row>
    <row r="198" spans="1:2" x14ac:dyDescent="0.3">
      <c r="A198" s="1">
        <f t="shared" si="2"/>
        <v>190</v>
      </c>
      <c r="B198" s="92">
        <v>2.2201569458465391</v>
      </c>
    </row>
    <row r="199" spans="1:2" x14ac:dyDescent="0.3">
      <c r="A199" s="1">
        <f t="shared" si="2"/>
        <v>191</v>
      </c>
      <c r="B199" s="92">
        <v>2.794973489729192</v>
      </c>
    </row>
    <row r="200" spans="1:2" x14ac:dyDescent="0.3">
      <c r="A200" s="1">
        <f t="shared" si="2"/>
        <v>192</v>
      </c>
      <c r="B200" s="92">
        <v>1.9169730967983052</v>
      </c>
    </row>
    <row r="201" spans="1:2" x14ac:dyDescent="0.3">
      <c r="A201" s="1">
        <f t="shared" si="2"/>
        <v>193</v>
      </c>
      <c r="B201" s="92">
        <v>1.9632445121928617</v>
      </c>
    </row>
    <row r="202" spans="1:2" x14ac:dyDescent="0.3">
      <c r="A202" s="1">
        <f t="shared" ref="A202:A265" si="3">ROW()-8</f>
        <v>194</v>
      </c>
      <c r="B202" s="92">
        <v>2.1762795405047801</v>
      </c>
    </row>
    <row r="203" spans="1:2" x14ac:dyDescent="0.3">
      <c r="A203" s="1">
        <f t="shared" si="3"/>
        <v>195</v>
      </c>
      <c r="B203" s="92">
        <v>2.3674278026921227</v>
      </c>
    </row>
    <row r="204" spans="1:2" x14ac:dyDescent="0.3">
      <c r="A204" s="1">
        <f t="shared" si="3"/>
        <v>196</v>
      </c>
      <c r="B204" s="92">
        <v>2.5822152541442662</v>
      </c>
    </row>
    <row r="205" spans="1:2" x14ac:dyDescent="0.3">
      <c r="A205" s="1">
        <f t="shared" si="3"/>
        <v>197</v>
      </c>
      <c r="B205" s="92">
        <v>2.0152187694754469</v>
      </c>
    </row>
    <row r="206" spans="1:2" x14ac:dyDescent="0.3">
      <c r="A206" s="1">
        <f t="shared" si="3"/>
        <v>198</v>
      </c>
      <c r="B206" s="92">
        <v>1.9511478599018719</v>
      </c>
    </row>
    <row r="207" spans="1:2" x14ac:dyDescent="0.3">
      <c r="A207" s="1">
        <f t="shared" si="3"/>
        <v>199</v>
      </c>
      <c r="B207" s="92">
        <v>2.2615309183039338</v>
      </c>
    </row>
    <row r="208" spans="1:2" x14ac:dyDescent="0.3">
      <c r="A208" s="1">
        <f t="shared" si="3"/>
        <v>200</v>
      </c>
      <c r="B208" s="92">
        <v>2.7236969028442082</v>
      </c>
    </row>
    <row r="209" spans="1:2" x14ac:dyDescent="0.3">
      <c r="A209" s="1">
        <f t="shared" si="3"/>
        <v>201</v>
      </c>
      <c r="B209" s="92">
        <v>2.3723877991436786</v>
      </c>
    </row>
    <row r="210" spans="1:2" x14ac:dyDescent="0.3">
      <c r="A210" s="1">
        <f t="shared" si="3"/>
        <v>202</v>
      </c>
      <c r="B210" s="92">
        <v>2.1298310161147604</v>
      </c>
    </row>
    <row r="211" spans="1:2" x14ac:dyDescent="0.3">
      <c r="A211" s="1">
        <f t="shared" si="3"/>
        <v>203</v>
      </c>
      <c r="B211" s="92">
        <v>2.0528534605430688</v>
      </c>
    </row>
    <row r="212" spans="1:2" x14ac:dyDescent="0.3">
      <c r="A212" s="1">
        <f t="shared" si="3"/>
        <v>204</v>
      </c>
      <c r="B212" s="92">
        <v>2.2061136370148042</v>
      </c>
    </row>
    <row r="213" spans="1:2" x14ac:dyDescent="0.3">
      <c r="A213" s="1">
        <f t="shared" si="3"/>
        <v>205</v>
      </c>
      <c r="B213" s="92">
        <v>2.3247808463264188</v>
      </c>
    </row>
    <row r="214" spans="1:2" x14ac:dyDescent="0.3">
      <c r="A214" s="1">
        <f t="shared" si="3"/>
        <v>206</v>
      </c>
      <c r="B214" s="92">
        <v>1.7445546782127126</v>
      </c>
    </row>
    <row r="215" spans="1:2" x14ac:dyDescent="0.3">
      <c r="A215" s="1">
        <f t="shared" si="3"/>
        <v>207</v>
      </c>
      <c r="B215" s="92">
        <v>2.641595211686051</v>
      </c>
    </row>
    <row r="216" spans="1:2" x14ac:dyDescent="0.3">
      <c r="A216" s="1">
        <f t="shared" si="3"/>
        <v>208</v>
      </c>
      <c r="B216" s="92">
        <v>1.8600938045035842</v>
      </c>
    </row>
    <row r="217" spans="1:2" x14ac:dyDescent="0.3">
      <c r="A217" s="1">
        <f t="shared" si="3"/>
        <v>209</v>
      </c>
      <c r="B217" s="92">
        <v>2.1727084255433544</v>
      </c>
    </row>
    <row r="218" spans="1:2" x14ac:dyDescent="0.3">
      <c r="A218" s="1">
        <f t="shared" si="3"/>
        <v>210</v>
      </c>
      <c r="B218" s="92">
        <v>2.2308875477271073</v>
      </c>
    </row>
    <row r="219" spans="1:2" x14ac:dyDescent="0.3">
      <c r="A219" s="1">
        <f t="shared" si="3"/>
        <v>211</v>
      </c>
      <c r="B219" s="92">
        <v>2.0153922082825644</v>
      </c>
    </row>
    <row r="220" spans="1:2" x14ac:dyDescent="0.3">
      <c r="A220" s="1">
        <f t="shared" si="3"/>
        <v>212</v>
      </c>
      <c r="B220" s="92">
        <v>2.2031211483296307</v>
      </c>
    </row>
    <row r="221" spans="1:2" x14ac:dyDescent="0.3">
      <c r="A221" s="1">
        <f t="shared" si="3"/>
        <v>213</v>
      </c>
      <c r="B221" s="92">
        <v>2.4029896490448723</v>
      </c>
    </row>
    <row r="222" spans="1:2" x14ac:dyDescent="0.3">
      <c r="A222" s="1">
        <f t="shared" si="3"/>
        <v>214</v>
      </c>
      <c r="B222" s="92">
        <v>2.1723567001635931</v>
      </c>
    </row>
    <row r="223" spans="1:2" x14ac:dyDescent="0.3">
      <c r="A223" s="1">
        <f t="shared" si="3"/>
        <v>215</v>
      </c>
      <c r="B223" s="92">
        <v>2.1215632405592117</v>
      </c>
    </row>
    <row r="224" spans="1:2" x14ac:dyDescent="0.3">
      <c r="A224" s="1">
        <f t="shared" si="3"/>
        <v>216</v>
      </c>
      <c r="B224" s="92">
        <v>2.1744122024601116</v>
      </c>
    </row>
    <row r="225" spans="1:2" x14ac:dyDescent="0.3">
      <c r="A225" s="1">
        <f t="shared" si="3"/>
        <v>217</v>
      </c>
      <c r="B225" s="92">
        <v>2.1669027661546556</v>
      </c>
    </row>
    <row r="226" spans="1:2" x14ac:dyDescent="0.3">
      <c r="A226" s="1">
        <f t="shared" si="3"/>
        <v>218</v>
      </c>
      <c r="B226" s="92">
        <v>1.9440854612661205</v>
      </c>
    </row>
    <row r="227" spans="1:2" x14ac:dyDescent="0.3">
      <c r="A227" s="1">
        <f t="shared" si="3"/>
        <v>219</v>
      </c>
      <c r="B227" s="92">
        <v>2.1813431477811158</v>
      </c>
    </row>
    <row r="228" spans="1:2" x14ac:dyDescent="0.3">
      <c r="A228" s="1">
        <f t="shared" si="3"/>
        <v>220</v>
      </c>
      <c r="B228" s="92">
        <v>2.019495763670641</v>
      </c>
    </row>
    <row r="229" spans="1:2" x14ac:dyDescent="0.3">
      <c r="A229" s="1">
        <f t="shared" si="3"/>
        <v>221</v>
      </c>
      <c r="B229" s="92">
        <v>2.0410030829071415</v>
      </c>
    </row>
    <row r="230" spans="1:2" x14ac:dyDescent="0.3">
      <c r="A230" s="1">
        <f t="shared" si="3"/>
        <v>222</v>
      </c>
      <c r="B230" s="92">
        <v>2.2608441904002787</v>
      </c>
    </row>
    <row r="231" spans="1:2" x14ac:dyDescent="0.3">
      <c r="A231" s="1">
        <f t="shared" si="3"/>
        <v>223</v>
      </c>
      <c r="B231" s="92">
        <v>2.3281370382483639</v>
      </c>
    </row>
    <row r="232" spans="1:2" x14ac:dyDescent="0.3">
      <c r="A232" s="1">
        <f t="shared" si="3"/>
        <v>224</v>
      </c>
      <c r="B232" s="92">
        <v>1.8334359922577883</v>
      </c>
    </row>
    <row r="233" spans="1:2" x14ac:dyDescent="0.3">
      <c r="A233" s="1">
        <f t="shared" si="3"/>
        <v>225</v>
      </c>
      <c r="B233" s="92">
        <v>2.1947734234519327</v>
      </c>
    </row>
    <row r="234" spans="1:2" x14ac:dyDescent="0.3">
      <c r="A234" s="1">
        <f t="shared" si="3"/>
        <v>226</v>
      </c>
      <c r="B234" s="92">
        <v>1.8867212266990583</v>
      </c>
    </row>
    <row r="235" spans="1:2" x14ac:dyDescent="0.3">
      <c r="A235" s="1">
        <f t="shared" si="3"/>
        <v>227</v>
      </c>
      <c r="B235" s="92">
        <v>2.3904062543816011</v>
      </c>
    </row>
    <row r="236" spans="1:2" x14ac:dyDescent="0.3">
      <c r="A236" s="1">
        <f t="shared" si="3"/>
        <v>228</v>
      </c>
      <c r="B236" s="92">
        <v>2.4135066210539842</v>
      </c>
    </row>
    <row r="237" spans="1:2" x14ac:dyDescent="0.3">
      <c r="A237" s="1">
        <f t="shared" si="3"/>
        <v>229</v>
      </c>
      <c r="B237" s="92">
        <v>1.8988485216776185</v>
      </c>
    </row>
    <row r="238" spans="1:2" x14ac:dyDescent="0.3">
      <c r="A238" s="1">
        <f t="shared" si="3"/>
        <v>230</v>
      </c>
      <c r="B238" s="92">
        <v>2.1158993455854884</v>
      </c>
    </row>
    <row r="239" spans="1:2" x14ac:dyDescent="0.3">
      <c r="A239" s="1">
        <f t="shared" si="3"/>
        <v>231</v>
      </c>
      <c r="B239" s="92">
        <v>2.0338566098556852</v>
      </c>
    </row>
    <row r="240" spans="1:2" x14ac:dyDescent="0.3">
      <c r="A240" s="1">
        <f t="shared" si="3"/>
        <v>232</v>
      </c>
      <c r="B240" s="92">
        <v>2.1613474594817386</v>
      </c>
    </row>
    <row r="241" spans="1:2" x14ac:dyDescent="0.3">
      <c r="A241" s="1">
        <f t="shared" si="3"/>
        <v>233</v>
      </c>
      <c r="B241" s="92">
        <v>2.1455083262030232</v>
      </c>
    </row>
    <row r="242" spans="1:2" x14ac:dyDescent="0.3">
      <c r="A242" s="1">
        <f t="shared" si="3"/>
        <v>234</v>
      </c>
      <c r="B242" s="92">
        <v>2.3438670161132169</v>
      </c>
    </row>
    <row r="243" spans="1:2" x14ac:dyDescent="0.3">
      <c r="A243" s="1">
        <f t="shared" si="3"/>
        <v>235</v>
      </c>
      <c r="B243" s="92">
        <v>2.1205824303492471</v>
      </c>
    </row>
    <row r="244" spans="1:2" x14ac:dyDescent="0.3">
      <c r="A244" s="1">
        <f t="shared" si="3"/>
        <v>236</v>
      </c>
      <c r="B244" s="92">
        <v>2.4122631934401122</v>
      </c>
    </row>
    <row r="245" spans="1:2" x14ac:dyDescent="0.3">
      <c r="A245" s="1">
        <f t="shared" si="3"/>
        <v>237</v>
      </c>
      <c r="B245" s="92">
        <v>2.3079217753816597</v>
      </c>
    </row>
    <row r="246" spans="1:2" x14ac:dyDescent="0.3">
      <c r="A246" s="1">
        <f t="shared" si="3"/>
        <v>238</v>
      </c>
      <c r="B246" s="92">
        <v>1.8178270717238896</v>
      </c>
    </row>
    <row r="247" spans="1:2" x14ac:dyDescent="0.3">
      <c r="A247" s="1">
        <f t="shared" si="3"/>
        <v>239</v>
      </c>
      <c r="B247" s="92">
        <v>2.2447167152954668</v>
      </c>
    </row>
    <row r="248" spans="1:2" x14ac:dyDescent="0.3">
      <c r="A248" s="1">
        <f t="shared" si="3"/>
        <v>240</v>
      </c>
      <c r="B248" s="92">
        <v>2.1900756998778861</v>
      </c>
    </row>
    <row r="249" spans="1:2" x14ac:dyDescent="0.3">
      <c r="A249" s="1">
        <f t="shared" si="3"/>
        <v>241</v>
      </c>
      <c r="B249" s="92">
        <v>2.7053129761275594</v>
      </c>
    </row>
    <row r="250" spans="1:2" x14ac:dyDescent="0.3">
      <c r="A250" s="1">
        <f t="shared" si="3"/>
        <v>242</v>
      </c>
      <c r="B250" s="92">
        <v>1.9263922852711515</v>
      </c>
    </row>
    <row r="251" spans="1:2" x14ac:dyDescent="0.3">
      <c r="A251" s="1">
        <f t="shared" si="3"/>
        <v>243</v>
      </c>
      <c r="B251" s="92">
        <v>2.0572198822287606</v>
      </c>
    </row>
    <row r="252" spans="1:2" x14ac:dyDescent="0.3">
      <c r="A252" s="1">
        <f t="shared" si="3"/>
        <v>244</v>
      </c>
      <c r="B252" s="92">
        <v>1.7012940821741227</v>
      </c>
    </row>
    <row r="253" spans="1:2" x14ac:dyDescent="0.3">
      <c r="A253" s="1">
        <f t="shared" si="3"/>
        <v>245</v>
      </c>
      <c r="B253" s="92">
        <v>2.3811024785314183</v>
      </c>
    </row>
    <row r="254" spans="1:2" x14ac:dyDescent="0.3">
      <c r="A254" s="1">
        <f t="shared" si="3"/>
        <v>246</v>
      </c>
      <c r="B254" s="92">
        <v>2.0754766783864609</v>
      </c>
    </row>
    <row r="255" spans="1:2" x14ac:dyDescent="0.3">
      <c r="A255" s="1">
        <f t="shared" si="3"/>
        <v>247</v>
      </c>
      <c r="B255" s="92">
        <v>1.6470026830713538</v>
      </c>
    </row>
    <row r="256" spans="1:2" x14ac:dyDescent="0.3">
      <c r="A256" s="1">
        <f t="shared" si="3"/>
        <v>248</v>
      </c>
      <c r="B256" s="92">
        <v>2.3518995503767877</v>
      </c>
    </row>
    <row r="257" spans="1:2" x14ac:dyDescent="0.3">
      <c r="A257" s="1">
        <f t="shared" si="3"/>
        <v>249</v>
      </c>
      <c r="B257" s="92">
        <v>2.196729129403161</v>
      </c>
    </row>
    <row r="258" spans="1:2" x14ac:dyDescent="0.3">
      <c r="A258" s="1">
        <f t="shared" si="3"/>
        <v>250</v>
      </c>
      <c r="B258" s="92">
        <v>2.0928513958677231</v>
      </c>
    </row>
    <row r="259" spans="1:2" x14ac:dyDescent="0.3">
      <c r="A259" s="1">
        <f t="shared" si="3"/>
        <v>251</v>
      </c>
      <c r="B259" s="92">
        <v>2.3226316493966563</v>
      </c>
    </row>
    <row r="260" spans="1:2" x14ac:dyDescent="0.3">
      <c r="A260" s="1">
        <f t="shared" si="3"/>
        <v>252</v>
      </c>
      <c r="B260" s="92">
        <v>2.1011473508027469</v>
      </c>
    </row>
    <row r="261" spans="1:2" x14ac:dyDescent="0.3">
      <c r="A261" s="1">
        <f t="shared" si="3"/>
        <v>253</v>
      </c>
      <c r="B261" s="92">
        <v>1.6142694981879888</v>
      </c>
    </row>
    <row r="262" spans="1:2" x14ac:dyDescent="0.3">
      <c r="A262" s="1">
        <f t="shared" si="3"/>
        <v>254</v>
      </c>
      <c r="B262" s="92">
        <v>1.9041736019037607</v>
      </c>
    </row>
    <row r="263" spans="1:2" x14ac:dyDescent="0.3">
      <c r="A263" s="1">
        <f t="shared" si="3"/>
        <v>255</v>
      </c>
      <c r="B263" s="92">
        <v>1.93007979268689</v>
      </c>
    </row>
    <row r="264" spans="1:2" x14ac:dyDescent="0.3">
      <c r="A264" s="1">
        <f t="shared" si="3"/>
        <v>256</v>
      </c>
      <c r="B264" s="92">
        <v>1.6051450604368342</v>
      </c>
    </row>
    <row r="265" spans="1:2" x14ac:dyDescent="0.3">
      <c r="A265" s="1">
        <f t="shared" si="3"/>
        <v>257</v>
      </c>
      <c r="B265" s="92">
        <v>2.2021593132967068</v>
      </c>
    </row>
    <row r="266" spans="1:2" x14ac:dyDescent="0.3">
      <c r="A266" s="1">
        <f t="shared" ref="A266:A329" si="4">ROW()-8</f>
        <v>258</v>
      </c>
      <c r="B266" s="92">
        <v>2.134481886054882</v>
      </c>
    </row>
    <row r="267" spans="1:2" x14ac:dyDescent="0.3">
      <c r="A267" s="1">
        <f t="shared" si="4"/>
        <v>259</v>
      </c>
      <c r="B267" s="92">
        <v>2.0996719163011166</v>
      </c>
    </row>
    <row r="268" spans="1:2" x14ac:dyDescent="0.3">
      <c r="A268" s="1">
        <f t="shared" si="4"/>
        <v>260</v>
      </c>
      <c r="B268" s="92">
        <v>2.1298707798257506</v>
      </c>
    </row>
    <row r="269" spans="1:2" x14ac:dyDescent="0.3">
      <c r="A269" s="1">
        <f t="shared" si="4"/>
        <v>261</v>
      </c>
      <c r="B269" s="92">
        <v>2.2643939705143286</v>
      </c>
    </row>
    <row r="270" spans="1:2" x14ac:dyDescent="0.3">
      <c r="A270" s="1">
        <f t="shared" si="4"/>
        <v>262</v>
      </c>
      <c r="B270" s="92">
        <v>1.9609650789396491</v>
      </c>
    </row>
    <row r="271" spans="1:2" x14ac:dyDescent="0.3">
      <c r="A271" s="1">
        <f t="shared" si="4"/>
        <v>263</v>
      </c>
      <c r="B271" s="92">
        <v>2.2865999813464812</v>
      </c>
    </row>
    <row r="272" spans="1:2" x14ac:dyDescent="0.3">
      <c r="A272" s="1">
        <f t="shared" si="4"/>
        <v>264</v>
      </c>
      <c r="B272" s="92">
        <v>1.7667069346920394</v>
      </c>
    </row>
    <row r="273" spans="1:2" x14ac:dyDescent="0.3">
      <c r="A273" s="1">
        <f t="shared" si="4"/>
        <v>265</v>
      </c>
      <c r="B273" s="92">
        <v>2.1712888915448358</v>
      </c>
    </row>
    <row r="274" spans="1:2" x14ac:dyDescent="0.3">
      <c r="A274" s="1">
        <f t="shared" si="4"/>
        <v>266</v>
      </c>
      <c r="B274" s="92">
        <v>2.3094961448339117</v>
      </c>
    </row>
    <row r="275" spans="1:2" x14ac:dyDescent="0.3">
      <c r="A275" s="1">
        <f t="shared" si="4"/>
        <v>267</v>
      </c>
      <c r="B275" s="92">
        <v>2.1730166277387539</v>
      </c>
    </row>
    <row r="276" spans="1:2" x14ac:dyDescent="0.3">
      <c r="A276" s="1">
        <f t="shared" si="4"/>
        <v>268</v>
      </c>
      <c r="B276" s="92">
        <v>2.410115299262872</v>
      </c>
    </row>
    <row r="277" spans="1:2" x14ac:dyDescent="0.3">
      <c r="A277" s="1">
        <f t="shared" si="4"/>
        <v>269</v>
      </c>
      <c r="B277" s="92">
        <v>2.098522588520956</v>
      </c>
    </row>
    <row r="278" spans="1:2" x14ac:dyDescent="0.3">
      <c r="A278" s="1">
        <f t="shared" si="4"/>
        <v>270</v>
      </c>
      <c r="B278" s="92">
        <v>1.8331126098344819</v>
      </c>
    </row>
    <row r="279" spans="1:2" x14ac:dyDescent="0.3">
      <c r="A279" s="1">
        <f t="shared" si="4"/>
        <v>271</v>
      </c>
      <c r="B279" s="92">
        <v>1.6617394417879456</v>
      </c>
    </row>
    <row r="280" spans="1:2" x14ac:dyDescent="0.3">
      <c r="A280" s="1">
        <f t="shared" si="4"/>
        <v>272</v>
      </c>
      <c r="B280" s="92">
        <v>1.9553001612794987</v>
      </c>
    </row>
    <row r="281" spans="1:2" x14ac:dyDescent="0.3">
      <c r="A281" s="1">
        <f t="shared" si="4"/>
        <v>273</v>
      </c>
      <c r="B281" s="92">
        <v>1.9066357435133483</v>
      </c>
    </row>
    <row r="282" spans="1:2" x14ac:dyDescent="0.3">
      <c r="A282" s="1">
        <f t="shared" si="4"/>
        <v>274</v>
      </c>
      <c r="B282" s="92">
        <v>2.0502028353935127</v>
      </c>
    </row>
    <row r="283" spans="1:2" x14ac:dyDescent="0.3">
      <c r="A283" s="1">
        <f t="shared" si="4"/>
        <v>275</v>
      </c>
      <c r="B283" s="92">
        <v>2.0379150999197075</v>
      </c>
    </row>
    <row r="284" spans="1:2" x14ac:dyDescent="0.3">
      <c r="A284" s="1">
        <f t="shared" si="4"/>
        <v>276</v>
      </c>
      <c r="B284" s="92">
        <v>2.6150291485006423</v>
      </c>
    </row>
    <row r="285" spans="1:2" x14ac:dyDescent="0.3">
      <c r="A285" s="1">
        <f t="shared" si="4"/>
        <v>277</v>
      </c>
      <c r="B285" s="92">
        <v>2.4097566666804604</v>
      </c>
    </row>
    <row r="286" spans="1:2" x14ac:dyDescent="0.3">
      <c r="A286" s="1">
        <f t="shared" si="4"/>
        <v>278</v>
      </c>
      <c r="B286" s="92">
        <v>2.0650754027603218</v>
      </c>
    </row>
    <row r="287" spans="1:2" x14ac:dyDescent="0.3">
      <c r="A287" s="1">
        <f t="shared" si="4"/>
        <v>279</v>
      </c>
      <c r="B287" s="92">
        <v>2.1979743014401589</v>
      </c>
    </row>
    <row r="288" spans="1:2" x14ac:dyDescent="0.3">
      <c r="A288" s="1">
        <f t="shared" si="4"/>
        <v>280</v>
      </c>
      <c r="B288" s="92">
        <v>1.8515272663507283</v>
      </c>
    </row>
    <row r="289" spans="1:2" x14ac:dyDescent="0.3">
      <c r="A289" s="1">
        <f t="shared" si="4"/>
        <v>281</v>
      </c>
      <c r="B289" s="92">
        <v>1.785975685671702</v>
      </c>
    </row>
    <row r="290" spans="1:2" x14ac:dyDescent="0.3">
      <c r="A290" s="1">
        <f t="shared" si="4"/>
        <v>282</v>
      </c>
      <c r="B290" s="92">
        <v>2.2584515590614673</v>
      </c>
    </row>
    <row r="291" spans="1:2" x14ac:dyDescent="0.3">
      <c r="A291" s="1">
        <f t="shared" si="4"/>
        <v>283</v>
      </c>
      <c r="B291" s="92">
        <v>1.8305321786391862</v>
      </c>
    </row>
    <row r="292" spans="1:2" x14ac:dyDescent="0.3">
      <c r="A292" s="1">
        <f t="shared" si="4"/>
        <v>284</v>
      </c>
      <c r="B292" s="92">
        <v>1.9995117214313618</v>
      </c>
    </row>
    <row r="293" spans="1:2" x14ac:dyDescent="0.3">
      <c r="A293" s="1">
        <f t="shared" si="4"/>
        <v>285</v>
      </c>
      <c r="B293" s="92">
        <v>2.1907515615311874</v>
      </c>
    </row>
    <row r="294" spans="1:2" x14ac:dyDescent="0.3">
      <c r="A294" s="1">
        <f t="shared" si="4"/>
        <v>286</v>
      </c>
      <c r="B294" s="92">
        <v>2.0430353374073058</v>
      </c>
    </row>
    <row r="295" spans="1:2" x14ac:dyDescent="0.3">
      <c r="A295" s="1">
        <f t="shared" si="4"/>
        <v>287</v>
      </c>
      <c r="B295" s="92">
        <v>2.1655142419835478</v>
      </c>
    </row>
    <row r="296" spans="1:2" x14ac:dyDescent="0.3">
      <c r="A296" s="1">
        <f t="shared" si="4"/>
        <v>288</v>
      </c>
      <c r="B296" s="92">
        <v>1.9781218841280528</v>
      </c>
    </row>
    <row r="297" spans="1:2" x14ac:dyDescent="0.3">
      <c r="A297" s="1">
        <f t="shared" si="4"/>
        <v>289</v>
      </c>
      <c r="B297" s="92">
        <v>1.8086488566352934</v>
      </c>
    </row>
    <row r="298" spans="1:2" x14ac:dyDescent="0.3">
      <c r="A298" s="1">
        <f t="shared" si="4"/>
        <v>290</v>
      </c>
      <c r="B298" s="92">
        <v>2.106882916427292</v>
      </c>
    </row>
    <row r="299" spans="1:2" x14ac:dyDescent="0.3">
      <c r="A299" s="1">
        <f t="shared" si="4"/>
        <v>291</v>
      </c>
      <c r="B299" s="92">
        <v>1.7652805541370922</v>
      </c>
    </row>
    <row r="300" spans="1:2" x14ac:dyDescent="0.3">
      <c r="A300" s="1">
        <f t="shared" si="4"/>
        <v>292</v>
      </c>
      <c r="B300" s="92">
        <v>2.3445951448418847</v>
      </c>
    </row>
    <row r="301" spans="1:2" x14ac:dyDescent="0.3">
      <c r="A301" s="1">
        <f t="shared" si="4"/>
        <v>293</v>
      </c>
      <c r="B301" s="92">
        <v>1.8478180279659886</v>
      </c>
    </row>
    <row r="302" spans="1:2" x14ac:dyDescent="0.3">
      <c r="A302" s="1">
        <f t="shared" si="4"/>
        <v>294</v>
      </c>
      <c r="B302" s="92">
        <v>2.1081941881704673</v>
      </c>
    </row>
    <row r="303" spans="1:2" x14ac:dyDescent="0.3">
      <c r="A303" s="1">
        <f t="shared" si="4"/>
        <v>295</v>
      </c>
      <c r="B303" s="92">
        <v>2.7707471605359806</v>
      </c>
    </row>
    <row r="304" spans="1:2" x14ac:dyDescent="0.3">
      <c r="A304" s="1">
        <f t="shared" si="4"/>
        <v>296</v>
      </c>
      <c r="B304" s="92">
        <v>1.9726542448489408</v>
      </c>
    </row>
    <row r="305" spans="1:2" x14ac:dyDescent="0.3">
      <c r="A305" s="1">
        <f t="shared" si="4"/>
        <v>297</v>
      </c>
      <c r="B305" s="92">
        <v>1.975478980220956</v>
      </c>
    </row>
    <row r="306" spans="1:2" x14ac:dyDescent="0.3">
      <c r="A306" s="1">
        <f t="shared" si="4"/>
        <v>298</v>
      </c>
      <c r="B306" s="92">
        <v>2.3409231738120773</v>
      </c>
    </row>
    <row r="307" spans="1:2" x14ac:dyDescent="0.3">
      <c r="A307" s="1">
        <f t="shared" si="4"/>
        <v>299</v>
      </c>
      <c r="B307" s="92">
        <v>2.0728323553495511</v>
      </c>
    </row>
    <row r="308" spans="1:2" x14ac:dyDescent="0.3">
      <c r="A308" s="1">
        <f t="shared" si="4"/>
        <v>300</v>
      </c>
      <c r="B308" s="92">
        <v>2.036317784699416</v>
      </c>
    </row>
    <row r="309" spans="1:2" x14ac:dyDescent="0.3">
      <c r="A309" s="1">
        <f t="shared" si="4"/>
        <v>301</v>
      </c>
      <c r="B309" s="92">
        <v>1.8729821330356664</v>
      </c>
    </row>
    <row r="310" spans="1:2" x14ac:dyDescent="0.3">
      <c r="A310" s="1">
        <f t="shared" si="4"/>
        <v>302</v>
      </c>
      <c r="B310" s="92">
        <v>1.8460486320222471</v>
      </c>
    </row>
    <row r="311" spans="1:2" x14ac:dyDescent="0.3">
      <c r="A311" s="1">
        <f t="shared" si="4"/>
        <v>303</v>
      </c>
      <c r="B311" s="92">
        <v>2.4302698819183939</v>
      </c>
    </row>
    <row r="312" spans="1:2" x14ac:dyDescent="0.3">
      <c r="A312" s="1">
        <f t="shared" si="4"/>
        <v>304</v>
      </c>
      <c r="B312" s="92">
        <v>1.9483757409333586</v>
      </c>
    </row>
    <row r="313" spans="1:2" x14ac:dyDescent="0.3">
      <c r="A313" s="1">
        <f t="shared" si="4"/>
        <v>305</v>
      </c>
      <c r="B313" s="92">
        <v>2.4061289971553994</v>
      </c>
    </row>
    <row r="314" spans="1:2" x14ac:dyDescent="0.3">
      <c r="A314" s="1">
        <f t="shared" si="4"/>
        <v>306</v>
      </c>
      <c r="B314" s="92">
        <v>1.9971001011245846</v>
      </c>
    </row>
    <row r="315" spans="1:2" x14ac:dyDescent="0.3">
      <c r="A315" s="1">
        <f t="shared" si="4"/>
        <v>307</v>
      </c>
      <c r="B315" s="92">
        <v>2.2376677272446437</v>
      </c>
    </row>
    <row r="316" spans="1:2" x14ac:dyDescent="0.3">
      <c r="A316" s="1">
        <f t="shared" si="4"/>
        <v>308</v>
      </c>
      <c r="B316" s="92">
        <v>2.5189331748424832</v>
      </c>
    </row>
    <row r="317" spans="1:2" x14ac:dyDescent="0.3">
      <c r="A317" s="1">
        <f t="shared" si="4"/>
        <v>309</v>
      </c>
      <c r="B317" s="92">
        <v>2.3921830690049939</v>
      </c>
    </row>
    <row r="318" spans="1:2" x14ac:dyDescent="0.3">
      <c r="A318" s="1">
        <f t="shared" si="4"/>
        <v>310</v>
      </c>
      <c r="B318" s="92">
        <v>2.0955214423789226</v>
      </c>
    </row>
    <row r="319" spans="1:2" x14ac:dyDescent="0.3">
      <c r="A319" s="1">
        <f t="shared" si="4"/>
        <v>311</v>
      </c>
      <c r="B319" s="92">
        <v>2.1444776571450954</v>
      </c>
    </row>
    <row r="320" spans="1:2" x14ac:dyDescent="0.3">
      <c r="A320" s="1">
        <f t="shared" si="4"/>
        <v>312</v>
      </c>
      <c r="B320" s="92">
        <v>1.7910143485764496</v>
      </c>
    </row>
    <row r="321" spans="1:2" x14ac:dyDescent="0.3">
      <c r="A321" s="1">
        <f t="shared" si="4"/>
        <v>313</v>
      </c>
      <c r="B321" s="92">
        <v>2.0258123469141736</v>
      </c>
    </row>
    <row r="322" spans="1:2" x14ac:dyDescent="0.3">
      <c r="A322" s="1">
        <f t="shared" si="4"/>
        <v>314</v>
      </c>
      <c r="B322" s="92">
        <v>2.1553731154711473</v>
      </c>
    </row>
    <row r="323" spans="1:2" x14ac:dyDescent="0.3">
      <c r="A323" s="1">
        <f t="shared" si="4"/>
        <v>315</v>
      </c>
      <c r="B323" s="92">
        <v>2.2276557377904798</v>
      </c>
    </row>
    <row r="324" spans="1:2" x14ac:dyDescent="0.3">
      <c r="A324" s="1">
        <f t="shared" si="4"/>
        <v>316</v>
      </c>
      <c r="B324" s="92">
        <v>1.881752241794743</v>
      </c>
    </row>
    <row r="325" spans="1:2" x14ac:dyDescent="0.3">
      <c r="A325" s="1">
        <f t="shared" si="4"/>
        <v>317</v>
      </c>
      <c r="B325" s="92">
        <v>2.1564983362511501</v>
      </c>
    </row>
    <row r="326" spans="1:2" x14ac:dyDescent="0.3">
      <c r="A326" s="1">
        <f t="shared" si="4"/>
        <v>318</v>
      </c>
      <c r="B326" s="92">
        <v>1.8065651531925284</v>
      </c>
    </row>
    <row r="327" spans="1:2" x14ac:dyDescent="0.3">
      <c r="A327" s="1">
        <f t="shared" si="4"/>
        <v>319</v>
      </c>
      <c r="B327" s="92">
        <v>2.1106904897037841</v>
      </c>
    </row>
    <row r="328" spans="1:2" x14ac:dyDescent="0.3">
      <c r="A328" s="1">
        <f t="shared" si="4"/>
        <v>320</v>
      </c>
      <c r="B328" s="92">
        <v>1.9344138508998077</v>
      </c>
    </row>
    <row r="329" spans="1:2" x14ac:dyDescent="0.3">
      <c r="A329" s="1">
        <f t="shared" si="4"/>
        <v>321</v>
      </c>
      <c r="B329" s="92">
        <v>2.1653669771312374</v>
      </c>
    </row>
    <row r="330" spans="1:2" x14ac:dyDescent="0.3">
      <c r="A330" s="1">
        <f t="shared" ref="A330:A393" si="5">ROW()-8</f>
        <v>322</v>
      </c>
      <c r="B330" s="92">
        <v>1.9168768071453102</v>
      </c>
    </row>
    <row r="331" spans="1:2" x14ac:dyDescent="0.3">
      <c r="A331" s="1">
        <f t="shared" si="5"/>
        <v>323</v>
      </c>
      <c r="B331" s="92">
        <v>1.8466229052096039</v>
      </c>
    </row>
    <row r="332" spans="1:2" x14ac:dyDescent="0.3">
      <c r="A332" s="1">
        <f t="shared" si="5"/>
        <v>324</v>
      </c>
      <c r="B332" s="92">
        <v>2.2001755316337821</v>
      </c>
    </row>
    <row r="333" spans="1:2" x14ac:dyDescent="0.3">
      <c r="A333" s="1">
        <f t="shared" si="5"/>
        <v>325</v>
      </c>
      <c r="B333" s="92">
        <v>2.123674323536358</v>
      </c>
    </row>
    <row r="334" spans="1:2" x14ac:dyDescent="0.3">
      <c r="A334" s="1">
        <f t="shared" si="5"/>
        <v>326</v>
      </c>
      <c r="B334" s="92">
        <v>2.3362112621313034</v>
      </c>
    </row>
    <row r="335" spans="1:2" x14ac:dyDescent="0.3">
      <c r="A335" s="1">
        <f t="shared" si="5"/>
        <v>327</v>
      </c>
      <c r="B335" s="92">
        <v>2.4614188873518943</v>
      </c>
    </row>
    <row r="336" spans="1:2" x14ac:dyDescent="0.3">
      <c r="A336" s="1">
        <f t="shared" si="5"/>
        <v>328</v>
      </c>
      <c r="B336" s="92">
        <v>2.0344161580675175</v>
      </c>
    </row>
    <row r="337" spans="1:2" x14ac:dyDescent="0.3">
      <c r="A337" s="1">
        <f t="shared" si="5"/>
        <v>329</v>
      </c>
      <c r="B337" s="92">
        <v>2.2297200658281731</v>
      </c>
    </row>
    <row r="338" spans="1:2" x14ac:dyDescent="0.3">
      <c r="A338" s="1">
        <f t="shared" si="5"/>
        <v>330</v>
      </c>
      <c r="B338" s="92">
        <v>2.1191734761693515</v>
      </c>
    </row>
    <row r="339" spans="1:2" x14ac:dyDescent="0.3">
      <c r="A339" s="1">
        <f t="shared" si="5"/>
        <v>331</v>
      </c>
      <c r="B339" s="92">
        <v>2.1395445219520548</v>
      </c>
    </row>
    <row r="340" spans="1:2" x14ac:dyDescent="0.3">
      <c r="A340" s="1">
        <f t="shared" si="5"/>
        <v>332</v>
      </c>
      <c r="B340" s="92">
        <v>2.1045569929266699</v>
      </c>
    </row>
    <row r="341" spans="1:2" x14ac:dyDescent="0.3">
      <c r="A341" s="1">
        <f t="shared" si="5"/>
        <v>333</v>
      </c>
      <c r="B341" s="92">
        <v>2.1328499630462145</v>
      </c>
    </row>
    <row r="342" spans="1:2" x14ac:dyDescent="0.3">
      <c r="A342" s="1">
        <f t="shared" si="5"/>
        <v>334</v>
      </c>
      <c r="B342" s="92">
        <v>2.314887949907579</v>
      </c>
    </row>
    <row r="343" spans="1:2" x14ac:dyDescent="0.3">
      <c r="A343" s="1">
        <f t="shared" si="5"/>
        <v>335</v>
      </c>
      <c r="B343" s="92">
        <v>2.230909223278926</v>
      </c>
    </row>
    <row r="344" spans="1:2" x14ac:dyDescent="0.3">
      <c r="A344" s="1">
        <f t="shared" si="5"/>
        <v>336</v>
      </c>
      <c r="B344" s="92">
        <v>2.4588147237205593</v>
      </c>
    </row>
    <row r="345" spans="1:2" x14ac:dyDescent="0.3">
      <c r="A345" s="1">
        <f t="shared" si="5"/>
        <v>337</v>
      </c>
      <c r="B345" s="92">
        <v>2.1392586738363084</v>
      </c>
    </row>
    <row r="346" spans="1:2" x14ac:dyDescent="0.3">
      <c r="A346" s="1">
        <f t="shared" si="5"/>
        <v>338</v>
      </c>
      <c r="B346" s="92">
        <v>2.2703884812272945</v>
      </c>
    </row>
    <row r="347" spans="1:2" x14ac:dyDescent="0.3">
      <c r="A347" s="1">
        <f t="shared" si="5"/>
        <v>339</v>
      </c>
      <c r="B347" s="92">
        <v>2.6171554840274953</v>
      </c>
    </row>
    <row r="348" spans="1:2" x14ac:dyDescent="0.3">
      <c r="A348" s="1">
        <f t="shared" si="5"/>
        <v>340</v>
      </c>
      <c r="B348" s="92">
        <v>2.6279091903649219</v>
      </c>
    </row>
    <row r="349" spans="1:2" x14ac:dyDescent="0.3">
      <c r="A349" s="1">
        <f t="shared" si="5"/>
        <v>341</v>
      </c>
      <c r="B349" s="92">
        <v>2.4026941774187547</v>
      </c>
    </row>
    <row r="350" spans="1:2" x14ac:dyDescent="0.3">
      <c r="A350" s="1">
        <f t="shared" si="5"/>
        <v>342</v>
      </c>
      <c r="B350" s="92">
        <v>1.8244232899715689</v>
      </c>
    </row>
    <row r="351" spans="1:2" x14ac:dyDescent="0.3">
      <c r="A351" s="1">
        <f t="shared" si="5"/>
        <v>343</v>
      </c>
      <c r="B351" s="92">
        <v>1.7478106712273256</v>
      </c>
    </row>
    <row r="352" spans="1:2" x14ac:dyDescent="0.3">
      <c r="A352" s="1">
        <f t="shared" si="5"/>
        <v>344</v>
      </c>
      <c r="B352" s="92">
        <v>1.7483863829984776</v>
      </c>
    </row>
    <row r="353" spans="1:2" x14ac:dyDescent="0.3">
      <c r="A353" s="1">
        <f t="shared" si="5"/>
        <v>345</v>
      </c>
      <c r="B353" s="92">
        <v>2.0459140164835952</v>
      </c>
    </row>
    <row r="354" spans="1:2" x14ac:dyDescent="0.3">
      <c r="A354" s="1">
        <f t="shared" si="5"/>
        <v>346</v>
      </c>
      <c r="B354" s="92">
        <v>2.3778956676142133</v>
      </c>
    </row>
    <row r="355" spans="1:2" x14ac:dyDescent="0.3">
      <c r="A355" s="1">
        <f t="shared" si="5"/>
        <v>347</v>
      </c>
      <c r="B355" s="92">
        <v>2.0661499547923992</v>
      </c>
    </row>
    <row r="356" spans="1:2" x14ac:dyDescent="0.3">
      <c r="A356" s="1">
        <f t="shared" si="5"/>
        <v>348</v>
      </c>
      <c r="B356" s="92">
        <v>2.2652143333361288</v>
      </c>
    </row>
    <row r="357" spans="1:2" x14ac:dyDescent="0.3">
      <c r="A357" s="1">
        <f t="shared" si="5"/>
        <v>349</v>
      </c>
      <c r="B357" s="92">
        <v>2.2902895357529043</v>
      </c>
    </row>
    <row r="358" spans="1:2" x14ac:dyDescent="0.3">
      <c r="A358" s="1">
        <f t="shared" si="5"/>
        <v>350</v>
      </c>
      <c r="B358" s="92">
        <v>2.2807871784346623</v>
      </c>
    </row>
    <row r="359" spans="1:2" x14ac:dyDescent="0.3">
      <c r="A359" s="1">
        <f t="shared" si="5"/>
        <v>351</v>
      </c>
      <c r="B359" s="92">
        <v>2.1898390087332404</v>
      </c>
    </row>
    <row r="360" spans="1:2" x14ac:dyDescent="0.3">
      <c r="A360" s="1">
        <f t="shared" si="5"/>
        <v>352</v>
      </c>
      <c r="B360" s="92">
        <v>1.9774045248859407</v>
      </c>
    </row>
    <row r="361" spans="1:2" x14ac:dyDescent="0.3">
      <c r="A361" s="1">
        <f t="shared" si="5"/>
        <v>353</v>
      </c>
      <c r="B361" s="92">
        <v>2.2050868560049155</v>
      </c>
    </row>
    <row r="362" spans="1:2" x14ac:dyDescent="0.3">
      <c r="A362" s="1">
        <f t="shared" si="5"/>
        <v>354</v>
      </c>
      <c r="B362" s="92">
        <v>1.9626222851025943</v>
      </c>
    </row>
    <row r="363" spans="1:2" x14ac:dyDescent="0.3">
      <c r="A363" s="1">
        <f t="shared" si="5"/>
        <v>355</v>
      </c>
      <c r="B363" s="92">
        <v>2.3239445757790373</v>
      </c>
    </row>
    <row r="364" spans="1:2" x14ac:dyDescent="0.3">
      <c r="A364" s="1">
        <f t="shared" si="5"/>
        <v>356</v>
      </c>
      <c r="B364" s="92">
        <v>2.1676509920040479</v>
      </c>
    </row>
    <row r="365" spans="1:2" x14ac:dyDescent="0.3">
      <c r="A365" s="1">
        <f t="shared" si="5"/>
        <v>357</v>
      </c>
      <c r="B365" s="92">
        <v>2.1191465013981867</v>
      </c>
    </row>
    <row r="366" spans="1:2" x14ac:dyDescent="0.3">
      <c r="A366" s="1">
        <f t="shared" si="5"/>
        <v>358</v>
      </c>
      <c r="B366" s="92">
        <v>2.1610790861189293</v>
      </c>
    </row>
    <row r="367" spans="1:2" x14ac:dyDescent="0.3">
      <c r="A367" s="1">
        <f t="shared" si="5"/>
        <v>359</v>
      </c>
      <c r="B367" s="92">
        <v>2.7250410496245161</v>
      </c>
    </row>
    <row r="368" spans="1:2" x14ac:dyDescent="0.3">
      <c r="A368" s="1">
        <f t="shared" si="5"/>
        <v>360</v>
      </c>
      <c r="B368" s="92">
        <v>1.8900370593942091</v>
      </c>
    </row>
    <row r="369" spans="1:2" x14ac:dyDescent="0.3">
      <c r="A369" s="1">
        <f t="shared" si="5"/>
        <v>361</v>
      </c>
      <c r="B369" s="92">
        <v>2.4169806901582258</v>
      </c>
    </row>
    <row r="370" spans="1:2" x14ac:dyDescent="0.3">
      <c r="A370" s="1">
        <f t="shared" si="5"/>
        <v>362</v>
      </c>
      <c r="B370" s="92">
        <v>2.2640031558234694</v>
      </c>
    </row>
    <row r="371" spans="1:2" x14ac:dyDescent="0.3">
      <c r="A371" s="1">
        <f t="shared" si="5"/>
        <v>363</v>
      </c>
      <c r="B371" s="92">
        <v>2.1042561629116774</v>
      </c>
    </row>
    <row r="372" spans="1:2" x14ac:dyDescent="0.3">
      <c r="A372" s="1">
        <f t="shared" si="5"/>
        <v>364</v>
      </c>
      <c r="B372" s="92">
        <v>1.9947754475187893</v>
      </c>
    </row>
    <row r="373" spans="1:2" x14ac:dyDescent="0.3">
      <c r="A373" s="1">
        <f t="shared" si="5"/>
        <v>365</v>
      </c>
      <c r="B373" s="92">
        <v>2.0812675361707584</v>
      </c>
    </row>
    <row r="374" spans="1:2" x14ac:dyDescent="0.3">
      <c r="A374" s="1">
        <f t="shared" si="5"/>
        <v>366</v>
      </c>
      <c r="B374" s="92">
        <v>1.9481793836591308</v>
      </c>
    </row>
    <row r="375" spans="1:2" x14ac:dyDescent="0.3">
      <c r="A375" s="1">
        <f t="shared" si="5"/>
        <v>367</v>
      </c>
      <c r="B375" s="92">
        <v>2.3698627907222241</v>
      </c>
    </row>
    <row r="376" spans="1:2" x14ac:dyDescent="0.3">
      <c r="A376" s="1">
        <f t="shared" si="5"/>
        <v>368</v>
      </c>
      <c r="B376" s="92">
        <v>2.1441582892102873</v>
      </c>
    </row>
    <row r="377" spans="1:2" x14ac:dyDescent="0.3">
      <c r="A377" s="1">
        <f t="shared" si="5"/>
        <v>369</v>
      </c>
      <c r="B377" s="92">
        <v>2.5437288754997223</v>
      </c>
    </row>
    <row r="378" spans="1:2" x14ac:dyDescent="0.3">
      <c r="A378" s="1">
        <f t="shared" si="5"/>
        <v>370</v>
      </c>
      <c r="B378" s="92">
        <v>1.8956759503133707</v>
      </c>
    </row>
    <row r="379" spans="1:2" x14ac:dyDescent="0.3">
      <c r="A379" s="1">
        <f t="shared" si="5"/>
        <v>371</v>
      </c>
      <c r="B379" s="92">
        <v>2.0192169931930626</v>
      </c>
    </row>
    <row r="380" spans="1:2" x14ac:dyDescent="0.3">
      <c r="A380" s="1">
        <f t="shared" si="5"/>
        <v>372</v>
      </c>
      <c r="B380" s="92">
        <v>2.6242832671804903</v>
      </c>
    </row>
    <row r="381" spans="1:2" x14ac:dyDescent="0.3">
      <c r="A381" s="1">
        <f t="shared" si="5"/>
        <v>373</v>
      </c>
      <c r="B381" s="92">
        <v>2.0958337901543467</v>
      </c>
    </row>
    <row r="382" spans="1:2" x14ac:dyDescent="0.3">
      <c r="A382" s="1">
        <f t="shared" si="5"/>
        <v>374</v>
      </c>
      <c r="B382" s="92">
        <v>1.9016644320901182</v>
      </c>
    </row>
    <row r="383" spans="1:2" x14ac:dyDescent="0.3">
      <c r="A383" s="1">
        <f t="shared" si="5"/>
        <v>375</v>
      </c>
      <c r="B383" s="92">
        <v>2.1449274228331752</v>
      </c>
    </row>
    <row r="384" spans="1:2" x14ac:dyDescent="0.3">
      <c r="A384" s="1">
        <f t="shared" si="5"/>
        <v>376</v>
      </c>
      <c r="B384" s="92">
        <v>2.4212716978867559</v>
      </c>
    </row>
    <row r="385" spans="1:2" x14ac:dyDescent="0.3">
      <c r="A385" s="1">
        <f t="shared" si="5"/>
        <v>377</v>
      </c>
      <c r="B385" s="92">
        <v>1.9771189756643981</v>
      </c>
    </row>
    <row r="386" spans="1:2" x14ac:dyDescent="0.3">
      <c r="A386" s="1">
        <f t="shared" si="5"/>
        <v>378</v>
      </c>
      <c r="B386" s="92">
        <v>2.5286256705456598</v>
      </c>
    </row>
    <row r="387" spans="1:2" x14ac:dyDescent="0.3">
      <c r="A387" s="1">
        <f t="shared" si="5"/>
        <v>379</v>
      </c>
      <c r="B387" s="92">
        <v>2.4149863245022432</v>
      </c>
    </row>
    <row r="388" spans="1:2" x14ac:dyDescent="0.3">
      <c r="A388" s="1">
        <f t="shared" si="5"/>
        <v>380</v>
      </c>
      <c r="B388" s="92">
        <v>2.1624392420640013</v>
      </c>
    </row>
    <row r="389" spans="1:2" x14ac:dyDescent="0.3">
      <c r="A389" s="1">
        <f t="shared" si="5"/>
        <v>381</v>
      </c>
      <c r="B389" s="92">
        <v>1.9819463536200841</v>
      </c>
    </row>
    <row r="390" spans="1:2" x14ac:dyDescent="0.3">
      <c r="A390" s="1">
        <f t="shared" si="5"/>
        <v>382</v>
      </c>
      <c r="B390" s="92">
        <v>1.9205662218137611</v>
      </c>
    </row>
    <row r="391" spans="1:2" x14ac:dyDescent="0.3">
      <c r="A391" s="1">
        <f t="shared" si="5"/>
        <v>383</v>
      </c>
      <c r="B391" s="92">
        <v>2.7475516986782305</v>
      </c>
    </row>
    <row r="392" spans="1:2" x14ac:dyDescent="0.3">
      <c r="A392" s="1">
        <f t="shared" si="5"/>
        <v>384</v>
      </c>
      <c r="B392" s="92">
        <v>2.4014853535293752</v>
      </c>
    </row>
    <row r="393" spans="1:2" x14ac:dyDescent="0.3">
      <c r="A393" s="1">
        <f t="shared" si="5"/>
        <v>385</v>
      </c>
      <c r="B393" s="92">
        <v>2.4325457166165583</v>
      </c>
    </row>
    <row r="394" spans="1:2" x14ac:dyDescent="0.3">
      <c r="A394" s="1">
        <f t="shared" ref="A394:A457" si="6">ROW()-8</f>
        <v>386</v>
      </c>
      <c r="B394" s="92">
        <v>1.9771450292064969</v>
      </c>
    </row>
    <row r="395" spans="1:2" x14ac:dyDescent="0.3">
      <c r="A395" s="1">
        <f t="shared" si="6"/>
        <v>387</v>
      </c>
      <c r="B395" s="92">
        <v>1.8655290799134157</v>
      </c>
    </row>
    <row r="396" spans="1:2" x14ac:dyDescent="0.3">
      <c r="A396" s="1">
        <f t="shared" si="6"/>
        <v>388</v>
      </c>
      <c r="B396" s="92">
        <v>2.1880076318253514</v>
      </c>
    </row>
    <row r="397" spans="1:2" x14ac:dyDescent="0.3">
      <c r="A397" s="1">
        <f t="shared" si="6"/>
        <v>389</v>
      </c>
      <c r="B397" s="92">
        <v>2.0933365960033381</v>
      </c>
    </row>
    <row r="398" spans="1:2" x14ac:dyDescent="0.3">
      <c r="A398" s="1">
        <f t="shared" si="6"/>
        <v>390</v>
      </c>
      <c r="B398" s="92">
        <v>2.3170016702923784</v>
      </c>
    </row>
    <row r="399" spans="1:2" x14ac:dyDescent="0.3">
      <c r="A399" s="1">
        <f t="shared" si="6"/>
        <v>391</v>
      </c>
      <c r="B399" s="92">
        <v>2.3302141323159962</v>
      </c>
    </row>
    <row r="400" spans="1:2" x14ac:dyDescent="0.3">
      <c r="A400" s="1">
        <f t="shared" si="6"/>
        <v>392</v>
      </c>
      <c r="B400" s="92">
        <v>2.1166115756074064</v>
      </c>
    </row>
    <row r="401" spans="1:2" x14ac:dyDescent="0.3">
      <c r="A401" s="1">
        <f t="shared" si="6"/>
        <v>393</v>
      </c>
      <c r="B401" s="92">
        <v>2.2114641136004107</v>
      </c>
    </row>
    <row r="402" spans="1:2" x14ac:dyDescent="0.3">
      <c r="A402" s="1">
        <f t="shared" si="6"/>
        <v>394</v>
      </c>
      <c r="B402" s="92">
        <v>2.3285139216041832</v>
      </c>
    </row>
    <row r="403" spans="1:2" x14ac:dyDescent="0.3">
      <c r="A403" s="1">
        <f t="shared" si="6"/>
        <v>395</v>
      </c>
      <c r="B403" s="92">
        <v>2.0103752564109434</v>
      </c>
    </row>
    <row r="404" spans="1:2" x14ac:dyDescent="0.3">
      <c r="A404" s="1">
        <f t="shared" si="6"/>
        <v>396</v>
      </c>
      <c r="B404" s="92">
        <v>1.8608004779991392</v>
      </c>
    </row>
    <row r="405" spans="1:2" x14ac:dyDescent="0.3">
      <c r="A405" s="1">
        <f t="shared" si="6"/>
        <v>397</v>
      </c>
      <c r="B405" s="92">
        <v>2.0436259251259372</v>
      </c>
    </row>
    <row r="406" spans="1:2" x14ac:dyDescent="0.3">
      <c r="A406" s="1">
        <f t="shared" si="6"/>
        <v>398</v>
      </c>
      <c r="B406" s="92">
        <v>1.7086595483029343</v>
      </c>
    </row>
    <row r="407" spans="1:2" x14ac:dyDescent="0.3">
      <c r="A407" s="1">
        <f t="shared" si="6"/>
        <v>399</v>
      </c>
      <c r="B407" s="92">
        <v>2.3217592198806596</v>
      </c>
    </row>
    <row r="408" spans="1:2" x14ac:dyDescent="0.3">
      <c r="A408" s="1">
        <f t="shared" si="6"/>
        <v>400</v>
      </c>
      <c r="B408" s="92">
        <v>2.1453803779493721</v>
      </c>
    </row>
    <row r="409" spans="1:2" x14ac:dyDescent="0.3">
      <c r="A409" s="1">
        <f t="shared" si="6"/>
        <v>401</v>
      </c>
      <c r="B409" s="92">
        <v>2.3096626814980019</v>
      </c>
    </row>
    <row r="410" spans="1:2" x14ac:dyDescent="0.3">
      <c r="A410" s="1">
        <f t="shared" si="6"/>
        <v>402</v>
      </c>
      <c r="B410" s="92">
        <v>2.3140570368974482</v>
      </c>
    </row>
    <row r="411" spans="1:2" x14ac:dyDescent="0.3">
      <c r="A411" s="1">
        <f t="shared" si="6"/>
        <v>403</v>
      </c>
      <c r="B411" s="92">
        <v>2.1263097690963648</v>
      </c>
    </row>
    <row r="412" spans="1:2" x14ac:dyDescent="0.3">
      <c r="A412" s="1">
        <f t="shared" si="6"/>
        <v>404</v>
      </c>
      <c r="B412" s="92">
        <v>2.0306351345117024</v>
      </c>
    </row>
    <row r="413" spans="1:2" x14ac:dyDescent="0.3">
      <c r="A413" s="1">
        <f t="shared" si="6"/>
        <v>405</v>
      </c>
      <c r="B413" s="92">
        <v>2.381094365321168</v>
      </c>
    </row>
    <row r="414" spans="1:2" x14ac:dyDescent="0.3">
      <c r="A414" s="1">
        <f t="shared" si="6"/>
        <v>406</v>
      </c>
      <c r="B414" s="92">
        <v>2.2359502392255459</v>
      </c>
    </row>
    <row r="415" spans="1:2" x14ac:dyDescent="0.3">
      <c r="A415" s="1">
        <f t="shared" si="6"/>
        <v>407</v>
      </c>
      <c r="B415" s="92">
        <v>2.2969740882088669</v>
      </c>
    </row>
    <row r="416" spans="1:2" x14ac:dyDescent="0.3">
      <c r="A416" s="1">
        <f t="shared" si="6"/>
        <v>408</v>
      </c>
      <c r="B416" s="92">
        <v>1.9436539837965514</v>
      </c>
    </row>
    <row r="417" spans="1:2" x14ac:dyDescent="0.3">
      <c r="A417" s="1">
        <f t="shared" si="6"/>
        <v>409</v>
      </c>
      <c r="B417" s="92">
        <v>2.0005325352575576</v>
      </c>
    </row>
    <row r="418" spans="1:2" x14ac:dyDescent="0.3">
      <c r="A418" s="1">
        <f t="shared" si="6"/>
        <v>410</v>
      </c>
      <c r="B418" s="92">
        <v>2.0653890369006729</v>
      </c>
    </row>
    <row r="419" spans="1:2" x14ac:dyDescent="0.3">
      <c r="A419" s="1">
        <f t="shared" si="6"/>
        <v>411</v>
      </c>
      <c r="B419" s="92">
        <v>2.0582527688740409</v>
      </c>
    </row>
    <row r="420" spans="1:2" x14ac:dyDescent="0.3">
      <c r="A420" s="1">
        <f t="shared" si="6"/>
        <v>412</v>
      </c>
      <c r="B420" s="92">
        <v>1.611487110845826</v>
      </c>
    </row>
    <row r="421" spans="1:2" x14ac:dyDescent="0.3">
      <c r="A421" s="1">
        <f t="shared" si="6"/>
        <v>413</v>
      </c>
      <c r="B421" s="92">
        <v>2.1091557857667631</v>
      </c>
    </row>
    <row r="422" spans="1:2" x14ac:dyDescent="0.3">
      <c r="A422" s="1">
        <f t="shared" si="6"/>
        <v>414</v>
      </c>
      <c r="B422" s="92">
        <v>2.0052507796363095</v>
      </c>
    </row>
    <row r="423" spans="1:2" x14ac:dyDescent="0.3">
      <c r="A423" s="1">
        <f t="shared" si="6"/>
        <v>415</v>
      </c>
      <c r="B423" s="92">
        <v>2.0955870088664041</v>
      </c>
    </row>
    <row r="424" spans="1:2" x14ac:dyDescent="0.3">
      <c r="A424" s="1">
        <f t="shared" si="6"/>
        <v>416</v>
      </c>
      <c r="B424" s="92">
        <v>2.3887942558797755</v>
      </c>
    </row>
    <row r="425" spans="1:2" x14ac:dyDescent="0.3">
      <c r="A425" s="1">
        <f t="shared" si="6"/>
        <v>417</v>
      </c>
      <c r="B425" s="92">
        <v>2.1677184215621064</v>
      </c>
    </row>
    <row r="426" spans="1:2" x14ac:dyDescent="0.3">
      <c r="A426" s="1">
        <f t="shared" si="6"/>
        <v>418</v>
      </c>
      <c r="B426" s="92">
        <v>1.8619850729731835</v>
      </c>
    </row>
    <row r="427" spans="1:2" x14ac:dyDescent="0.3">
      <c r="A427" s="1">
        <f t="shared" si="6"/>
        <v>419</v>
      </c>
      <c r="B427" s="92">
        <v>2.5681130038948838</v>
      </c>
    </row>
    <row r="428" spans="1:2" x14ac:dyDescent="0.3">
      <c r="A428" s="1">
        <f t="shared" si="6"/>
        <v>420</v>
      </c>
      <c r="B428" s="92">
        <v>2.3107280507478678</v>
      </c>
    </row>
    <row r="429" spans="1:2" x14ac:dyDescent="0.3">
      <c r="A429" s="1">
        <f t="shared" si="6"/>
        <v>421</v>
      </c>
      <c r="B429" s="92">
        <v>2.0465086189358348</v>
      </c>
    </row>
    <row r="430" spans="1:2" x14ac:dyDescent="0.3">
      <c r="A430" s="1">
        <f t="shared" si="6"/>
        <v>422</v>
      </c>
      <c r="B430" s="92">
        <v>2.3414828239129521</v>
      </c>
    </row>
    <row r="431" spans="1:2" x14ac:dyDescent="0.3">
      <c r="A431" s="1">
        <f t="shared" si="6"/>
        <v>423</v>
      </c>
      <c r="B431" s="92">
        <v>2.0798309810247031</v>
      </c>
    </row>
    <row r="432" spans="1:2" x14ac:dyDescent="0.3">
      <c r="A432" s="1">
        <f t="shared" si="6"/>
        <v>424</v>
      </c>
      <c r="B432" s="92">
        <v>1.9898682694896948</v>
      </c>
    </row>
    <row r="433" spans="1:2" x14ac:dyDescent="0.3">
      <c r="A433" s="1">
        <f t="shared" si="6"/>
        <v>425</v>
      </c>
      <c r="B433" s="92">
        <v>1.9926859606667895</v>
      </c>
    </row>
    <row r="434" spans="1:2" x14ac:dyDescent="0.3">
      <c r="A434" s="1">
        <f t="shared" si="6"/>
        <v>426</v>
      </c>
      <c r="B434" s="92">
        <v>2.5225909554435875</v>
      </c>
    </row>
    <row r="435" spans="1:2" x14ac:dyDescent="0.3">
      <c r="A435" s="1">
        <f t="shared" si="6"/>
        <v>427</v>
      </c>
      <c r="B435" s="92">
        <v>1.8707217825039841</v>
      </c>
    </row>
    <row r="436" spans="1:2" x14ac:dyDescent="0.3">
      <c r="A436" s="1">
        <f t="shared" si="6"/>
        <v>428</v>
      </c>
      <c r="B436" s="92">
        <v>2.1113317827981533</v>
      </c>
    </row>
    <row r="437" spans="1:2" x14ac:dyDescent="0.3">
      <c r="A437" s="1">
        <f t="shared" si="6"/>
        <v>429</v>
      </c>
      <c r="B437" s="92">
        <v>2.3844012219173396</v>
      </c>
    </row>
    <row r="438" spans="1:2" x14ac:dyDescent="0.3">
      <c r="A438" s="1">
        <f t="shared" si="6"/>
        <v>430</v>
      </c>
      <c r="B438" s="92">
        <v>1.8357039668645334</v>
      </c>
    </row>
    <row r="439" spans="1:2" x14ac:dyDescent="0.3">
      <c r="A439" s="1">
        <f t="shared" si="6"/>
        <v>431</v>
      </c>
      <c r="B439" s="92">
        <v>2.0708859647234314</v>
      </c>
    </row>
    <row r="440" spans="1:2" x14ac:dyDescent="0.3">
      <c r="A440" s="1">
        <f t="shared" si="6"/>
        <v>432</v>
      </c>
      <c r="B440" s="92">
        <v>2.1682637625489041</v>
      </c>
    </row>
    <row r="441" spans="1:2" x14ac:dyDescent="0.3">
      <c r="A441" s="1">
        <f t="shared" si="6"/>
        <v>433</v>
      </c>
      <c r="B441" s="92">
        <v>2.0563071261097776</v>
      </c>
    </row>
    <row r="442" spans="1:2" x14ac:dyDescent="0.3">
      <c r="A442" s="1">
        <f t="shared" si="6"/>
        <v>434</v>
      </c>
      <c r="B442" s="92">
        <v>2.01240692440469</v>
      </c>
    </row>
    <row r="443" spans="1:2" x14ac:dyDescent="0.3">
      <c r="A443" s="1">
        <f t="shared" si="6"/>
        <v>435</v>
      </c>
      <c r="B443" s="92">
        <v>2.3166157986449107</v>
      </c>
    </row>
    <row r="444" spans="1:2" x14ac:dyDescent="0.3">
      <c r="A444" s="1">
        <f t="shared" si="6"/>
        <v>436</v>
      </c>
      <c r="B444" s="92">
        <v>2.4144721711154427</v>
      </c>
    </row>
    <row r="445" spans="1:2" x14ac:dyDescent="0.3">
      <c r="A445" s="1">
        <f t="shared" si="6"/>
        <v>437</v>
      </c>
      <c r="B445" s="92">
        <v>2.1985594066023886</v>
      </c>
    </row>
    <row r="446" spans="1:2" x14ac:dyDescent="0.3">
      <c r="A446" s="1">
        <f t="shared" si="6"/>
        <v>438</v>
      </c>
      <c r="B446" s="92">
        <v>2.0129997863316653</v>
      </c>
    </row>
    <row r="447" spans="1:2" x14ac:dyDescent="0.3">
      <c r="A447" s="1">
        <f t="shared" si="6"/>
        <v>439</v>
      </c>
      <c r="B447" s="92">
        <v>2.0796991599409771</v>
      </c>
    </row>
    <row r="448" spans="1:2" x14ac:dyDescent="0.3">
      <c r="A448" s="1">
        <f t="shared" si="6"/>
        <v>440</v>
      </c>
      <c r="B448" s="92">
        <v>1.9992021321292848</v>
      </c>
    </row>
    <row r="449" spans="1:2" x14ac:dyDescent="0.3">
      <c r="A449" s="1">
        <f t="shared" si="6"/>
        <v>441</v>
      </c>
      <c r="B449" s="92">
        <v>1.910826716853395</v>
      </c>
    </row>
    <row r="450" spans="1:2" x14ac:dyDescent="0.3">
      <c r="A450" s="1">
        <f t="shared" si="6"/>
        <v>442</v>
      </c>
      <c r="B450" s="92">
        <v>1.7786536285369101</v>
      </c>
    </row>
    <row r="451" spans="1:2" x14ac:dyDescent="0.3">
      <c r="A451" s="1">
        <f t="shared" si="6"/>
        <v>443</v>
      </c>
      <c r="B451" s="92">
        <v>2.1266318765220205</v>
      </c>
    </row>
    <row r="452" spans="1:2" x14ac:dyDescent="0.3">
      <c r="A452" s="1">
        <f t="shared" si="6"/>
        <v>444</v>
      </c>
      <c r="B452" s="92">
        <v>2.1245226806647466</v>
      </c>
    </row>
    <row r="453" spans="1:2" x14ac:dyDescent="0.3">
      <c r="A453" s="1">
        <f t="shared" si="6"/>
        <v>445</v>
      </c>
      <c r="B453" s="92">
        <v>1.8357470527190984</v>
      </c>
    </row>
    <row r="454" spans="1:2" x14ac:dyDescent="0.3">
      <c r="A454" s="1">
        <f t="shared" si="6"/>
        <v>446</v>
      </c>
      <c r="B454" s="92">
        <v>2.0457450266911894</v>
      </c>
    </row>
    <row r="455" spans="1:2" x14ac:dyDescent="0.3">
      <c r="A455" s="1">
        <f t="shared" si="6"/>
        <v>447</v>
      </c>
      <c r="B455" s="92">
        <v>2.5427570583432408</v>
      </c>
    </row>
    <row r="456" spans="1:2" x14ac:dyDescent="0.3">
      <c r="A456" s="1">
        <f t="shared" si="6"/>
        <v>448</v>
      </c>
      <c r="B456" s="92">
        <v>2.2193073138830735</v>
      </c>
    </row>
    <row r="457" spans="1:2" x14ac:dyDescent="0.3">
      <c r="A457" s="1">
        <f t="shared" si="6"/>
        <v>449</v>
      </c>
      <c r="B457" s="92">
        <v>2.0514663662672481</v>
      </c>
    </row>
    <row r="458" spans="1:2" x14ac:dyDescent="0.3">
      <c r="A458" s="1">
        <f t="shared" ref="A458:A521" si="7">ROW()-8</f>
        <v>450</v>
      </c>
      <c r="B458" s="92">
        <v>2.2001573563089822</v>
      </c>
    </row>
    <row r="459" spans="1:2" x14ac:dyDescent="0.3">
      <c r="A459" s="1">
        <f t="shared" si="7"/>
        <v>451</v>
      </c>
      <c r="B459" s="92">
        <v>2.2501978515930925</v>
      </c>
    </row>
    <row r="460" spans="1:2" x14ac:dyDescent="0.3">
      <c r="A460" s="1">
        <f t="shared" si="7"/>
        <v>452</v>
      </c>
      <c r="B460" s="92">
        <v>2.0749897344791894</v>
      </c>
    </row>
    <row r="461" spans="1:2" x14ac:dyDescent="0.3">
      <c r="A461" s="1">
        <f t="shared" si="7"/>
        <v>453</v>
      </c>
      <c r="B461" s="92">
        <v>1.9955580444628016</v>
      </c>
    </row>
    <row r="462" spans="1:2" x14ac:dyDescent="0.3">
      <c r="A462" s="1">
        <f t="shared" si="7"/>
        <v>454</v>
      </c>
      <c r="B462" s="92">
        <v>2.0752043476261512</v>
      </c>
    </row>
    <row r="463" spans="1:2" x14ac:dyDescent="0.3">
      <c r="A463" s="1">
        <f t="shared" si="7"/>
        <v>455</v>
      </c>
      <c r="B463" s="92">
        <v>2.190518744433152</v>
      </c>
    </row>
    <row r="464" spans="1:2" x14ac:dyDescent="0.3">
      <c r="A464" s="1">
        <f t="shared" si="7"/>
        <v>456</v>
      </c>
      <c r="B464" s="92">
        <v>2.2480615281315095</v>
      </c>
    </row>
    <row r="465" spans="1:2" x14ac:dyDescent="0.3">
      <c r="A465" s="1">
        <f t="shared" si="7"/>
        <v>457</v>
      </c>
      <c r="B465" s="92">
        <v>1.9425060167685635</v>
      </c>
    </row>
    <row r="466" spans="1:2" x14ac:dyDescent="0.3">
      <c r="A466" s="1">
        <f t="shared" si="7"/>
        <v>458</v>
      </c>
      <c r="B466" s="92">
        <v>2.0751157681920596</v>
      </c>
    </row>
    <row r="467" spans="1:2" x14ac:dyDescent="0.3">
      <c r="A467" s="1">
        <f t="shared" si="7"/>
        <v>459</v>
      </c>
      <c r="B467" s="92">
        <v>1.9029746279881969</v>
      </c>
    </row>
    <row r="468" spans="1:2" x14ac:dyDescent="0.3">
      <c r="A468" s="1">
        <f t="shared" si="7"/>
        <v>460</v>
      </c>
      <c r="B468" s="92">
        <v>1.5620978334718036</v>
      </c>
    </row>
    <row r="469" spans="1:2" x14ac:dyDescent="0.3">
      <c r="A469" s="1">
        <f t="shared" si="7"/>
        <v>461</v>
      </c>
      <c r="B469" s="92">
        <v>2.1079684816324549</v>
      </c>
    </row>
    <row r="470" spans="1:2" x14ac:dyDescent="0.3">
      <c r="A470" s="1">
        <f t="shared" si="7"/>
        <v>462</v>
      </c>
      <c r="B470" s="92">
        <v>2.1630907671169566</v>
      </c>
    </row>
    <row r="471" spans="1:2" x14ac:dyDescent="0.3">
      <c r="A471" s="1">
        <f t="shared" si="7"/>
        <v>463</v>
      </c>
      <c r="B471" s="92">
        <v>2.346300156133649</v>
      </c>
    </row>
    <row r="472" spans="1:2" x14ac:dyDescent="0.3">
      <c r="A472" s="1">
        <f t="shared" si="7"/>
        <v>464</v>
      </c>
      <c r="B472" s="92">
        <v>2.2648685353920186</v>
      </c>
    </row>
    <row r="473" spans="1:2" x14ac:dyDescent="0.3">
      <c r="A473" s="1">
        <f t="shared" si="7"/>
        <v>465</v>
      </c>
      <c r="B473" s="92">
        <v>2.4400068013599649</v>
      </c>
    </row>
    <row r="474" spans="1:2" x14ac:dyDescent="0.3">
      <c r="A474" s="1">
        <f t="shared" si="7"/>
        <v>466</v>
      </c>
      <c r="B474" s="92">
        <v>2.0568765192390144</v>
      </c>
    </row>
    <row r="475" spans="1:2" x14ac:dyDescent="0.3">
      <c r="A475" s="1">
        <f t="shared" si="7"/>
        <v>467</v>
      </c>
      <c r="B475" s="92">
        <v>2.034463346452879</v>
      </c>
    </row>
    <row r="476" spans="1:2" x14ac:dyDescent="0.3">
      <c r="A476" s="1">
        <f t="shared" si="7"/>
        <v>468</v>
      </c>
      <c r="B476" s="92">
        <v>2.074068089909185</v>
      </c>
    </row>
    <row r="477" spans="1:2" x14ac:dyDescent="0.3">
      <c r="A477" s="1">
        <f t="shared" si="7"/>
        <v>469</v>
      </c>
      <c r="B477" s="92">
        <v>2.2299078915637209</v>
      </c>
    </row>
    <row r="478" spans="1:2" x14ac:dyDescent="0.3">
      <c r="A478" s="1">
        <f t="shared" si="7"/>
        <v>470</v>
      </c>
      <c r="B478" s="92">
        <v>2.322454305203864</v>
      </c>
    </row>
    <row r="479" spans="1:2" x14ac:dyDescent="0.3">
      <c r="A479" s="1">
        <f t="shared" si="7"/>
        <v>471</v>
      </c>
      <c r="B479" s="92">
        <v>2.2066521945520186</v>
      </c>
    </row>
    <row r="480" spans="1:2" x14ac:dyDescent="0.3">
      <c r="A480" s="1">
        <f t="shared" si="7"/>
        <v>472</v>
      </c>
      <c r="B480" s="92">
        <v>2.8250469726957959</v>
      </c>
    </row>
    <row r="481" spans="1:2" x14ac:dyDescent="0.3">
      <c r="A481" s="1">
        <f t="shared" si="7"/>
        <v>473</v>
      </c>
      <c r="B481" s="92">
        <v>2.0110560322901527</v>
      </c>
    </row>
    <row r="482" spans="1:2" x14ac:dyDescent="0.3">
      <c r="A482" s="1">
        <f t="shared" si="7"/>
        <v>474</v>
      </c>
      <c r="B482" s="92">
        <v>2.1294205989876485</v>
      </c>
    </row>
    <row r="483" spans="1:2" x14ac:dyDescent="0.3">
      <c r="A483" s="1">
        <f t="shared" si="7"/>
        <v>475</v>
      </c>
      <c r="B483" s="92">
        <v>2.005817392872685</v>
      </c>
    </row>
    <row r="484" spans="1:2" x14ac:dyDescent="0.3">
      <c r="A484" s="1">
        <f t="shared" si="7"/>
        <v>476</v>
      </c>
      <c r="B484" s="92">
        <v>1.9076472422507993</v>
      </c>
    </row>
    <row r="485" spans="1:2" x14ac:dyDescent="0.3">
      <c r="A485" s="1">
        <f t="shared" si="7"/>
        <v>477</v>
      </c>
      <c r="B485" s="92">
        <v>1.7108361142366812</v>
      </c>
    </row>
    <row r="486" spans="1:2" x14ac:dyDescent="0.3">
      <c r="A486" s="1">
        <f t="shared" si="7"/>
        <v>478</v>
      </c>
      <c r="B486" s="92">
        <v>2.2948019506949788</v>
      </c>
    </row>
    <row r="487" spans="1:2" x14ac:dyDescent="0.3">
      <c r="A487" s="1">
        <f t="shared" si="7"/>
        <v>479</v>
      </c>
      <c r="B487" s="92">
        <v>2.1199183418712986</v>
      </c>
    </row>
    <row r="488" spans="1:2" x14ac:dyDescent="0.3">
      <c r="A488" s="1">
        <f t="shared" si="7"/>
        <v>480</v>
      </c>
      <c r="B488" s="92">
        <v>2.0624260202186186</v>
      </c>
    </row>
    <row r="489" spans="1:2" x14ac:dyDescent="0.3">
      <c r="A489" s="1">
        <f t="shared" si="7"/>
        <v>481</v>
      </c>
      <c r="B489" s="92">
        <v>2.4299105586075633</v>
      </c>
    </row>
    <row r="490" spans="1:2" x14ac:dyDescent="0.3">
      <c r="A490" s="1">
        <f t="shared" si="7"/>
        <v>482</v>
      </c>
      <c r="B490" s="92">
        <v>2.1281139809912504</v>
      </c>
    </row>
    <row r="491" spans="1:2" x14ac:dyDescent="0.3">
      <c r="A491" s="1">
        <f t="shared" si="7"/>
        <v>483</v>
      </c>
      <c r="B491" s="92">
        <v>2.5279967837205604</v>
      </c>
    </row>
    <row r="492" spans="1:2" x14ac:dyDescent="0.3">
      <c r="A492" s="1">
        <f t="shared" si="7"/>
        <v>484</v>
      </c>
      <c r="B492" s="92">
        <v>2.1072568531315183</v>
      </c>
    </row>
    <row r="493" spans="1:2" x14ac:dyDescent="0.3">
      <c r="A493" s="1">
        <f t="shared" si="7"/>
        <v>485</v>
      </c>
      <c r="B493" s="92">
        <v>2.393290234264096</v>
      </c>
    </row>
    <row r="494" spans="1:2" x14ac:dyDescent="0.3">
      <c r="A494" s="1">
        <f t="shared" si="7"/>
        <v>486</v>
      </c>
      <c r="B494" s="92">
        <v>2.1305859175799511</v>
      </c>
    </row>
    <row r="495" spans="1:2" x14ac:dyDescent="0.3">
      <c r="A495" s="1">
        <f t="shared" si="7"/>
        <v>487</v>
      </c>
      <c r="B495" s="92">
        <v>2.037365343700301</v>
      </c>
    </row>
    <row r="496" spans="1:2" x14ac:dyDescent="0.3">
      <c r="A496" s="1">
        <f t="shared" si="7"/>
        <v>488</v>
      </c>
      <c r="B496" s="92">
        <v>1.9553805940268163</v>
      </c>
    </row>
    <row r="497" spans="1:2" x14ac:dyDescent="0.3">
      <c r="A497" s="1">
        <f t="shared" si="7"/>
        <v>489</v>
      </c>
      <c r="B497" s="92">
        <v>2.0581749947033274</v>
      </c>
    </row>
    <row r="498" spans="1:2" x14ac:dyDescent="0.3">
      <c r="A498" s="1">
        <f t="shared" si="7"/>
        <v>490</v>
      </c>
      <c r="B498" s="92">
        <v>2.4710835688807156</v>
      </c>
    </row>
    <row r="499" spans="1:2" x14ac:dyDescent="0.3">
      <c r="A499" s="1">
        <f t="shared" si="7"/>
        <v>491</v>
      </c>
      <c r="B499" s="92">
        <v>2.1268802402243652</v>
      </c>
    </row>
    <row r="500" spans="1:2" x14ac:dyDescent="0.3">
      <c r="A500" s="1">
        <f t="shared" si="7"/>
        <v>492</v>
      </c>
      <c r="B500" s="92">
        <v>2.1437845651946561</v>
      </c>
    </row>
    <row r="501" spans="1:2" x14ac:dyDescent="0.3">
      <c r="A501" s="1">
        <f t="shared" si="7"/>
        <v>493</v>
      </c>
      <c r="B501" s="92">
        <v>2.2466721363215862</v>
      </c>
    </row>
    <row r="502" spans="1:2" x14ac:dyDescent="0.3">
      <c r="A502" s="1">
        <f t="shared" si="7"/>
        <v>494</v>
      </c>
      <c r="B502" s="92">
        <v>2.113550265537401</v>
      </c>
    </row>
    <row r="503" spans="1:2" x14ac:dyDescent="0.3">
      <c r="A503" s="1">
        <f t="shared" si="7"/>
        <v>495</v>
      </c>
      <c r="B503" s="92">
        <v>2.1933676274443128</v>
      </c>
    </row>
    <row r="504" spans="1:2" x14ac:dyDescent="0.3">
      <c r="A504" s="1">
        <f t="shared" si="7"/>
        <v>496</v>
      </c>
      <c r="B504" s="92">
        <v>2.0267219489607151</v>
      </c>
    </row>
    <row r="505" spans="1:2" x14ac:dyDescent="0.3">
      <c r="A505" s="1">
        <f t="shared" si="7"/>
        <v>497</v>
      </c>
      <c r="B505" s="92">
        <v>2.0720046626579403</v>
      </c>
    </row>
    <row r="506" spans="1:2" x14ac:dyDescent="0.3">
      <c r="A506" s="1">
        <f t="shared" si="7"/>
        <v>498</v>
      </c>
      <c r="B506" s="92">
        <v>2.5741348011151151</v>
      </c>
    </row>
    <row r="507" spans="1:2" x14ac:dyDescent="0.3">
      <c r="A507" s="1">
        <f t="shared" si="7"/>
        <v>499</v>
      </c>
      <c r="B507" s="92">
        <v>2.3113714994505097</v>
      </c>
    </row>
    <row r="508" spans="1:2" x14ac:dyDescent="0.3">
      <c r="A508" s="1">
        <f t="shared" si="7"/>
        <v>500</v>
      </c>
      <c r="B508" s="92">
        <v>1.9229106348213341</v>
      </c>
    </row>
    <row r="509" spans="1:2" x14ac:dyDescent="0.3">
      <c r="A509" s="1">
        <f t="shared" si="7"/>
        <v>501</v>
      </c>
      <c r="B509" s="92">
        <v>2.329193794293118</v>
      </c>
    </row>
    <row r="510" spans="1:2" x14ac:dyDescent="0.3">
      <c r="A510" s="1">
        <f t="shared" si="7"/>
        <v>502</v>
      </c>
      <c r="B510" s="92">
        <v>2.0395680707283437</v>
      </c>
    </row>
    <row r="511" spans="1:2" x14ac:dyDescent="0.3">
      <c r="A511" s="1">
        <f t="shared" si="7"/>
        <v>503</v>
      </c>
      <c r="B511" s="92">
        <v>2.1054289412534364</v>
      </c>
    </row>
    <row r="512" spans="1:2" x14ac:dyDescent="0.3">
      <c r="A512" s="1">
        <f t="shared" si="7"/>
        <v>504</v>
      </c>
      <c r="B512" s="92">
        <v>1.9710059903178041</v>
      </c>
    </row>
    <row r="513" spans="1:2" x14ac:dyDescent="0.3">
      <c r="A513" s="1">
        <f t="shared" si="7"/>
        <v>505</v>
      </c>
      <c r="B513" s="92">
        <v>2.6762454601218346</v>
      </c>
    </row>
    <row r="514" spans="1:2" x14ac:dyDescent="0.3">
      <c r="A514" s="1">
        <f t="shared" si="7"/>
        <v>506</v>
      </c>
      <c r="B514" s="92">
        <v>2.0650449040044112</v>
      </c>
    </row>
    <row r="515" spans="1:2" x14ac:dyDescent="0.3">
      <c r="A515" s="1">
        <f t="shared" si="7"/>
        <v>507</v>
      </c>
      <c r="B515" s="92">
        <v>1.9398815215907785</v>
      </c>
    </row>
    <row r="516" spans="1:2" x14ac:dyDescent="0.3">
      <c r="A516" s="1">
        <f t="shared" si="7"/>
        <v>508</v>
      </c>
      <c r="B516" s="92">
        <v>2.1128210818224429</v>
      </c>
    </row>
    <row r="517" spans="1:2" x14ac:dyDescent="0.3">
      <c r="A517" s="1">
        <f t="shared" si="7"/>
        <v>509</v>
      </c>
      <c r="B517" s="92">
        <v>1.740543154272572</v>
      </c>
    </row>
    <row r="518" spans="1:2" x14ac:dyDescent="0.3">
      <c r="A518" s="1">
        <f t="shared" si="7"/>
        <v>510</v>
      </c>
      <c r="B518" s="92">
        <v>2.1098710988310869</v>
      </c>
    </row>
    <row r="519" spans="1:2" x14ac:dyDescent="0.3">
      <c r="A519" s="1">
        <f t="shared" si="7"/>
        <v>511</v>
      </c>
      <c r="B519" s="92">
        <v>2.356059233635349</v>
      </c>
    </row>
    <row r="520" spans="1:2" x14ac:dyDescent="0.3">
      <c r="A520" s="1">
        <f t="shared" si="7"/>
        <v>512</v>
      </c>
      <c r="B520" s="92">
        <v>2.3899101175042099</v>
      </c>
    </row>
    <row r="521" spans="1:2" x14ac:dyDescent="0.3">
      <c r="A521" s="1">
        <f t="shared" si="7"/>
        <v>513</v>
      </c>
      <c r="B521" s="92">
        <v>2.7950500791448207</v>
      </c>
    </row>
    <row r="522" spans="1:2" x14ac:dyDescent="0.3">
      <c r="A522" s="1">
        <f t="shared" ref="A522:A585" si="8">ROW()-8</f>
        <v>514</v>
      </c>
      <c r="B522" s="92">
        <v>2.3110837704228313</v>
      </c>
    </row>
    <row r="523" spans="1:2" x14ac:dyDescent="0.3">
      <c r="A523" s="1">
        <f t="shared" si="8"/>
        <v>515</v>
      </c>
      <c r="B523" s="92">
        <v>2.2391833009652933</v>
      </c>
    </row>
    <row r="524" spans="1:2" x14ac:dyDescent="0.3">
      <c r="A524" s="1">
        <f t="shared" si="8"/>
        <v>516</v>
      </c>
      <c r="B524" s="92">
        <v>1.9165484590791861</v>
      </c>
    </row>
    <row r="525" spans="1:2" x14ac:dyDescent="0.3">
      <c r="A525" s="1">
        <f t="shared" si="8"/>
        <v>517</v>
      </c>
      <c r="B525" s="92">
        <v>2.2663073994270055</v>
      </c>
    </row>
    <row r="526" spans="1:2" x14ac:dyDescent="0.3">
      <c r="A526" s="1">
        <f t="shared" si="8"/>
        <v>518</v>
      </c>
      <c r="B526" s="92">
        <v>2.0276125147883004</v>
      </c>
    </row>
    <row r="527" spans="1:2" x14ac:dyDescent="0.3">
      <c r="A527" s="1">
        <f t="shared" si="8"/>
        <v>519</v>
      </c>
      <c r="B527" s="92">
        <v>2.3252319506909118</v>
      </c>
    </row>
    <row r="528" spans="1:2" x14ac:dyDescent="0.3">
      <c r="A528" s="1">
        <f t="shared" si="8"/>
        <v>520</v>
      </c>
      <c r="B528" s="92">
        <v>1.8630796169431612</v>
      </c>
    </row>
    <row r="529" spans="1:2" x14ac:dyDescent="0.3">
      <c r="A529" s="1">
        <f t="shared" si="8"/>
        <v>521</v>
      </c>
      <c r="B529" s="92">
        <v>1.983611548785277</v>
      </c>
    </row>
    <row r="530" spans="1:2" x14ac:dyDescent="0.3">
      <c r="A530" s="1">
        <f t="shared" si="8"/>
        <v>522</v>
      </c>
      <c r="B530" s="92">
        <v>2.2461901307670535</v>
      </c>
    </row>
    <row r="531" spans="1:2" x14ac:dyDescent="0.3">
      <c r="A531" s="1">
        <f t="shared" si="8"/>
        <v>523</v>
      </c>
      <c r="B531" s="92">
        <v>2.2265736901691606</v>
      </c>
    </row>
    <row r="532" spans="1:2" x14ac:dyDescent="0.3">
      <c r="A532" s="1">
        <f t="shared" si="8"/>
        <v>524</v>
      </c>
      <c r="B532" s="92">
        <v>2.0887876223040083</v>
      </c>
    </row>
    <row r="533" spans="1:2" x14ac:dyDescent="0.3">
      <c r="A533" s="1">
        <f t="shared" si="8"/>
        <v>525</v>
      </c>
      <c r="B533" s="92">
        <v>2.3311161029797671</v>
      </c>
    </row>
    <row r="534" spans="1:2" x14ac:dyDescent="0.3">
      <c r="A534" s="1">
        <f t="shared" si="8"/>
        <v>526</v>
      </c>
      <c r="B534" s="92">
        <v>2.4971688438561483</v>
      </c>
    </row>
    <row r="535" spans="1:2" x14ac:dyDescent="0.3">
      <c r="A535" s="1">
        <f t="shared" si="8"/>
        <v>527</v>
      </c>
      <c r="B535" s="92">
        <v>2.0905015822160427</v>
      </c>
    </row>
    <row r="536" spans="1:2" x14ac:dyDescent="0.3">
      <c r="A536" s="1">
        <f t="shared" si="8"/>
        <v>528</v>
      </c>
      <c r="B536" s="92">
        <v>1.9685254094219025</v>
      </c>
    </row>
    <row r="537" spans="1:2" x14ac:dyDescent="0.3">
      <c r="A537" s="1">
        <f t="shared" si="8"/>
        <v>529</v>
      </c>
      <c r="B537" s="92">
        <v>2.4824285143557439</v>
      </c>
    </row>
    <row r="538" spans="1:2" x14ac:dyDescent="0.3">
      <c r="A538" s="1">
        <f t="shared" si="8"/>
        <v>530</v>
      </c>
      <c r="B538" s="92">
        <v>2.1603090368114906</v>
      </c>
    </row>
    <row r="539" spans="1:2" x14ac:dyDescent="0.3">
      <c r="A539" s="1">
        <f t="shared" si="8"/>
        <v>531</v>
      </c>
      <c r="B539" s="92">
        <v>1.679678169290477</v>
      </c>
    </row>
    <row r="540" spans="1:2" x14ac:dyDescent="0.3">
      <c r="A540" s="1">
        <f t="shared" si="8"/>
        <v>532</v>
      </c>
      <c r="B540" s="92">
        <v>2.6305437577665187</v>
      </c>
    </row>
    <row r="541" spans="1:2" x14ac:dyDescent="0.3">
      <c r="A541" s="1">
        <f t="shared" si="8"/>
        <v>533</v>
      </c>
      <c r="B541" s="92">
        <v>2.1478916168483893</v>
      </c>
    </row>
    <row r="542" spans="1:2" x14ac:dyDescent="0.3">
      <c r="A542" s="1">
        <f t="shared" si="8"/>
        <v>534</v>
      </c>
      <c r="B542" s="92">
        <v>2.0519721953803671</v>
      </c>
    </row>
    <row r="543" spans="1:2" x14ac:dyDescent="0.3">
      <c r="A543" s="1">
        <f t="shared" si="8"/>
        <v>535</v>
      </c>
      <c r="B543" s="92">
        <v>3.1174003009359201</v>
      </c>
    </row>
    <row r="544" spans="1:2" x14ac:dyDescent="0.3">
      <c r="A544" s="1">
        <f t="shared" si="8"/>
        <v>536</v>
      </c>
      <c r="B544" s="92">
        <v>2.1534953299081718</v>
      </c>
    </row>
    <row r="545" spans="1:2" x14ac:dyDescent="0.3">
      <c r="A545" s="1">
        <f t="shared" si="8"/>
        <v>537</v>
      </c>
      <c r="B545" s="92">
        <v>1.9697579893684078</v>
      </c>
    </row>
    <row r="546" spans="1:2" x14ac:dyDescent="0.3">
      <c r="A546" s="1">
        <f t="shared" si="8"/>
        <v>538</v>
      </c>
      <c r="B546" s="92">
        <v>2.306741264379113</v>
      </c>
    </row>
    <row r="547" spans="1:2" x14ac:dyDescent="0.3">
      <c r="A547" s="1">
        <f t="shared" si="8"/>
        <v>539</v>
      </c>
      <c r="B547" s="92">
        <v>2.5894372012610245</v>
      </c>
    </row>
    <row r="548" spans="1:2" x14ac:dyDescent="0.3">
      <c r="A548" s="1">
        <f t="shared" si="8"/>
        <v>540</v>
      </c>
      <c r="B548" s="92">
        <v>1.8394388599766471</v>
      </c>
    </row>
    <row r="549" spans="1:2" x14ac:dyDescent="0.3">
      <c r="A549" s="1">
        <f t="shared" si="8"/>
        <v>541</v>
      </c>
      <c r="B549" s="92">
        <v>2.0864290107294869</v>
      </c>
    </row>
    <row r="550" spans="1:2" x14ac:dyDescent="0.3">
      <c r="A550" s="1">
        <f t="shared" si="8"/>
        <v>542</v>
      </c>
      <c r="B550" s="92">
        <v>1.8914464513778582</v>
      </c>
    </row>
    <row r="551" spans="1:2" x14ac:dyDescent="0.3">
      <c r="A551" s="1">
        <f t="shared" si="8"/>
        <v>543</v>
      </c>
      <c r="B551" s="92">
        <v>2.3009888872078337</v>
      </c>
    </row>
    <row r="552" spans="1:2" x14ac:dyDescent="0.3">
      <c r="A552" s="1">
        <f t="shared" si="8"/>
        <v>544</v>
      </c>
      <c r="B552" s="92">
        <v>2.047611805199717</v>
      </c>
    </row>
    <row r="553" spans="1:2" x14ac:dyDescent="0.3">
      <c r="A553" s="1">
        <f t="shared" si="8"/>
        <v>545</v>
      </c>
      <c r="B553" s="92">
        <v>2.3425149478587071</v>
      </c>
    </row>
    <row r="554" spans="1:2" x14ac:dyDescent="0.3">
      <c r="A554" s="1">
        <f t="shared" si="8"/>
        <v>546</v>
      </c>
      <c r="B554" s="92">
        <v>2.1941864972563132</v>
      </c>
    </row>
    <row r="555" spans="1:2" x14ac:dyDescent="0.3">
      <c r="A555" s="1">
        <f t="shared" si="8"/>
        <v>547</v>
      </c>
      <c r="B555" s="92">
        <v>2.0746532468847265</v>
      </c>
    </row>
    <row r="556" spans="1:2" x14ac:dyDescent="0.3">
      <c r="A556" s="1">
        <f t="shared" si="8"/>
        <v>548</v>
      </c>
      <c r="B556" s="92">
        <v>2.3450477813538058</v>
      </c>
    </row>
    <row r="557" spans="1:2" x14ac:dyDescent="0.3">
      <c r="A557" s="1">
        <f t="shared" si="8"/>
        <v>549</v>
      </c>
      <c r="B557" s="92">
        <v>2.2525471739102656</v>
      </c>
    </row>
    <row r="558" spans="1:2" x14ac:dyDescent="0.3">
      <c r="A558" s="1">
        <f t="shared" si="8"/>
        <v>550</v>
      </c>
      <c r="B558" s="92">
        <v>2.0326781946114219</v>
      </c>
    </row>
    <row r="559" spans="1:2" x14ac:dyDescent="0.3">
      <c r="A559" s="1">
        <f t="shared" si="8"/>
        <v>551</v>
      </c>
      <c r="B559" s="92">
        <v>2.0370442840904426</v>
      </c>
    </row>
    <row r="560" spans="1:2" x14ac:dyDescent="0.3">
      <c r="A560" s="1">
        <f t="shared" si="8"/>
        <v>552</v>
      </c>
      <c r="B560" s="92">
        <v>2.1462661566980796</v>
      </c>
    </row>
    <row r="561" spans="1:2" x14ac:dyDescent="0.3">
      <c r="A561" s="1">
        <f t="shared" si="8"/>
        <v>553</v>
      </c>
      <c r="B561" s="92">
        <v>1.8991837355190613</v>
      </c>
    </row>
    <row r="562" spans="1:2" x14ac:dyDescent="0.3">
      <c r="A562" s="1">
        <f t="shared" si="8"/>
        <v>554</v>
      </c>
      <c r="B562" s="92">
        <v>2.2357085384180904</v>
      </c>
    </row>
    <row r="563" spans="1:2" x14ac:dyDescent="0.3">
      <c r="A563" s="1">
        <f t="shared" si="8"/>
        <v>555</v>
      </c>
      <c r="B563" s="92">
        <v>1.9356694177177984</v>
      </c>
    </row>
    <row r="564" spans="1:2" x14ac:dyDescent="0.3">
      <c r="A564" s="1">
        <f t="shared" si="8"/>
        <v>556</v>
      </c>
      <c r="B564" s="92">
        <v>2.2207610836104692</v>
      </c>
    </row>
    <row r="565" spans="1:2" x14ac:dyDescent="0.3">
      <c r="A565" s="1">
        <f t="shared" si="8"/>
        <v>557</v>
      </c>
      <c r="B565" s="92">
        <v>1.8306336032716308</v>
      </c>
    </row>
    <row r="566" spans="1:2" x14ac:dyDescent="0.3">
      <c r="A566" s="1">
        <f t="shared" si="8"/>
        <v>558</v>
      </c>
      <c r="B566" s="92">
        <v>2.6955982561026288</v>
      </c>
    </row>
    <row r="567" spans="1:2" x14ac:dyDescent="0.3">
      <c r="A567" s="1">
        <f t="shared" si="8"/>
        <v>559</v>
      </c>
      <c r="B567" s="92">
        <v>2.0380865430845381</v>
      </c>
    </row>
    <row r="568" spans="1:2" x14ac:dyDescent="0.3">
      <c r="A568" s="1">
        <f t="shared" si="8"/>
        <v>560</v>
      </c>
      <c r="B568" s="92">
        <v>2.7851105725093661</v>
      </c>
    </row>
    <row r="569" spans="1:2" x14ac:dyDescent="0.3">
      <c r="A569" s="1">
        <f t="shared" si="8"/>
        <v>561</v>
      </c>
      <c r="B569" s="92">
        <v>2.1885155618240861</v>
      </c>
    </row>
    <row r="570" spans="1:2" x14ac:dyDescent="0.3">
      <c r="A570" s="1">
        <f t="shared" si="8"/>
        <v>562</v>
      </c>
      <c r="B570" s="92">
        <v>2.4273382327408775</v>
      </c>
    </row>
    <row r="571" spans="1:2" x14ac:dyDescent="0.3">
      <c r="A571" s="1">
        <f t="shared" si="8"/>
        <v>563</v>
      </c>
      <c r="B571" s="92">
        <v>2.0310687605726883</v>
      </c>
    </row>
    <row r="572" spans="1:2" x14ac:dyDescent="0.3">
      <c r="A572" s="1">
        <f t="shared" si="8"/>
        <v>564</v>
      </c>
      <c r="B572" s="92">
        <v>2.3966558719942994</v>
      </c>
    </row>
    <row r="573" spans="1:2" x14ac:dyDescent="0.3">
      <c r="A573" s="1">
        <f t="shared" si="8"/>
        <v>565</v>
      </c>
      <c r="B573" s="92">
        <v>2.166376001053147</v>
      </c>
    </row>
    <row r="574" spans="1:2" x14ac:dyDescent="0.3">
      <c r="A574" s="1">
        <f t="shared" si="8"/>
        <v>566</v>
      </c>
      <c r="B574" s="92">
        <v>2.2817559696487311</v>
      </c>
    </row>
    <row r="575" spans="1:2" x14ac:dyDescent="0.3">
      <c r="A575" s="1">
        <f t="shared" si="8"/>
        <v>567</v>
      </c>
      <c r="B575" s="92">
        <v>2.3380159526408071</v>
      </c>
    </row>
    <row r="576" spans="1:2" x14ac:dyDescent="0.3">
      <c r="A576" s="1">
        <f t="shared" si="8"/>
        <v>568</v>
      </c>
      <c r="B576" s="92">
        <v>2.1351708576293134</v>
      </c>
    </row>
    <row r="577" spans="1:2" x14ac:dyDescent="0.3">
      <c r="A577" s="1">
        <f t="shared" si="8"/>
        <v>569</v>
      </c>
      <c r="B577" s="92">
        <v>2.1689493914384048</v>
      </c>
    </row>
    <row r="578" spans="1:2" x14ac:dyDescent="0.3">
      <c r="A578" s="1">
        <f t="shared" si="8"/>
        <v>570</v>
      </c>
      <c r="B578" s="92">
        <v>2.0239079763628851</v>
      </c>
    </row>
    <row r="579" spans="1:2" x14ac:dyDescent="0.3">
      <c r="A579" s="1">
        <f t="shared" si="8"/>
        <v>571</v>
      </c>
      <c r="B579" s="92">
        <v>2.195867616161526</v>
      </c>
    </row>
    <row r="580" spans="1:2" x14ac:dyDescent="0.3">
      <c r="A580" s="1">
        <f t="shared" si="8"/>
        <v>572</v>
      </c>
      <c r="B580" s="92">
        <v>2.5142573925035894</v>
      </c>
    </row>
    <row r="581" spans="1:2" x14ac:dyDescent="0.3">
      <c r="A581" s="1">
        <f t="shared" si="8"/>
        <v>573</v>
      </c>
      <c r="B581" s="92">
        <v>2.6752258164734943</v>
      </c>
    </row>
    <row r="582" spans="1:2" x14ac:dyDescent="0.3">
      <c r="A582" s="1">
        <f t="shared" si="8"/>
        <v>574</v>
      </c>
      <c r="B582" s="92">
        <v>2.1358529535644037</v>
      </c>
    </row>
    <row r="583" spans="1:2" x14ac:dyDescent="0.3">
      <c r="A583" s="1">
        <f t="shared" si="8"/>
        <v>575</v>
      </c>
      <c r="B583" s="92">
        <v>1.9395088119916055</v>
      </c>
    </row>
    <row r="584" spans="1:2" x14ac:dyDescent="0.3">
      <c r="A584" s="1">
        <f t="shared" si="8"/>
        <v>576</v>
      </c>
      <c r="B584" s="92">
        <v>2.1556520711113722</v>
      </c>
    </row>
    <row r="585" spans="1:2" x14ac:dyDescent="0.3">
      <c r="A585" s="1">
        <f t="shared" si="8"/>
        <v>577</v>
      </c>
      <c r="B585" s="92">
        <v>2.638051246243704</v>
      </c>
    </row>
    <row r="586" spans="1:2" x14ac:dyDescent="0.3">
      <c r="A586" s="1">
        <f t="shared" ref="A586:A649" si="9">ROW()-8</f>
        <v>578</v>
      </c>
      <c r="B586" s="92">
        <v>2.0179900550842569</v>
      </c>
    </row>
    <row r="587" spans="1:2" x14ac:dyDescent="0.3">
      <c r="A587" s="1">
        <f t="shared" si="9"/>
        <v>579</v>
      </c>
      <c r="B587" s="92">
        <v>2.4411248706795128</v>
      </c>
    </row>
    <row r="588" spans="1:2" x14ac:dyDescent="0.3">
      <c r="A588" s="1">
        <f t="shared" si="9"/>
        <v>580</v>
      </c>
      <c r="B588" s="92">
        <v>2.5219013945293254</v>
      </c>
    </row>
    <row r="589" spans="1:2" x14ac:dyDescent="0.3">
      <c r="A589" s="1">
        <f t="shared" si="9"/>
        <v>581</v>
      </c>
      <c r="B589" s="92">
        <v>2.351162791963477</v>
      </c>
    </row>
    <row r="590" spans="1:2" x14ac:dyDescent="0.3">
      <c r="A590" s="1">
        <f t="shared" si="9"/>
        <v>582</v>
      </c>
      <c r="B590" s="92">
        <v>2.3225600683546541</v>
      </c>
    </row>
    <row r="591" spans="1:2" x14ac:dyDescent="0.3">
      <c r="A591" s="1">
        <f t="shared" si="9"/>
        <v>583</v>
      </c>
      <c r="B591" s="92">
        <v>1.9752157230512821</v>
      </c>
    </row>
    <row r="592" spans="1:2" x14ac:dyDescent="0.3">
      <c r="A592" s="1">
        <f t="shared" si="9"/>
        <v>584</v>
      </c>
      <c r="B592" s="92">
        <v>2.1809866619110729</v>
      </c>
    </row>
    <row r="593" spans="1:2" x14ac:dyDescent="0.3">
      <c r="A593" s="1">
        <f t="shared" si="9"/>
        <v>585</v>
      </c>
      <c r="B593" s="92">
        <v>2.0978610724346596</v>
      </c>
    </row>
    <row r="594" spans="1:2" x14ac:dyDescent="0.3">
      <c r="A594" s="1">
        <f t="shared" si="9"/>
        <v>586</v>
      </c>
      <c r="B594" s="92">
        <v>2.6687931553982911</v>
      </c>
    </row>
    <row r="595" spans="1:2" x14ac:dyDescent="0.3">
      <c r="A595" s="1">
        <f t="shared" si="9"/>
        <v>587</v>
      </c>
      <c r="B595" s="92">
        <v>2.3200339365671079</v>
      </c>
    </row>
    <row r="596" spans="1:2" x14ac:dyDescent="0.3">
      <c r="A596" s="1">
        <f t="shared" si="9"/>
        <v>588</v>
      </c>
      <c r="B596" s="92">
        <v>1.9598097519268498</v>
      </c>
    </row>
    <row r="597" spans="1:2" x14ac:dyDescent="0.3">
      <c r="A597" s="1">
        <f t="shared" si="9"/>
        <v>589</v>
      </c>
      <c r="B597" s="92">
        <v>2.4607085282848922</v>
      </c>
    </row>
    <row r="598" spans="1:2" x14ac:dyDescent="0.3">
      <c r="A598" s="1">
        <f t="shared" si="9"/>
        <v>590</v>
      </c>
      <c r="B598" s="92">
        <v>2.0619467883706162</v>
      </c>
    </row>
    <row r="599" spans="1:2" x14ac:dyDescent="0.3">
      <c r="A599" s="1">
        <f t="shared" si="9"/>
        <v>591</v>
      </c>
      <c r="B599" s="92">
        <v>2.1000528915363996</v>
      </c>
    </row>
    <row r="600" spans="1:2" x14ac:dyDescent="0.3">
      <c r="A600" s="1">
        <f t="shared" si="9"/>
        <v>592</v>
      </c>
      <c r="B600" s="92">
        <v>1.9255905344490025</v>
      </c>
    </row>
    <row r="601" spans="1:2" x14ac:dyDescent="0.3">
      <c r="A601" s="1">
        <f t="shared" si="9"/>
        <v>593</v>
      </c>
      <c r="B601" s="92">
        <v>2.2565304742289176</v>
      </c>
    </row>
    <row r="602" spans="1:2" x14ac:dyDescent="0.3">
      <c r="A602" s="1">
        <f t="shared" si="9"/>
        <v>594</v>
      </c>
      <c r="B602" s="92">
        <v>1.9479257598532596</v>
      </c>
    </row>
    <row r="603" spans="1:2" x14ac:dyDescent="0.3">
      <c r="A603" s="1">
        <f t="shared" si="9"/>
        <v>595</v>
      </c>
      <c r="B603" s="92">
        <v>2.1428859803475677</v>
      </c>
    </row>
    <row r="604" spans="1:2" x14ac:dyDescent="0.3">
      <c r="A604" s="1">
        <f t="shared" si="9"/>
        <v>596</v>
      </c>
      <c r="B604" s="92">
        <v>2.2061236538963453</v>
      </c>
    </row>
    <row r="605" spans="1:2" x14ac:dyDescent="0.3">
      <c r="A605" s="1">
        <f t="shared" si="9"/>
        <v>597</v>
      </c>
      <c r="B605" s="92">
        <v>2.135427955100639</v>
      </c>
    </row>
    <row r="606" spans="1:2" x14ac:dyDescent="0.3">
      <c r="A606" s="1">
        <f t="shared" si="9"/>
        <v>598</v>
      </c>
      <c r="B606" s="92">
        <v>2.4064479805860999</v>
      </c>
    </row>
    <row r="607" spans="1:2" x14ac:dyDescent="0.3">
      <c r="A607" s="1">
        <f t="shared" si="9"/>
        <v>599</v>
      </c>
      <c r="B607" s="92">
        <v>2.1879662375285256</v>
      </c>
    </row>
    <row r="608" spans="1:2" x14ac:dyDescent="0.3">
      <c r="A608" s="1">
        <f t="shared" si="9"/>
        <v>600</v>
      </c>
      <c r="B608" s="92">
        <v>2.2550309206534682</v>
      </c>
    </row>
    <row r="609" spans="1:2" x14ac:dyDescent="0.3">
      <c r="A609" s="1">
        <f t="shared" si="9"/>
        <v>601</v>
      </c>
      <c r="B609" s="92">
        <v>2.1623888356042889</v>
      </c>
    </row>
    <row r="610" spans="1:2" x14ac:dyDescent="0.3">
      <c r="A610" s="1">
        <f t="shared" si="9"/>
        <v>602</v>
      </c>
      <c r="B610" s="92">
        <v>2.2896441608732281</v>
      </c>
    </row>
    <row r="611" spans="1:2" x14ac:dyDescent="0.3">
      <c r="A611" s="1">
        <f t="shared" si="9"/>
        <v>603</v>
      </c>
      <c r="B611" s="92">
        <v>2.4076647538482496</v>
      </c>
    </row>
    <row r="612" spans="1:2" x14ac:dyDescent="0.3">
      <c r="A612" s="1">
        <f t="shared" si="9"/>
        <v>604</v>
      </c>
      <c r="B612" s="92">
        <v>1.8050922955830528</v>
      </c>
    </row>
    <row r="613" spans="1:2" x14ac:dyDescent="0.3">
      <c r="A613" s="1">
        <f t="shared" si="9"/>
        <v>605</v>
      </c>
      <c r="B613" s="92">
        <v>2.2514516035051422</v>
      </c>
    </row>
    <row r="614" spans="1:2" x14ac:dyDescent="0.3">
      <c r="A614" s="1">
        <f t="shared" si="9"/>
        <v>606</v>
      </c>
      <c r="B614" s="92">
        <v>2.049242512797004</v>
      </c>
    </row>
    <row r="615" spans="1:2" x14ac:dyDescent="0.3">
      <c r="A615" s="1">
        <f t="shared" si="9"/>
        <v>607</v>
      </c>
      <c r="B615" s="92">
        <v>2.1584954668750926</v>
      </c>
    </row>
    <row r="616" spans="1:2" x14ac:dyDescent="0.3">
      <c r="A616" s="1">
        <f t="shared" si="9"/>
        <v>608</v>
      </c>
      <c r="B616" s="92">
        <v>2.408558342955244</v>
      </c>
    </row>
    <row r="617" spans="1:2" x14ac:dyDescent="0.3">
      <c r="A617" s="1">
        <f t="shared" si="9"/>
        <v>609</v>
      </c>
      <c r="B617" s="92">
        <v>2.315223948313462</v>
      </c>
    </row>
    <row r="618" spans="1:2" x14ac:dyDescent="0.3">
      <c r="A618" s="1">
        <f t="shared" si="9"/>
        <v>610</v>
      </c>
      <c r="B618" s="92">
        <v>2.1163713691013015</v>
      </c>
    </row>
    <row r="619" spans="1:2" x14ac:dyDescent="0.3">
      <c r="A619" s="1">
        <f t="shared" si="9"/>
        <v>611</v>
      </c>
      <c r="B619" s="92">
        <v>2.0947787608772246</v>
      </c>
    </row>
    <row r="620" spans="1:2" x14ac:dyDescent="0.3">
      <c r="A620" s="1">
        <f t="shared" si="9"/>
        <v>612</v>
      </c>
      <c r="B620" s="92">
        <v>2.1563524619938415</v>
      </c>
    </row>
    <row r="621" spans="1:2" x14ac:dyDescent="0.3">
      <c r="A621" s="1">
        <f t="shared" si="9"/>
        <v>613</v>
      </c>
      <c r="B621" s="92">
        <v>2.354495991381214</v>
      </c>
    </row>
    <row r="622" spans="1:2" x14ac:dyDescent="0.3">
      <c r="A622" s="1">
        <f t="shared" si="9"/>
        <v>614</v>
      </c>
      <c r="B622" s="92">
        <v>1.8998370054164462</v>
      </c>
    </row>
    <row r="623" spans="1:2" x14ac:dyDescent="0.3">
      <c r="A623" s="1">
        <f t="shared" si="9"/>
        <v>615</v>
      </c>
      <c r="B623" s="92">
        <v>2.2970563591238014</v>
      </c>
    </row>
    <row r="624" spans="1:2" x14ac:dyDescent="0.3">
      <c r="A624" s="1">
        <f t="shared" si="9"/>
        <v>616</v>
      </c>
      <c r="B624" s="92">
        <v>2.3249314607022025</v>
      </c>
    </row>
    <row r="625" spans="1:2" x14ac:dyDescent="0.3">
      <c r="A625" s="1">
        <f t="shared" si="9"/>
        <v>617</v>
      </c>
      <c r="B625" s="92">
        <v>2.2767488856571325</v>
      </c>
    </row>
    <row r="626" spans="1:2" x14ac:dyDescent="0.3">
      <c r="A626" s="1">
        <f t="shared" si="9"/>
        <v>618</v>
      </c>
      <c r="B626" s="92">
        <v>2.2793444115246437</v>
      </c>
    </row>
    <row r="627" spans="1:2" x14ac:dyDescent="0.3">
      <c r="A627" s="1">
        <f t="shared" si="9"/>
        <v>619</v>
      </c>
      <c r="B627" s="92">
        <v>2.1622158190261738</v>
      </c>
    </row>
    <row r="628" spans="1:2" x14ac:dyDescent="0.3">
      <c r="A628" s="1">
        <f t="shared" si="9"/>
        <v>620</v>
      </c>
      <c r="B628" s="92">
        <v>2.2060791535664843</v>
      </c>
    </row>
    <row r="629" spans="1:2" x14ac:dyDescent="0.3">
      <c r="A629" s="1">
        <f t="shared" si="9"/>
        <v>621</v>
      </c>
      <c r="B629" s="92">
        <v>1.8390587694957896</v>
      </c>
    </row>
    <row r="630" spans="1:2" x14ac:dyDescent="0.3">
      <c r="A630" s="1">
        <f t="shared" si="9"/>
        <v>622</v>
      </c>
      <c r="B630" s="92">
        <v>1.9183481623517298</v>
      </c>
    </row>
    <row r="631" spans="1:2" x14ac:dyDescent="0.3">
      <c r="A631" s="1">
        <f t="shared" si="9"/>
        <v>623</v>
      </c>
      <c r="B631" s="92">
        <v>2.0103311317578694</v>
      </c>
    </row>
    <row r="632" spans="1:2" x14ac:dyDescent="0.3">
      <c r="A632" s="1">
        <f t="shared" si="9"/>
        <v>624</v>
      </c>
      <c r="B632" s="92">
        <v>2.1490429236572286</v>
      </c>
    </row>
    <row r="633" spans="1:2" x14ac:dyDescent="0.3">
      <c r="A633" s="1">
        <f t="shared" si="9"/>
        <v>625</v>
      </c>
      <c r="B633" s="92">
        <v>2.4046257042825112</v>
      </c>
    </row>
    <row r="634" spans="1:2" x14ac:dyDescent="0.3">
      <c r="A634" s="1">
        <f t="shared" si="9"/>
        <v>626</v>
      </c>
      <c r="B634" s="92">
        <v>1.7844913905449524</v>
      </c>
    </row>
    <row r="635" spans="1:2" x14ac:dyDescent="0.3">
      <c r="A635" s="1">
        <f t="shared" si="9"/>
        <v>627</v>
      </c>
      <c r="B635" s="92">
        <v>2.2599887588931402</v>
      </c>
    </row>
    <row r="636" spans="1:2" x14ac:dyDescent="0.3">
      <c r="A636" s="1">
        <f t="shared" si="9"/>
        <v>628</v>
      </c>
      <c r="B636" s="92">
        <v>2.2640226248571693</v>
      </c>
    </row>
    <row r="637" spans="1:2" x14ac:dyDescent="0.3">
      <c r="A637" s="1">
        <f t="shared" si="9"/>
        <v>629</v>
      </c>
      <c r="B637" s="92">
        <v>2.0948948119987683</v>
      </c>
    </row>
    <row r="638" spans="1:2" x14ac:dyDescent="0.3">
      <c r="A638" s="1">
        <f t="shared" si="9"/>
        <v>630</v>
      </c>
      <c r="B638" s="92">
        <v>2.1985907451418609</v>
      </c>
    </row>
    <row r="639" spans="1:2" x14ac:dyDescent="0.3">
      <c r="A639" s="1">
        <f t="shared" si="9"/>
        <v>631</v>
      </c>
      <c r="B639" s="92">
        <v>2.6374859269516064</v>
      </c>
    </row>
    <row r="640" spans="1:2" x14ac:dyDescent="0.3">
      <c r="A640" s="1">
        <f t="shared" si="9"/>
        <v>632</v>
      </c>
      <c r="B640" s="92">
        <v>1.9980008517824237</v>
      </c>
    </row>
    <row r="641" spans="1:2" x14ac:dyDescent="0.3">
      <c r="A641" s="1">
        <f t="shared" si="9"/>
        <v>633</v>
      </c>
      <c r="B641" s="92">
        <v>1.6203634732427434</v>
      </c>
    </row>
    <row r="642" spans="1:2" x14ac:dyDescent="0.3">
      <c r="A642" s="1">
        <f t="shared" si="9"/>
        <v>634</v>
      </c>
      <c r="B642" s="92">
        <v>2.8684873296030013</v>
      </c>
    </row>
    <row r="643" spans="1:2" x14ac:dyDescent="0.3">
      <c r="A643" s="1">
        <f t="shared" si="9"/>
        <v>635</v>
      </c>
      <c r="B643" s="92">
        <v>2.4358779371000296</v>
      </c>
    </row>
    <row r="644" spans="1:2" x14ac:dyDescent="0.3">
      <c r="A644" s="1">
        <f t="shared" si="9"/>
        <v>636</v>
      </c>
      <c r="B644" s="92">
        <v>2.8146667214983805</v>
      </c>
    </row>
    <row r="645" spans="1:2" x14ac:dyDescent="0.3">
      <c r="A645" s="1">
        <f t="shared" si="9"/>
        <v>637</v>
      </c>
      <c r="B645" s="92">
        <v>1.9668565290993747</v>
      </c>
    </row>
    <row r="646" spans="1:2" x14ac:dyDescent="0.3">
      <c r="A646" s="1">
        <f t="shared" si="9"/>
        <v>638</v>
      </c>
      <c r="B646" s="92">
        <v>1.9129711252208621</v>
      </c>
    </row>
    <row r="647" spans="1:2" x14ac:dyDescent="0.3">
      <c r="A647" s="1">
        <f t="shared" si="9"/>
        <v>639</v>
      </c>
      <c r="B647" s="92">
        <v>2.0118517152692807</v>
      </c>
    </row>
    <row r="648" spans="1:2" x14ac:dyDescent="0.3">
      <c r="A648" s="1">
        <f t="shared" si="9"/>
        <v>640</v>
      </c>
      <c r="B648" s="92">
        <v>2.1097130861643234</v>
      </c>
    </row>
    <row r="649" spans="1:2" x14ac:dyDescent="0.3">
      <c r="A649" s="1">
        <f t="shared" si="9"/>
        <v>641</v>
      </c>
      <c r="B649" s="92">
        <v>2.101082380920555</v>
      </c>
    </row>
    <row r="650" spans="1:2" x14ac:dyDescent="0.3">
      <c r="A650" s="1">
        <f t="shared" ref="A650:A713" si="10">ROW()-8</f>
        <v>642</v>
      </c>
      <c r="B650" s="92">
        <v>2.1248941754274973</v>
      </c>
    </row>
    <row r="651" spans="1:2" x14ac:dyDescent="0.3">
      <c r="A651" s="1">
        <f t="shared" si="10"/>
        <v>643</v>
      </c>
      <c r="B651" s="92">
        <v>1.846739775725069</v>
      </c>
    </row>
    <row r="652" spans="1:2" x14ac:dyDescent="0.3">
      <c r="A652" s="1">
        <f t="shared" si="10"/>
        <v>644</v>
      </c>
      <c r="B652" s="92">
        <v>1.8288337338185632</v>
      </c>
    </row>
    <row r="653" spans="1:2" x14ac:dyDescent="0.3">
      <c r="A653" s="1">
        <f t="shared" si="10"/>
        <v>645</v>
      </c>
      <c r="B653" s="92">
        <v>2.2196065194967463</v>
      </c>
    </row>
    <row r="654" spans="1:2" x14ac:dyDescent="0.3">
      <c r="A654" s="1">
        <f t="shared" si="10"/>
        <v>646</v>
      </c>
      <c r="B654" s="92">
        <v>2.1102827942467823</v>
      </c>
    </row>
    <row r="655" spans="1:2" x14ac:dyDescent="0.3">
      <c r="A655" s="1">
        <f t="shared" si="10"/>
        <v>647</v>
      </c>
      <c r="B655" s="92">
        <v>2.4538888580084777</v>
      </c>
    </row>
    <row r="656" spans="1:2" x14ac:dyDescent="0.3">
      <c r="A656" s="1">
        <f t="shared" si="10"/>
        <v>648</v>
      </c>
      <c r="B656" s="92">
        <v>2.0495940256539349</v>
      </c>
    </row>
    <row r="657" spans="1:2" x14ac:dyDescent="0.3">
      <c r="A657" s="1">
        <f t="shared" si="10"/>
        <v>649</v>
      </c>
      <c r="B657" s="92">
        <v>2.1115940320460731</v>
      </c>
    </row>
    <row r="658" spans="1:2" x14ac:dyDescent="0.3">
      <c r="A658" s="1">
        <f t="shared" si="10"/>
        <v>650</v>
      </c>
      <c r="B658" s="92">
        <v>1.9839097754882724</v>
      </c>
    </row>
    <row r="659" spans="1:2" x14ac:dyDescent="0.3">
      <c r="A659" s="1">
        <f t="shared" si="10"/>
        <v>651</v>
      </c>
      <c r="B659" s="92">
        <v>2.157253152208122</v>
      </c>
    </row>
    <row r="660" spans="1:2" x14ac:dyDescent="0.3">
      <c r="A660" s="1">
        <f t="shared" si="10"/>
        <v>652</v>
      </c>
      <c r="B660" s="92">
        <v>2.1716681428373921</v>
      </c>
    </row>
    <row r="661" spans="1:2" x14ac:dyDescent="0.3">
      <c r="A661" s="1">
        <f t="shared" si="10"/>
        <v>653</v>
      </c>
      <c r="B661" s="92">
        <v>2.1764638127499825</v>
      </c>
    </row>
    <row r="662" spans="1:2" x14ac:dyDescent="0.3">
      <c r="A662" s="1">
        <f t="shared" si="10"/>
        <v>654</v>
      </c>
      <c r="B662" s="92">
        <v>2.5198640337047857</v>
      </c>
    </row>
    <row r="663" spans="1:2" x14ac:dyDescent="0.3">
      <c r="A663" s="1">
        <f t="shared" si="10"/>
        <v>655</v>
      </c>
      <c r="B663" s="92">
        <v>2.3509248474263993</v>
      </c>
    </row>
    <row r="664" spans="1:2" x14ac:dyDescent="0.3">
      <c r="A664" s="1">
        <f t="shared" si="10"/>
        <v>656</v>
      </c>
      <c r="B664" s="92">
        <v>2.1697871423360517</v>
      </c>
    </row>
    <row r="665" spans="1:2" x14ac:dyDescent="0.3">
      <c r="A665" s="1">
        <f t="shared" si="10"/>
        <v>657</v>
      </c>
      <c r="B665" s="92">
        <v>2.0402541175532685</v>
      </c>
    </row>
    <row r="666" spans="1:2" x14ac:dyDescent="0.3">
      <c r="A666" s="1">
        <f t="shared" si="10"/>
        <v>658</v>
      </c>
      <c r="B666" s="92">
        <v>2.158391566665284</v>
      </c>
    </row>
    <row r="667" spans="1:2" x14ac:dyDescent="0.3">
      <c r="A667" s="1">
        <f t="shared" si="10"/>
        <v>659</v>
      </c>
      <c r="B667" s="92">
        <v>2.3965779009374275</v>
      </c>
    </row>
    <row r="668" spans="1:2" x14ac:dyDescent="0.3">
      <c r="A668" s="1">
        <f t="shared" si="10"/>
        <v>660</v>
      </c>
      <c r="B668" s="92">
        <v>1.9867949123251103</v>
      </c>
    </row>
    <row r="669" spans="1:2" x14ac:dyDescent="0.3">
      <c r="A669" s="1">
        <f t="shared" si="10"/>
        <v>661</v>
      </c>
      <c r="B669" s="92">
        <v>2.1076140227223905</v>
      </c>
    </row>
    <row r="670" spans="1:2" x14ac:dyDescent="0.3">
      <c r="A670" s="1">
        <f t="shared" si="10"/>
        <v>662</v>
      </c>
      <c r="B670" s="92">
        <v>2.1503652870987922</v>
      </c>
    </row>
    <row r="671" spans="1:2" x14ac:dyDescent="0.3">
      <c r="A671" s="1">
        <f t="shared" si="10"/>
        <v>663</v>
      </c>
      <c r="B671" s="92">
        <v>2.3128064643160209</v>
      </c>
    </row>
    <row r="672" spans="1:2" x14ac:dyDescent="0.3">
      <c r="A672" s="1">
        <f t="shared" si="10"/>
        <v>664</v>
      </c>
      <c r="B672" s="92">
        <v>2.3763322384676808</v>
      </c>
    </row>
    <row r="673" spans="1:2" x14ac:dyDescent="0.3">
      <c r="A673" s="1">
        <f t="shared" si="10"/>
        <v>665</v>
      </c>
      <c r="B673" s="92">
        <v>1.7341108703769263</v>
      </c>
    </row>
    <row r="674" spans="1:2" x14ac:dyDescent="0.3">
      <c r="A674" s="1">
        <f t="shared" si="10"/>
        <v>666</v>
      </c>
      <c r="B674" s="92">
        <v>1.9895070628003657</v>
      </c>
    </row>
    <row r="675" spans="1:2" x14ac:dyDescent="0.3">
      <c r="A675" s="1">
        <f t="shared" si="10"/>
        <v>667</v>
      </c>
      <c r="B675" s="92">
        <v>2.2829768782030264</v>
      </c>
    </row>
    <row r="676" spans="1:2" x14ac:dyDescent="0.3">
      <c r="A676" s="1">
        <f t="shared" si="10"/>
        <v>668</v>
      </c>
      <c r="B676" s="92">
        <v>1.8956330325276762</v>
      </c>
    </row>
    <row r="677" spans="1:2" x14ac:dyDescent="0.3">
      <c r="A677" s="1">
        <f t="shared" si="10"/>
        <v>669</v>
      </c>
      <c r="B677" s="92">
        <v>2.5001605959953204</v>
      </c>
    </row>
    <row r="678" spans="1:2" x14ac:dyDescent="0.3">
      <c r="A678" s="1">
        <f t="shared" si="10"/>
        <v>670</v>
      </c>
      <c r="B678" s="92">
        <v>2.1429939299346952</v>
      </c>
    </row>
    <row r="679" spans="1:2" x14ac:dyDescent="0.3">
      <c r="A679" s="1">
        <f t="shared" si="10"/>
        <v>671</v>
      </c>
      <c r="B679" s="92">
        <v>2.2914064409251709</v>
      </c>
    </row>
    <row r="680" spans="1:2" x14ac:dyDescent="0.3">
      <c r="A680" s="1">
        <f t="shared" si="10"/>
        <v>672</v>
      </c>
      <c r="B680" s="92">
        <v>1.9004233416372933</v>
      </c>
    </row>
    <row r="681" spans="1:2" x14ac:dyDescent="0.3">
      <c r="A681" s="1">
        <f t="shared" si="10"/>
        <v>673</v>
      </c>
      <c r="B681" s="92">
        <v>2.2060220442520695</v>
      </c>
    </row>
    <row r="682" spans="1:2" x14ac:dyDescent="0.3">
      <c r="A682" s="1">
        <f t="shared" si="10"/>
        <v>674</v>
      </c>
      <c r="B682" s="92">
        <v>2.2807584161144137</v>
      </c>
    </row>
    <row r="683" spans="1:2" x14ac:dyDescent="0.3">
      <c r="A683" s="1">
        <f t="shared" si="10"/>
        <v>675</v>
      </c>
      <c r="B683" s="92">
        <v>2.0798037212751543</v>
      </c>
    </row>
    <row r="684" spans="1:2" x14ac:dyDescent="0.3">
      <c r="A684" s="1">
        <f t="shared" si="10"/>
        <v>676</v>
      </c>
      <c r="B684" s="92">
        <v>2.1108951249760532</v>
      </c>
    </row>
    <row r="685" spans="1:2" x14ac:dyDescent="0.3">
      <c r="A685" s="1">
        <f t="shared" si="10"/>
        <v>677</v>
      </c>
      <c r="B685" s="92">
        <v>2.3560851000438361</v>
      </c>
    </row>
    <row r="686" spans="1:2" x14ac:dyDescent="0.3">
      <c r="A686" s="1">
        <f t="shared" si="10"/>
        <v>678</v>
      </c>
      <c r="B686" s="92">
        <v>1.9720698386462669</v>
      </c>
    </row>
    <row r="687" spans="1:2" x14ac:dyDescent="0.3">
      <c r="A687" s="1">
        <f t="shared" si="10"/>
        <v>679</v>
      </c>
      <c r="B687" s="92">
        <v>1.6978400984588444</v>
      </c>
    </row>
    <row r="688" spans="1:2" x14ac:dyDescent="0.3">
      <c r="A688" s="1">
        <f t="shared" si="10"/>
        <v>680</v>
      </c>
      <c r="B688" s="92">
        <v>2.3068213465290337</v>
      </c>
    </row>
    <row r="689" spans="1:2" x14ac:dyDescent="0.3">
      <c r="A689" s="1">
        <f t="shared" si="10"/>
        <v>681</v>
      </c>
      <c r="B689" s="92">
        <v>2.3884106158325276</v>
      </c>
    </row>
    <row r="690" spans="1:2" x14ac:dyDescent="0.3">
      <c r="A690" s="1">
        <f t="shared" si="10"/>
        <v>682</v>
      </c>
      <c r="B690" s="92">
        <v>1.7336442112689971</v>
      </c>
    </row>
    <row r="691" spans="1:2" x14ac:dyDescent="0.3">
      <c r="A691" s="1">
        <f t="shared" si="10"/>
        <v>683</v>
      </c>
      <c r="B691" s="92">
        <v>1.9647752157291076</v>
      </c>
    </row>
    <row r="692" spans="1:2" x14ac:dyDescent="0.3">
      <c r="A692" s="1">
        <f t="shared" si="10"/>
        <v>684</v>
      </c>
      <c r="B692" s="92">
        <v>1.9433002631973333</v>
      </c>
    </row>
    <row r="693" spans="1:2" x14ac:dyDescent="0.3">
      <c r="A693" s="1">
        <f t="shared" si="10"/>
        <v>685</v>
      </c>
      <c r="B693" s="92">
        <v>1.9095802616283066</v>
      </c>
    </row>
    <row r="694" spans="1:2" x14ac:dyDescent="0.3">
      <c r="A694" s="1">
        <f t="shared" si="10"/>
        <v>686</v>
      </c>
      <c r="B694" s="92">
        <v>2.2416040420172334</v>
      </c>
    </row>
    <row r="695" spans="1:2" x14ac:dyDescent="0.3">
      <c r="A695" s="1">
        <f t="shared" si="10"/>
        <v>687</v>
      </c>
      <c r="B695" s="92">
        <v>1.8925927055421576</v>
      </c>
    </row>
    <row r="696" spans="1:2" x14ac:dyDescent="0.3">
      <c r="A696" s="1">
        <f t="shared" si="10"/>
        <v>688</v>
      </c>
      <c r="B696" s="92">
        <v>2.426688030164402</v>
      </c>
    </row>
    <row r="697" spans="1:2" x14ac:dyDescent="0.3">
      <c r="A697" s="1">
        <f t="shared" si="10"/>
        <v>689</v>
      </c>
      <c r="B697" s="92">
        <v>2.3842257029193394</v>
      </c>
    </row>
    <row r="698" spans="1:2" x14ac:dyDescent="0.3">
      <c r="A698" s="1">
        <f t="shared" si="10"/>
        <v>690</v>
      </c>
      <c r="B698" s="92">
        <v>1.9502111354603429</v>
      </c>
    </row>
    <row r="699" spans="1:2" x14ac:dyDescent="0.3">
      <c r="A699" s="1">
        <f t="shared" si="10"/>
        <v>691</v>
      </c>
      <c r="B699" s="92">
        <v>2.3985312790600233</v>
      </c>
    </row>
    <row r="700" spans="1:2" x14ac:dyDescent="0.3">
      <c r="A700" s="1">
        <f t="shared" si="10"/>
        <v>692</v>
      </c>
      <c r="B700" s="92">
        <v>2.0300883078394034</v>
      </c>
    </row>
    <row r="701" spans="1:2" x14ac:dyDescent="0.3">
      <c r="A701" s="1">
        <f t="shared" si="10"/>
        <v>693</v>
      </c>
      <c r="B701" s="92">
        <v>1.9996551862001375</v>
      </c>
    </row>
    <row r="702" spans="1:2" x14ac:dyDescent="0.3">
      <c r="A702" s="1">
        <f t="shared" si="10"/>
        <v>694</v>
      </c>
      <c r="B702" s="92">
        <v>2.4083328151309242</v>
      </c>
    </row>
    <row r="703" spans="1:2" x14ac:dyDescent="0.3">
      <c r="A703" s="1">
        <f t="shared" si="10"/>
        <v>695</v>
      </c>
      <c r="B703" s="92">
        <v>2.3429792570575056</v>
      </c>
    </row>
    <row r="704" spans="1:2" x14ac:dyDescent="0.3">
      <c r="A704" s="1">
        <f t="shared" si="10"/>
        <v>696</v>
      </c>
      <c r="B704" s="92">
        <v>2.3145743039089566</v>
      </c>
    </row>
    <row r="705" spans="1:2" x14ac:dyDescent="0.3">
      <c r="A705" s="1">
        <f t="shared" si="10"/>
        <v>697</v>
      </c>
      <c r="B705" s="92">
        <v>2.498850991370646</v>
      </c>
    </row>
    <row r="706" spans="1:2" x14ac:dyDescent="0.3">
      <c r="A706" s="1">
        <f t="shared" si="10"/>
        <v>698</v>
      </c>
      <c r="B706" s="92">
        <v>2.5873731161862894</v>
      </c>
    </row>
    <row r="707" spans="1:2" x14ac:dyDescent="0.3">
      <c r="A707" s="1">
        <f t="shared" si="10"/>
        <v>699</v>
      </c>
      <c r="B707" s="92">
        <v>2.1575377371006379</v>
      </c>
    </row>
    <row r="708" spans="1:2" x14ac:dyDescent="0.3">
      <c r="A708" s="1">
        <f t="shared" si="10"/>
        <v>700</v>
      </c>
      <c r="B708" s="92">
        <v>1.9946173925165727</v>
      </c>
    </row>
    <row r="709" spans="1:2" x14ac:dyDescent="0.3">
      <c r="A709" s="1">
        <f t="shared" si="10"/>
        <v>701</v>
      </c>
      <c r="B709" s="92">
        <v>2.6050540298654332</v>
      </c>
    </row>
    <row r="710" spans="1:2" x14ac:dyDescent="0.3">
      <c r="A710" s="1">
        <f t="shared" si="10"/>
        <v>702</v>
      </c>
      <c r="B710" s="92">
        <v>1.8892077494603943</v>
      </c>
    </row>
    <row r="711" spans="1:2" x14ac:dyDescent="0.3">
      <c r="A711" s="1">
        <f t="shared" si="10"/>
        <v>703</v>
      </c>
      <c r="B711" s="92">
        <v>2.2976640536075332</v>
      </c>
    </row>
    <row r="712" spans="1:2" x14ac:dyDescent="0.3">
      <c r="A712" s="1">
        <f t="shared" si="10"/>
        <v>704</v>
      </c>
      <c r="B712" s="92">
        <v>2.2275962600459795</v>
      </c>
    </row>
    <row r="713" spans="1:2" x14ac:dyDescent="0.3">
      <c r="A713" s="1">
        <f t="shared" si="10"/>
        <v>705</v>
      </c>
      <c r="B713" s="92">
        <v>2.2938245743754866</v>
      </c>
    </row>
    <row r="714" spans="1:2" x14ac:dyDescent="0.3">
      <c r="A714" s="1">
        <f t="shared" ref="A714:A777" si="11">ROW()-8</f>
        <v>706</v>
      </c>
      <c r="B714" s="92">
        <v>2.1090621862353056</v>
      </c>
    </row>
    <row r="715" spans="1:2" x14ac:dyDescent="0.3">
      <c r="A715" s="1">
        <f t="shared" si="11"/>
        <v>707</v>
      </c>
      <c r="B715" s="92">
        <v>2.1894810114190824</v>
      </c>
    </row>
    <row r="716" spans="1:2" x14ac:dyDescent="0.3">
      <c r="A716" s="1">
        <f t="shared" si="11"/>
        <v>708</v>
      </c>
      <c r="B716" s="92">
        <v>2.6160882059754171</v>
      </c>
    </row>
    <row r="717" spans="1:2" x14ac:dyDescent="0.3">
      <c r="A717" s="1">
        <f t="shared" si="11"/>
        <v>709</v>
      </c>
      <c r="B717" s="92">
        <v>2.6806623657209308</v>
      </c>
    </row>
    <row r="718" spans="1:2" x14ac:dyDescent="0.3">
      <c r="A718" s="1">
        <f t="shared" si="11"/>
        <v>710</v>
      </c>
      <c r="B718" s="92">
        <v>1.9538936963724698</v>
      </c>
    </row>
    <row r="719" spans="1:2" x14ac:dyDescent="0.3">
      <c r="A719" s="1">
        <f t="shared" si="11"/>
        <v>711</v>
      </c>
      <c r="B719" s="92">
        <v>2.0623153868171538</v>
      </c>
    </row>
    <row r="720" spans="1:2" x14ac:dyDescent="0.3">
      <c r="A720" s="1">
        <f t="shared" si="11"/>
        <v>712</v>
      </c>
      <c r="B720" s="92">
        <v>2.2163073465454852</v>
      </c>
    </row>
    <row r="721" spans="1:2" x14ac:dyDescent="0.3">
      <c r="A721" s="1">
        <f t="shared" si="11"/>
        <v>713</v>
      </c>
      <c r="B721" s="92">
        <v>1.8331187425099507</v>
      </c>
    </row>
    <row r="722" spans="1:2" x14ac:dyDescent="0.3">
      <c r="A722" s="1">
        <f t="shared" si="11"/>
        <v>714</v>
      </c>
      <c r="B722" s="92">
        <v>2.0968272649908259</v>
      </c>
    </row>
    <row r="723" spans="1:2" x14ac:dyDescent="0.3">
      <c r="A723" s="1">
        <f t="shared" si="11"/>
        <v>715</v>
      </c>
      <c r="B723" s="92">
        <v>2.3125774859135135</v>
      </c>
    </row>
    <row r="724" spans="1:2" x14ac:dyDescent="0.3">
      <c r="A724" s="1">
        <f t="shared" si="11"/>
        <v>716</v>
      </c>
      <c r="B724" s="92">
        <v>2.3009658870650855</v>
      </c>
    </row>
    <row r="725" spans="1:2" x14ac:dyDescent="0.3">
      <c r="A725" s="1">
        <f t="shared" si="11"/>
        <v>717</v>
      </c>
      <c r="B725" s="92">
        <v>1.9020915899001114</v>
      </c>
    </row>
    <row r="726" spans="1:2" x14ac:dyDescent="0.3">
      <c r="A726" s="1">
        <f t="shared" si="11"/>
        <v>718</v>
      </c>
      <c r="B726" s="92">
        <v>2.1479952158519708</v>
      </c>
    </row>
    <row r="727" spans="1:2" x14ac:dyDescent="0.3">
      <c r="A727" s="1">
        <f t="shared" si="11"/>
        <v>719</v>
      </c>
      <c r="B727" s="92">
        <v>2.312322348948662</v>
      </c>
    </row>
    <row r="728" spans="1:2" x14ac:dyDescent="0.3">
      <c r="A728" s="1">
        <f t="shared" si="11"/>
        <v>720</v>
      </c>
      <c r="B728" s="92">
        <v>2.4923233321336</v>
      </c>
    </row>
    <row r="729" spans="1:2" x14ac:dyDescent="0.3">
      <c r="A729" s="1">
        <f t="shared" si="11"/>
        <v>721</v>
      </c>
      <c r="B729" s="92">
        <v>2.0989302224816271</v>
      </c>
    </row>
    <row r="730" spans="1:2" x14ac:dyDescent="0.3">
      <c r="A730" s="1">
        <f t="shared" si="11"/>
        <v>722</v>
      </c>
      <c r="B730" s="92">
        <v>1.9996855901969746</v>
      </c>
    </row>
    <row r="731" spans="1:2" x14ac:dyDescent="0.3">
      <c r="A731" s="1">
        <f t="shared" si="11"/>
        <v>723</v>
      </c>
      <c r="B731" s="92">
        <v>2.4546002880375974</v>
      </c>
    </row>
    <row r="732" spans="1:2" x14ac:dyDescent="0.3">
      <c r="A732" s="1">
        <f t="shared" si="11"/>
        <v>724</v>
      </c>
      <c r="B732" s="92">
        <v>2.189165574194635</v>
      </c>
    </row>
    <row r="733" spans="1:2" x14ac:dyDescent="0.3">
      <c r="A733" s="1">
        <f t="shared" si="11"/>
        <v>725</v>
      </c>
      <c r="B733" s="92">
        <v>2.3471592397630516</v>
      </c>
    </row>
    <row r="734" spans="1:2" x14ac:dyDescent="0.3">
      <c r="A734" s="1">
        <f t="shared" si="11"/>
        <v>726</v>
      </c>
      <c r="B734" s="92">
        <v>2.0314683826568958</v>
      </c>
    </row>
    <row r="735" spans="1:2" x14ac:dyDescent="0.3">
      <c r="A735" s="1">
        <f t="shared" si="11"/>
        <v>727</v>
      </c>
      <c r="B735" s="92">
        <v>2.2724691505961094</v>
      </c>
    </row>
    <row r="736" spans="1:2" x14ac:dyDescent="0.3">
      <c r="A736" s="1">
        <f t="shared" si="11"/>
        <v>728</v>
      </c>
      <c r="B736" s="92">
        <v>2.2102072822543155</v>
      </c>
    </row>
    <row r="737" spans="1:2" x14ac:dyDescent="0.3">
      <c r="A737" s="1">
        <f t="shared" si="11"/>
        <v>729</v>
      </c>
      <c r="B737" s="92">
        <v>1.9238384016498089</v>
      </c>
    </row>
    <row r="738" spans="1:2" x14ac:dyDescent="0.3">
      <c r="A738" s="1">
        <f t="shared" si="11"/>
        <v>730</v>
      </c>
      <c r="B738" s="92">
        <v>2.4013623776403175</v>
      </c>
    </row>
    <row r="739" spans="1:2" x14ac:dyDescent="0.3">
      <c r="A739" s="1">
        <f t="shared" si="11"/>
        <v>731</v>
      </c>
      <c r="B739" s="92">
        <v>1.8961128442401607</v>
      </c>
    </row>
    <row r="740" spans="1:2" x14ac:dyDescent="0.3">
      <c r="A740" s="1">
        <f t="shared" si="11"/>
        <v>732</v>
      </c>
      <c r="B740" s="92">
        <v>1.9294660074495606</v>
      </c>
    </row>
    <row r="741" spans="1:2" x14ac:dyDescent="0.3">
      <c r="A741" s="1">
        <f t="shared" si="11"/>
        <v>733</v>
      </c>
      <c r="B741" s="92">
        <v>2.3205038530517323</v>
      </c>
    </row>
    <row r="742" spans="1:2" x14ac:dyDescent="0.3">
      <c r="A742" s="1">
        <f t="shared" si="11"/>
        <v>734</v>
      </c>
      <c r="B742" s="92">
        <v>1.9426078011887795</v>
      </c>
    </row>
    <row r="743" spans="1:2" x14ac:dyDescent="0.3">
      <c r="A743" s="1">
        <f t="shared" si="11"/>
        <v>735</v>
      </c>
      <c r="B743" s="92">
        <v>1.9257380973922074</v>
      </c>
    </row>
    <row r="744" spans="1:2" x14ac:dyDescent="0.3">
      <c r="A744" s="1">
        <f t="shared" si="11"/>
        <v>736</v>
      </c>
      <c r="B744" s="92">
        <v>1.9142822258610408</v>
      </c>
    </row>
    <row r="745" spans="1:2" x14ac:dyDescent="0.3">
      <c r="A745" s="1">
        <f t="shared" si="11"/>
        <v>737</v>
      </c>
      <c r="B745" s="92">
        <v>2.1808167450705902</v>
      </c>
    </row>
    <row r="746" spans="1:2" x14ac:dyDescent="0.3">
      <c r="A746" s="1">
        <f t="shared" si="11"/>
        <v>738</v>
      </c>
      <c r="B746" s="92">
        <v>1.9076122158069133</v>
      </c>
    </row>
    <row r="747" spans="1:2" x14ac:dyDescent="0.3">
      <c r="A747" s="1">
        <f t="shared" si="11"/>
        <v>739</v>
      </c>
      <c r="B747" s="92">
        <v>1.9567209372794501</v>
      </c>
    </row>
    <row r="748" spans="1:2" x14ac:dyDescent="0.3">
      <c r="A748" s="1">
        <f t="shared" si="11"/>
        <v>740</v>
      </c>
      <c r="B748" s="92">
        <v>2.3474414045217453</v>
      </c>
    </row>
    <row r="749" spans="1:2" x14ac:dyDescent="0.3">
      <c r="A749" s="1">
        <f t="shared" si="11"/>
        <v>741</v>
      </c>
      <c r="B749" s="92">
        <v>2.2200741869521505</v>
      </c>
    </row>
    <row r="750" spans="1:2" x14ac:dyDescent="0.3">
      <c r="A750" s="1">
        <f t="shared" si="11"/>
        <v>742</v>
      </c>
      <c r="B750" s="92">
        <v>2.6294486075155357</v>
      </c>
    </row>
    <row r="751" spans="1:2" x14ac:dyDescent="0.3">
      <c r="A751" s="1">
        <f t="shared" si="11"/>
        <v>743</v>
      </c>
      <c r="B751" s="92">
        <v>2.0325572224418988</v>
      </c>
    </row>
    <row r="752" spans="1:2" x14ac:dyDescent="0.3">
      <c r="A752" s="1">
        <f t="shared" si="11"/>
        <v>744</v>
      </c>
      <c r="B752" s="92">
        <v>2.6804998389074663</v>
      </c>
    </row>
    <row r="753" spans="1:2" x14ac:dyDescent="0.3">
      <c r="A753" s="1">
        <f t="shared" si="11"/>
        <v>745</v>
      </c>
      <c r="B753" s="92">
        <v>1.7958959159437253</v>
      </c>
    </row>
    <row r="754" spans="1:2" x14ac:dyDescent="0.3">
      <c r="A754" s="1">
        <f t="shared" si="11"/>
        <v>746</v>
      </c>
      <c r="B754" s="92">
        <v>2.7830682597567513</v>
      </c>
    </row>
    <row r="755" spans="1:2" x14ac:dyDescent="0.3">
      <c r="A755" s="1">
        <f t="shared" si="11"/>
        <v>747</v>
      </c>
      <c r="B755" s="92">
        <v>2.5120310942621096</v>
      </c>
    </row>
    <row r="756" spans="1:2" x14ac:dyDescent="0.3">
      <c r="A756" s="1">
        <f t="shared" si="11"/>
        <v>748</v>
      </c>
      <c r="B756" s="92">
        <v>2.0787252091599675</v>
      </c>
    </row>
    <row r="757" spans="1:2" x14ac:dyDescent="0.3">
      <c r="A757" s="1">
        <f t="shared" si="11"/>
        <v>749</v>
      </c>
      <c r="B757" s="92">
        <v>2.2720868751806358</v>
      </c>
    </row>
    <row r="758" spans="1:2" x14ac:dyDescent="0.3">
      <c r="A758" s="1">
        <f t="shared" si="11"/>
        <v>750</v>
      </c>
      <c r="B758" s="92">
        <v>2.410133668127711</v>
      </c>
    </row>
    <row r="759" spans="1:2" x14ac:dyDescent="0.3">
      <c r="A759" s="1">
        <f t="shared" si="11"/>
        <v>751</v>
      </c>
      <c r="B759" s="92">
        <v>2.1927324720357397</v>
      </c>
    </row>
    <row r="760" spans="1:2" x14ac:dyDescent="0.3">
      <c r="A760" s="1">
        <f t="shared" si="11"/>
        <v>752</v>
      </c>
      <c r="B760" s="92">
        <v>2.1421304780544972</v>
      </c>
    </row>
    <row r="761" spans="1:2" x14ac:dyDescent="0.3">
      <c r="A761" s="1">
        <f t="shared" si="11"/>
        <v>753</v>
      </c>
      <c r="B761" s="92">
        <v>2.1797644044232682</v>
      </c>
    </row>
    <row r="762" spans="1:2" x14ac:dyDescent="0.3">
      <c r="A762" s="1">
        <f t="shared" si="11"/>
        <v>754</v>
      </c>
      <c r="B762" s="92">
        <v>2.0209387305357507</v>
      </c>
    </row>
    <row r="763" spans="1:2" x14ac:dyDescent="0.3">
      <c r="A763" s="1">
        <f t="shared" si="11"/>
        <v>755</v>
      </c>
      <c r="B763" s="92">
        <v>2.0271098004999959</v>
      </c>
    </row>
    <row r="764" spans="1:2" x14ac:dyDescent="0.3">
      <c r="A764" s="1">
        <f t="shared" si="11"/>
        <v>756</v>
      </c>
      <c r="B764" s="92">
        <v>1.8885754394429002</v>
      </c>
    </row>
    <row r="765" spans="1:2" x14ac:dyDescent="0.3">
      <c r="A765" s="1">
        <f t="shared" si="11"/>
        <v>757</v>
      </c>
      <c r="B765" s="92">
        <v>1.9453726811266563</v>
      </c>
    </row>
    <row r="766" spans="1:2" x14ac:dyDescent="0.3">
      <c r="A766" s="1">
        <f t="shared" si="11"/>
        <v>758</v>
      </c>
      <c r="B766" s="92">
        <v>2.1237687939982157</v>
      </c>
    </row>
    <row r="767" spans="1:2" x14ac:dyDescent="0.3">
      <c r="A767" s="1">
        <f t="shared" si="11"/>
        <v>759</v>
      </c>
      <c r="B767" s="92">
        <v>1.9781560624194547</v>
      </c>
    </row>
    <row r="768" spans="1:2" x14ac:dyDescent="0.3">
      <c r="A768" s="1">
        <f t="shared" si="11"/>
        <v>760</v>
      </c>
      <c r="B768" s="92">
        <v>2.3832140274596623</v>
      </c>
    </row>
    <row r="769" spans="1:2" x14ac:dyDescent="0.3">
      <c r="A769" s="1">
        <f t="shared" si="11"/>
        <v>761</v>
      </c>
      <c r="B769" s="92">
        <v>2.7796175355919095</v>
      </c>
    </row>
    <row r="770" spans="1:2" x14ac:dyDescent="0.3">
      <c r="A770" s="1">
        <f t="shared" si="11"/>
        <v>762</v>
      </c>
      <c r="B770" s="92">
        <v>2.1189880597214765</v>
      </c>
    </row>
    <row r="771" spans="1:2" x14ac:dyDescent="0.3">
      <c r="A771" s="1">
        <f t="shared" si="11"/>
        <v>763</v>
      </c>
      <c r="B771" s="92">
        <v>2.1115144333612643</v>
      </c>
    </row>
    <row r="772" spans="1:2" x14ac:dyDescent="0.3">
      <c r="A772" s="1">
        <f t="shared" si="11"/>
        <v>764</v>
      </c>
      <c r="B772" s="92">
        <v>2.5340424152727699</v>
      </c>
    </row>
    <row r="773" spans="1:2" x14ac:dyDescent="0.3">
      <c r="A773" s="1">
        <f t="shared" si="11"/>
        <v>765</v>
      </c>
      <c r="B773" s="92">
        <v>2.323671959014308</v>
      </c>
    </row>
    <row r="774" spans="1:2" x14ac:dyDescent="0.3">
      <c r="A774" s="1">
        <f t="shared" si="11"/>
        <v>766</v>
      </c>
      <c r="B774" s="92">
        <v>2.1210361730430045</v>
      </c>
    </row>
    <row r="775" spans="1:2" x14ac:dyDescent="0.3">
      <c r="A775" s="1">
        <f t="shared" si="11"/>
        <v>767</v>
      </c>
      <c r="B775" s="92">
        <v>1.9234767182950101</v>
      </c>
    </row>
    <row r="776" spans="1:2" x14ac:dyDescent="0.3">
      <c r="A776" s="1">
        <f t="shared" si="11"/>
        <v>768</v>
      </c>
      <c r="B776" s="92">
        <v>2.1299737869074948</v>
      </c>
    </row>
    <row r="777" spans="1:2" x14ac:dyDescent="0.3">
      <c r="A777" s="1">
        <f t="shared" si="11"/>
        <v>769</v>
      </c>
      <c r="B777" s="92">
        <v>2.0359235728362202</v>
      </c>
    </row>
    <row r="778" spans="1:2" x14ac:dyDescent="0.3">
      <c r="A778" s="1">
        <f t="shared" ref="A778:A841" si="12">ROW()-8</f>
        <v>770</v>
      </c>
      <c r="B778" s="92">
        <v>2.1843420627008299</v>
      </c>
    </row>
    <row r="779" spans="1:2" x14ac:dyDescent="0.3">
      <c r="A779" s="1">
        <f t="shared" si="12"/>
        <v>771</v>
      </c>
      <c r="B779" s="92">
        <v>1.9891075834854126</v>
      </c>
    </row>
    <row r="780" spans="1:2" x14ac:dyDescent="0.3">
      <c r="A780" s="1">
        <f t="shared" si="12"/>
        <v>772</v>
      </c>
      <c r="B780" s="92">
        <v>2.4749833160197343</v>
      </c>
    </row>
    <row r="781" spans="1:2" x14ac:dyDescent="0.3">
      <c r="A781" s="1">
        <f t="shared" si="12"/>
        <v>773</v>
      </c>
      <c r="B781" s="92">
        <v>2.2487880148890373</v>
      </c>
    </row>
    <row r="782" spans="1:2" x14ac:dyDescent="0.3">
      <c r="A782" s="1">
        <f t="shared" si="12"/>
        <v>774</v>
      </c>
      <c r="B782" s="92">
        <v>2.0749947791989478</v>
      </c>
    </row>
    <row r="783" spans="1:2" x14ac:dyDescent="0.3">
      <c r="A783" s="1">
        <f t="shared" si="12"/>
        <v>775</v>
      </c>
      <c r="B783" s="92">
        <v>2.3026573941467476</v>
      </c>
    </row>
    <row r="784" spans="1:2" x14ac:dyDescent="0.3">
      <c r="A784" s="1">
        <f t="shared" si="12"/>
        <v>776</v>
      </c>
      <c r="B784" s="92">
        <v>2.3736616983181773</v>
      </c>
    </row>
    <row r="785" spans="1:2" x14ac:dyDescent="0.3">
      <c r="A785" s="1">
        <f t="shared" si="12"/>
        <v>777</v>
      </c>
      <c r="B785" s="92">
        <v>2.0429764917093385</v>
      </c>
    </row>
    <row r="786" spans="1:2" x14ac:dyDescent="0.3">
      <c r="A786" s="1">
        <f t="shared" si="12"/>
        <v>778</v>
      </c>
      <c r="B786" s="92">
        <v>1.8873674656757318</v>
      </c>
    </row>
    <row r="787" spans="1:2" x14ac:dyDescent="0.3">
      <c r="A787" s="1">
        <f t="shared" si="12"/>
        <v>779</v>
      </c>
      <c r="B787" s="92">
        <v>2.1131426779685758</v>
      </c>
    </row>
    <row r="788" spans="1:2" x14ac:dyDescent="0.3">
      <c r="A788" s="1">
        <f t="shared" si="12"/>
        <v>780</v>
      </c>
      <c r="B788" s="92">
        <v>1.8825757243759338</v>
      </c>
    </row>
    <row r="789" spans="1:2" x14ac:dyDescent="0.3">
      <c r="A789" s="1">
        <f t="shared" si="12"/>
        <v>781</v>
      </c>
      <c r="B789" s="92">
        <v>2.0226622584422018</v>
      </c>
    </row>
    <row r="790" spans="1:2" x14ac:dyDescent="0.3">
      <c r="A790" s="1">
        <f t="shared" si="12"/>
        <v>782</v>
      </c>
      <c r="B790" s="92">
        <v>2.0658486215424925</v>
      </c>
    </row>
    <row r="791" spans="1:2" x14ac:dyDescent="0.3">
      <c r="A791" s="1">
        <f t="shared" si="12"/>
        <v>783</v>
      </c>
      <c r="B791" s="92">
        <v>1.8056614731399971</v>
      </c>
    </row>
    <row r="792" spans="1:2" x14ac:dyDescent="0.3">
      <c r="A792" s="1">
        <f t="shared" si="12"/>
        <v>784</v>
      </c>
      <c r="B792" s="92">
        <v>1.9814443700823035</v>
      </c>
    </row>
    <row r="793" spans="1:2" x14ac:dyDescent="0.3">
      <c r="A793" s="1">
        <f t="shared" si="12"/>
        <v>785</v>
      </c>
      <c r="B793" s="92">
        <v>2.2338396728772931</v>
      </c>
    </row>
    <row r="794" spans="1:2" x14ac:dyDescent="0.3">
      <c r="A794" s="1">
        <f t="shared" si="12"/>
        <v>786</v>
      </c>
      <c r="B794" s="92">
        <v>2.3237901588039245</v>
      </c>
    </row>
    <row r="795" spans="1:2" x14ac:dyDescent="0.3">
      <c r="A795" s="1">
        <f t="shared" si="12"/>
        <v>787</v>
      </c>
      <c r="B795" s="92">
        <v>2.1018092277884342</v>
      </c>
    </row>
    <row r="796" spans="1:2" x14ac:dyDescent="0.3">
      <c r="A796" s="1">
        <f t="shared" si="12"/>
        <v>788</v>
      </c>
      <c r="B796" s="92">
        <v>1.8818272446021329</v>
      </c>
    </row>
    <row r="797" spans="1:2" x14ac:dyDescent="0.3">
      <c r="A797" s="1">
        <f t="shared" si="12"/>
        <v>789</v>
      </c>
      <c r="B797" s="92">
        <v>2.1723461804052251</v>
      </c>
    </row>
    <row r="798" spans="1:2" x14ac:dyDescent="0.3">
      <c r="A798" s="1">
        <f t="shared" si="12"/>
        <v>790</v>
      </c>
      <c r="B798" s="92">
        <v>2.2798162587045625</v>
      </c>
    </row>
    <row r="799" spans="1:2" x14ac:dyDescent="0.3">
      <c r="A799" s="1">
        <f t="shared" si="12"/>
        <v>791</v>
      </c>
      <c r="B799" s="92">
        <v>2.2578713184932204</v>
      </c>
    </row>
    <row r="800" spans="1:2" x14ac:dyDescent="0.3">
      <c r="A800" s="1">
        <f t="shared" si="12"/>
        <v>792</v>
      </c>
      <c r="B800" s="92">
        <v>2.1898410293023409</v>
      </c>
    </row>
    <row r="801" spans="1:2" x14ac:dyDescent="0.3">
      <c r="A801" s="1">
        <f t="shared" si="12"/>
        <v>793</v>
      </c>
      <c r="B801" s="92">
        <v>1.957268761829239</v>
      </c>
    </row>
    <row r="802" spans="1:2" x14ac:dyDescent="0.3">
      <c r="A802" s="1">
        <f t="shared" si="12"/>
        <v>794</v>
      </c>
      <c r="B802" s="92">
        <v>2.339936756001856</v>
      </c>
    </row>
    <row r="803" spans="1:2" x14ac:dyDescent="0.3">
      <c r="A803" s="1">
        <f t="shared" si="12"/>
        <v>795</v>
      </c>
      <c r="B803" s="92">
        <v>2.1403930281990169</v>
      </c>
    </row>
    <row r="804" spans="1:2" x14ac:dyDescent="0.3">
      <c r="A804" s="1">
        <f t="shared" si="12"/>
        <v>796</v>
      </c>
      <c r="B804" s="92">
        <v>2.1506846003440625</v>
      </c>
    </row>
    <row r="805" spans="1:2" x14ac:dyDescent="0.3">
      <c r="A805" s="1">
        <f t="shared" si="12"/>
        <v>797</v>
      </c>
      <c r="B805" s="92">
        <v>2.5083176483350642</v>
      </c>
    </row>
    <row r="806" spans="1:2" x14ac:dyDescent="0.3">
      <c r="A806" s="1">
        <f t="shared" si="12"/>
        <v>798</v>
      </c>
      <c r="B806" s="92">
        <v>1.8100358723591454</v>
      </c>
    </row>
    <row r="807" spans="1:2" x14ac:dyDescent="0.3">
      <c r="A807" s="1">
        <f t="shared" si="12"/>
        <v>799</v>
      </c>
      <c r="B807" s="92">
        <v>2.3199090151807527</v>
      </c>
    </row>
    <row r="808" spans="1:2" x14ac:dyDescent="0.3">
      <c r="A808" s="1">
        <f t="shared" si="12"/>
        <v>800</v>
      </c>
      <c r="B808" s="92">
        <v>2.4452391002368143</v>
      </c>
    </row>
    <row r="809" spans="1:2" x14ac:dyDescent="0.3">
      <c r="A809" s="1">
        <f t="shared" si="12"/>
        <v>801</v>
      </c>
      <c r="B809" s="92">
        <v>1.9755725586411086</v>
      </c>
    </row>
    <row r="810" spans="1:2" x14ac:dyDescent="0.3">
      <c r="A810" s="1">
        <f t="shared" si="12"/>
        <v>802</v>
      </c>
      <c r="B810" s="92">
        <v>1.9694316841235862</v>
      </c>
    </row>
    <row r="811" spans="1:2" x14ac:dyDescent="0.3">
      <c r="A811" s="1">
        <f t="shared" si="12"/>
        <v>803</v>
      </c>
      <c r="B811" s="92">
        <v>1.9188566079428546</v>
      </c>
    </row>
    <row r="812" spans="1:2" x14ac:dyDescent="0.3">
      <c r="A812" s="1">
        <f t="shared" si="12"/>
        <v>804</v>
      </c>
      <c r="B812" s="92">
        <v>2.1144541962027379</v>
      </c>
    </row>
    <row r="813" spans="1:2" x14ac:dyDescent="0.3">
      <c r="A813" s="1">
        <f t="shared" si="12"/>
        <v>805</v>
      </c>
      <c r="B813" s="92">
        <v>1.826278829671337</v>
      </c>
    </row>
    <row r="814" spans="1:2" x14ac:dyDescent="0.3">
      <c r="A814" s="1">
        <f t="shared" si="12"/>
        <v>806</v>
      </c>
      <c r="B814" s="92">
        <v>1.9265318274494658</v>
      </c>
    </row>
    <row r="815" spans="1:2" x14ac:dyDescent="0.3">
      <c r="A815" s="1">
        <f t="shared" si="12"/>
        <v>807</v>
      </c>
      <c r="B815" s="92">
        <v>1.7970968201626378</v>
      </c>
    </row>
    <row r="816" spans="1:2" x14ac:dyDescent="0.3">
      <c r="A816" s="1">
        <f t="shared" si="12"/>
        <v>808</v>
      </c>
      <c r="B816" s="92">
        <v>2.6954288361833276</v>
      </c>
    </row>
    <row r="817" spans="1:2" x14ac:dyDescent="0.3">
      <c r="A817" s="1">
        <f t="shared" si="12"/>
        <v>809</v>
      </c>
      <c r="B817" s="92">
        <v>2.416960614028568</v>
      </c>
    </row>
    <row r="818" spans="1:2" x14ac:dyDescent="0.3">
      <c r="A818" s="1">
        <f t="shared" si="12"/>
        <v>810</v>
      </c>
      <c r="B818" s="92">
        <v>2.1355452163419648</v>
      </c>
    </row>
    <row r="819" spans="1:2" x14ac:dyDescent="0.3">
      <c r="A819" s="1">
        <f t="shared" si="12"/>
        <v>811</v>
      </c>
      <c r="B819" s="92">
        <v>1.83884198060309</v>
      </c>
    </row>
    <row r="820" spans="1:2" x14ac:dyDescent="0.3">
      <c r="A820" s="1">
        <f t="shared" si="12"/>
        <v>812</v>
      </c>
      <c r="B820" s="92">
        <v>2.4339451134918257</v>
      </c>
    </row>
    <row r="821" spans="1:2" x14ac:dyDescent="0.3">
      <c r="A821" s="1">
        <f t="shared" si="12"/>
        <v>813</v>
      </c>
      <c r="B821" s="92">
        <v>1.9751469264114261</v>
      </c>
    </row>
    <row r="822" spans="1:2" x14ac:dyDescent="0.3">
      <c r="A822" s="1">
        <f t="shared" si="12"/>
        <v>814</v>
      </c>
      <c r="B822" s="92">
        <v>1.8360260427532777</v>
      </c>
    </row>
    <row r="823" spans="1:2" x14ac:dyDescent="0.3">
      <c r="A823" s="1">
        <f t="shared" si="12"/>
        <v>815</v>
      </c>
      <c r="B823" s="92">
        <v>1.8832222475089353</v>
      </c>
    </row>
    <row r="824" spans="1:2" x14ac:dyDescent="0.3">
      <c r="A824" s="1">
        <f t="shared" si="12"/>
        <v>816</v>
      </c>
      <c r="B824" s="92">
        <v>2.2162417531066789</v>
      </c>
    </row>
    <row r="825" spans="1:2" x14ac:dyDescent="0.3">
      <c r="A825" s="1">
        <f t="shared" si="12"/>
        <v>817</v>
      </c>
      <c r="B825" s="92">
        <v>2.2347334779944288</v>
      </c>
    </row>
    <row r="826" spans="1:2" x14ac:dyDescent="0.3">
      <c r="A826" s="1">
        <f t="shared" si="12"/>
        <v>818</v>
      </c>
      <c r="B826" s="92">
        <v>2.012836310253447</v>
      </c>
    </row>
    <row r="827" spans="1:2" x14ac:dyDescent="0.3">
      <c r="A827" s="1">
        <f t="shared" si="12"/>
        <v>819</v>
      </c>
      <c r="B827" s="92">
        <v>1.9554713733817146</v>
      </c>
    </row>
    <row r="828" spans="1:2" x14ac:dyDescent="0.3">
      <c r="A828" s="1">
        <f t="shared" si="12"/>
        <v>820</v>
      </c>
      <c r="B828" s="92">
        <v>1.7508966767437144</v>
      </c>
    </row>
    <row r="829" spans="1:2" x14ac:dyDescent="0.3">
      <c r="A829" s="1">
        <f t="shared" si="12"/>
        <v>821</v>
      </c>
      <c r="B829" s="92">
        <v>1.9098742063454981</v>
      </c>
    </row>
    <row r="830" spans="1:2" x14ac:dyDescent="0.3">
      <c r="A830" s="1">
        <f t="shared" si="12"/>
        <v>822</v>
      </c>
      <c r="B830" s="92">
        <v>2.1304002987734427</v>
      </c>
    </row>
    <row r="831" spans="1:2" x14ac:dyDescent="0.3">
      <c r="A831" s="1">
        <f t="shared" si="12"/>
        <v>823</v>
      </c>
      <c r="B831" s="92">
        <v>2.1612236175344215</v>
      </c>
    </row>
    <row r="832" spans="1:2" x14ac:dyDescent="0.3">
      <c r="A832" s="1">
        <f t="shared" si="12"/>
        <v>824</v>
      </c>
      <c r="B832" s="92">
        <v>2.5847034493936061</v>
      </c>
    </row>
    <row r="833" spans="1:2" x14ac:dyDescent="0.3">
      <c r="A833" s="1">
        <f t="shared" si="12"/>
        <v>825</v>
      </c>
      <c r="B833" s="92">
        <v>1.7367640393338084</v>
      </c>
    </row>
    <row r="834" spans="1:2" x14ac:dyDescent="0.3">
      <c r="A834" s="1">
        <f t="shared" si="12"/>
        <v>826</v>
      </c>
      <c r="B834" s="92">
        <v>2.4179108247910888</v>
      </c>
    </row>
    <row r="835" spans="1:2" x14ac:dyDescent="0.3">
      <c r="A835" s="1">
        <f t="shared" si="12"/>
        <v>827</v>
      </c>
      <c r="B835" s="92">
        <v>2.0704721275533844</v>
      </c>
    </row>
    <row r="836" spans="1:2" x14ac:dyDescent="0.3">
      <c r="A836" s="1">
        <f t="shared" si="12"/>
        <v>828</v>
      </c>
      <c r="B836" s="92">
        <v>2.2929044418293723</v>
      </c>
    </row>
    <row r="837" spans="1:2" x14ac:dyDescent="0.3">
      <c r="A837" s="1">
        <f t="shared" si="12"/>
        <v>829</v>
      </c>
      <c r="B837" s="92">
        <v>1.9973640671275661</v>
      </c>
    </row>
    <row r="838" spans="1:2" x14ac:dyDescent="0.3">
      <c r="A838" s="1">
        <f t="shared" si="12"/>
        <v>830</v>
      </c>
      <c r="B838" s="92">
        <v>1.8902390670646596</v>
      </c>
    </row>
    <row r="839" spans="1:2" x14ac:dyDescent="0.3">
      <c r="A839" s="1">
        <f t="shared" si="12"/>
        <v>831</v>
      </c>
      <c r="B839" s="92">
        <v>2.3233782020680711</v>
      </c>
    </row>
    <row r="840" spans="1:2" x14ac:dyDescent="0.3">
      <c r="A840" s="1">
        <f t="shared" si="12"/>
        <v>832</v>
      </c>
      <c r="B840" s="92">
        <v>1.8859010815752133</v>
      </c>
    </row>
    <row r="841" spans="1:2" x14ac:dyDescent="0.3">
      <c r="A841" s="1">
        <f t="shared" si="12"/>
        <v>833</v>
      </c>
      <c r="B841" s="92">
        <v>1.9531216593520071</v>
      </c>
    </row>
    <row r="842" spans="1:2" x14ac:dyDescent="0.3">
      <c r="A842" s="1">
        <f t="shared" ref="A842:A905" si="13">ROW()-8</f>
        <v>834</v>
      </c>
      <c r="B842" s="92">
        <v>1.9441452304141051</v>
      </c>
    </row>
    <row r="843" spans="1:2" x14ac:dyDescent="0.3">
      <c r="A843" s="1">
        <f t="shared" si="13"/>
        <v>835</v>
      </c>
      <c r="B843" s="92">
        <v>2.1368634112994882</v>
      </c>
    </row>
    <row r="844" spans="1:2" x14ac:dyDescent="0.3">
      <c r="A844" s="1">
        <f t="shared" si="13"/>
        <v>836</v>
      </c>
      <c r="B844" s="92">
        <v>2.4568080232933527</v>
      </c>
    </row>
    <row r="845" spans="1:2" x14ac:dyDescent="0.3">
      <c r="A845" s="1">
        <f t="shared" si="13"/>
        <v>837</v>
      </c>
      <c r="B845" s="92">
        <v>2.1172168470271884</v>
      </c>
    </row>
    <row r="846" spans="1:2" x14ac:dyDescent="0.3">
      <c r="A846" s="1">
        <f t="shared" si="13"/>
        <v>838</v>
      </c>
      <c r="B846" s="92">
        <v>2.1675715066936969</v>
      </c>
    </row>
    <row r="847" spans="1:2" x14ac:dyDescent="0.3">
      <c r="A847" s="1">
        <f t="shared" si="13"/>
        <v>839</v>
      </c>
      <c r="B847" s="92">
        <v>2.3062027330013195</v>
      </c>
    </row>
    <row r="848" spans="1:2" x14ac:dyDescent="0.3">
      <c r="A848" s="1">
        <f t="shared" si="13"/>
        <v>840</v>
      </c>
      <c r="B848" s="92">
        <v>2.0848024785635424</v>
      </c>
    </row>
    <row r="849" spans="1:2" x14ac:dyDescent="0.3">
      <c r="A849" s="1">
        <f t="shared" si="13"/>
        <v>841</v>
      </c>
      <c r="B849" s="92">
        <v>2.1506409931320638</v>
      </c>
    </row>
    <row r="850" spans="1:2" x14ac:dyDescent="0.3">
      <c r="A850" s="1">
        <f t="shared" si="13"/>
        <v>842</v>
      </c>
      <c r="B850" s="92">
        <v>2.3128035530340343</v>
      </c>
    </row>
    <row r="851" spans="1:2" x14ac:dyDescent="0.3">
      <c r="A851" s="1">
        <f t="shared" si="13"/>
        <v>843</v>
      </c>
      <c r="B851" s="92">
        <v>2.3349331775709312</v>
      </c>
    </row>
    <row r="852" spans="1:2" x14ac:dyDescent="0.3">
      <c r="A852" s="1">
        <f t="shared" si="13"/>
        <v>844</v>
      </c>
      <c r="B852" s="92">
        <v>2.0715987388140693</v>
      </c>
    </row>
    <row r="853" spans="1:2" x14ac:dyDescent="0.3">
      <c r="A853" s="1">
        <f t="shared" si="13"/>
        <v>845</v>
      </c>
      <c r="B853" s="92">
        <v>1.6109065762806003</v>
      </c>
    </row>
    <row r="854" spans="1:2" x14ac:dyDescent="0.3">
      <c r="A854" s="1">
        <f t="shared" si="13"/>
        <v>846</v>
      </c>
      <c r="B854" s="92">
        <v>2.5924707644919724</v>
      </c>
    </row>
    <row r="855" spans="1:2" x14ac:dyDescent="0.3">
      <c r="A855" s="1">
        <f t="shared" si="13"/>
        <v>847</v>
      </c>
      <c r="B855" s="92">
        <v>2.1004713476008003</v>
      </c>
    </row>
    <row r="856" spans="1:2" x14ac:dyDescent="0.3">
      <c r="A856" s="1">
        <f t="shared" si="13"/>
        <v>848</v>
      </c>
      <c r="B856" s="92">
        <v>1.9543823378900969</v>
      </c>
    </row>
    <row r="857" spans="1:2" x14ac:dyDescent="0.3">
      <c r="A857" s="1">
        <f t="shared" si="13"/>
        <v>849</v>
      </c>
      <c r="B857" s="92">
        <v>1.5981817289067766</v>
      </c>
    </row>
    <row r="858" spans="1:2" x14ac:dyDescent="0.3">
      <c r="A858" s="1">
        <f t="shared" si="13"/>
        <v>850</v>
      </c>
      <c r="B858" s="92">
        <v>2.136933257946839</v>
      </c>
    </row>
    <row r="859" spans="1:2" x14ac:dyDescent="0.3">
      <c r="A859" s="1">
        <f t="shared" si="13"/>
        <v>851</v>
      </c>
      <c r="B859" s="92">
        <v>2.1237796898445307</v>
      </c>
    </row>
    <row r="860" spans="1:2" x14ac:dyDescent="0.3">
      <c r="A860" s="1">
        <f t="shared" si="13"/>
        <v>852</v>
      </c>
      <c r="B860" s="92">
        <v>1.6321926444016961</v>
      </c>
    </row>
    <row r="861" spans="1:2" x14ac:dyDescent="0.3">
      <c r="A861" s="1">
        <f t="shared" si="13"/>
        <v>853</v>
      </c>
      <c r="B861" s="92">
        <v>2.2898989019849849</v>
      </c>
    </row>
    <row r="862" spans="1:2" x14ac:dyDescent="0.3">
      <c r="A862" s="1">
        <f t="shared" si="13"/>
        <v>854</v>
      </c>
      <c r="B862" s="92">
        <v>2.2992388532796899</v>
      </c>
    </row>
    <row r="863" spans="1:2" x14ac:dyDescent="0.3">
      <c r="A863" s="1">
        <f t="shared" si="13"/>
        <v>855</v>
      </c>
      <c r="B863" s="92">
        <v>2.070657955246979</v>
      </c>
    </row>
    <row r="864" spans="1:2" x14ac:dyDescent="0.3">
      <c r="A864" s="1">
        <f t="shared" si="13"/>
        <v>856</v>
      </c>
      <c r="B864" s="92">
        <v>2.8033826921175096</v>
      </c>
    </row>
    <row r="865" spans="1:2" x14ac:dyDescent="0.3">
      <c r="A865" s="1">
        <f t="shared" si="13"/>
        <v>857</v>
      </c>
      <c r="B865" s="92">
        <v>2.3642894097598948</v>
      </c>
    </row>
    <row r="866" spans="1:2" x14ac:dyDescent="0.3">
      <c r="A866" s="1">
        <f t="shared" si="13"/>
        <v>858</v>
      </c>
      <c r="B866" s="92">
        <v>1.8362585836155585</v>
      </c>
    </row>
    <row r="867" spans="1:2" x14ac:dyDescent="0.3">
      <c r="A867" s="1">
        <f t="shared" si="13"/>
        <v>859</v>
      </c>
      <c r="B867" s="92">
        <v>2.2141981957500834</v>
      </c>
    </row>
    <row r="868" spans="1:2" x14ac:dyDescent="0.3">
      <c r="A868" s="1">
        <f t="shared" si="13"/>
        <v>860</v>
      </c>
      <c r="B868" s="92">
        <v>2.1315720479768538</v>
      </c>
    </row>
    <row r="869" spans="1:2" x14ac:dyDescent="0.3">
      <c r="A869" s="1">
        <f t="shared" si="13"/>
        <v>861</v>
      </c>
      <c r="B869" s="92">
        <v>2.0410955534996216</v>
      </c>
    </row>
    <row r="870" spans="1:2" x14ac:dyDescent="0.3">
      <c r="A870" s="1">
        <f t="shared" si="13"/>
        <v>862</v>
      </c>
      <c r="B870" s="92">
        <v>1.7842497524912062</v>
      </c>
    </row>
    <row r="871" spans="1:2" x14ac:dyDescent="0.3">
      <c r="A871" s="1">
        <f t="shared" si="13"/>
        <v>863</v>
      </c>
      <c r="B871" s="92">
        <v>1.6897880028718635</v>
      </c>
    </row>
    <row r="872" spans="1:2" x14ac:dyDescent="0.3">
      <c r="A872" s="1">
        <f t="shared" si="13"/>
        <v>864</v>
      </c>
      <c r="B872" s="92">
        <v>2.1462311924168191</v>
      </c>
    </row>
    <row r="873" spans="1:2" x14ac:dyDescent="0.3">
      <c r="A873" s="1">
        <f t="shared" si="13"/>
        <v>865</v>
      </c>
      <c r="B873" s="92">
        <v>2.0616676642196925</v>
      </c>
    </row>
    <row r="874" spans="1:2" x14ac:dyDescent="0.3">
      <c r="A874" s="1">
        <f t="shared" si="13"/>
        <v>866</v>
      </c>
      <c r="B874" s="92">
        <v>1.9196441331827079</v>
      </c>
    </row>
    <row r="875" spans="1:2" x14ac:dyDescent="0.3">
      <c r="A875" s="1">
        <f t="shared" si="13"/>
        <v>867</v>
      </c>
      <c r="B875" s="92">
        <v>2.255576266926564</v>
      </c>
    </row>
    <row r="876" spans="1:2" x14ac:dyDescent="0.3">
      <c r="A876" s="1">
        <f t="shared" si="13"/>
        <v>868</v>
      </c>
      <c r="B876" s="92">
        <v>2.4271138824717151</v>
      </c>
    </row>
    <row r="877" spans="1:2" x14ac:dyDescent="0.3">
      <c r="A877" s="1">
        <f t="shared" si="13"/>
        <v>869</v>
      </c>
      <c r="B877" s="92">
        <v>2.034411857407068</v>
      </c>
    </row>
    <row r="878" spans="1:2" x14ac:dyDescent="0.3">
      <c r="A878" s="1">
        <f t="shared" si="13"/>
        <v>870</v>
      </c>
      <c r="B878" s="92">
        <v>2.2254343280226561</v>
      </c>
    </row>
    <row r="879" spans="1:2" x14ac:dyDescent="0.3">
      <c r="A879" s="1">
        <f t="shared" si="13"/>
        <v>871</v>
      </c>
      <c r="B879" s="92">
        <v>2.3570383922952596</v>
      </c>
    </row>
    <row r="880" spans="1:2" x14ac:dyDescent="0.3">
      <c r="A880" s="1">
        <f t="shared" si="13"/>
        <v>872</v>
      </c>
      <c r="B880" s="92">
        <v>2.163982092847291</v>
      </c>
    </row>
    <row r="881" spans="1:2" x14ac:dyDescent="0.3">
      <c r="A881" s="1">
        <f t="shared" si="13"/>
        <v>873</v>
      </c>
      <c r="B881" s="92">
        <v>2.0942072794831619</v>
      </c>
    </row>
    <row r="882" spans="1:2" x14ac:dyDescent="0.3">
      <c r="A882" s="1">
        <f t="shared" si="13"/>
        <v>874</v>
      </c>
      <c r="B882" s="92">
        <v>2.4064039259739962</v>
      </c>
    </row>
    <row r="883" spans="1:2" x14ac:dyDescent="0.3">
      <c r="A883" s="1">
        <f t="shared" si="13"/>
        <v>875</v>
      </c>
      <c r="B883" s="92">
        <v>2.1576105226740414</v>
      </c>
    </row>
    <row r="884" spans="1:2" x14ac:dyDescent="0.3">
      <c r="A884" s="1">
        <f t="shared" si="13"/>
        <v>876</v>
      </c>
      <c r="B884" s="92">
        <v>2.0681242524563559</v>
      </c>
    </row>
    <row r="885" spans="1:2" x14ac:dyDescent="0.3">
      <c r="A885" s="1">
        <f t="shared" si="13"/>
        <v>877</v>
      </c>
      <c r="B885" s="92">
        <v>2.3820207720551818</v>
      </c>
    </row>
    <row r="886" spans="1:2" x14ac:dyDescent="0.3">
      <c r="A886" s="1">
        <f t="shared" si="13"/>
        <v>878</v>
      </c>
      <c r="B886" s="92">
        <v>2.1575557717516034</v>
      </c>
    </row>
    <row r="887" spans="1:2" x14ac:dyDescent="0.3">
      <c r="A887" s="1">
        <f t="shared" si="13"/>
        <v>879</v>
      </c>
      <c r="B887" s="92">
        <v>2.500269085847866</v>
      </c>
    </row>
    <row r="888" spans="1:2" x14ac:dyDescent="0.3">
      <c r="A888" s="1">
        <f t="shared" si="13"/>
        <v>880</v>
      </c>
      <c r="B888" s="92">
        <v>2.1040746873544194</v>
      </c>
    </row>
    <row r="889" spans="1:2" x14ac:dyDescent="0.3">
      <c r="A889" s="1">
        <f t="shared" si="13"/>
        <v>881</v>
      </c>
      <c r="B889" s="92">
        <v>2.0381839988918835</v>
      </c>
    </row>
    <row r="890" spans="1:2" x14ac:dyDescent="0.3">
      <c r="A890" s="1">
        <f t="shared" si="13"/>
        <v>882</v>
      </c>
      <c r="B890" s="92">
        <v>2.0558288983725652</v>
      </c>
    </row>
    <row r="891" spans="1:2" x14ac:dyDescent="0.3">
      <c r="A891" s="1">
        <f t="shared" si="13"/>
        <v>883</v>
      </c>
      <c r="B891" s="92">
        <v>1.8624197168108771</v>
      </c>
    </row>
    <row r="892" spans="1:2" x14ac:dyDescent="0.3">
      <c r="A892" s="1">
        <f t="shared" si="13"/>
        <v>884</v>
      </c>
      <c r="B892" s="92">
        <v>1.9658813702155697</v>
      </c>
    </row>
    <row r="893" spans="1:2" x14ac:dyDescent="0.3">
      <c r="A893" s="1">
        <f t="shared" si="13"/>
        <v>885</v>
      </c>
      <c r="B893" s="92">
        <v>2.281368687747948</v>
      </c>
    </row>
    <row r="894" spans="1:2" x14ac:dyDescent="0.3">
      <c r="A894" s="1">
        <f t="shared" si="13"/>
        <v>886</v>
      </c>
      <c r="B894" s="92">
        <v>1.9496249571167317</v>
      </c>
    </row>
    <row r="895" spans="1:2" x14ac:dyDescent="0.3">
      <c r="A895" s="1">
        <f t="shared" si="13"/>
        <v>887</v>
      </c>
      <c r="B895" s="92">
        <v>2.0138188964377037</v>
      </c>
    </row>
    <row r="896" spans="1:2" x14ac:dyDescent="0.3">
      <c r="A896" s="1">
        <f t="shared" si="13"/>
        <v>888</v>
      </c>
      <c r="B896" s="92">
        <v>2.3651922604512183</v>
      </c>
    </row>
    <row r="897" spans="1:2" x14ac:dyDescent="0.3">
      <c r="A897" s="1">
        <f t="shared" si="13"/>
        <v>889</v>
      </c>
      <c r="B897" s="92">
        <v>2.3595181805152601</v>
      </c>
    </row>
    <row r="898" spans="1:2" x14ac:dyDescent="0.3">
      <c r="A898" s="1">
        <f t="shared" si="13"/>
        <v>890</v>
      </c>
      <c r="B898" s="92">
        <v>2.2389412266742532</v>
      </c>
    </row>
    <row r="899" spans="1:2" x14ac:dyDescent="0.3">
      <c r="A899" s="1">
        <f t="shared" si="13"/>
        <v>891</v>
      </c>
      <c r="B899" s="92">
        <v>2.4793374045592653</v>
      </c>
    </row>
    <row r="900" spans="1:2" x14ac:dyDescent="0.3">
      <c r="A900" s="1">
        <f t="shared" si="13"/>
        <v>892</v>
      </c>
      <c r="B900" s="92">
        <v>1.851374951201304</v>
      </c>
    </row>
    <row r="901" spans="1:2" x14ac:dyDescent="0.3">
      <c r="A901" s="1">
        <f t="shared" si="13"/>
        <v>893</v>
      </c>
      <c r="B901" s="92">
        <v>1.7182496602647703</v>
      </c>
    </row>
    <row r="902" spans="1:2" x14ac:dyDescent="0.3">
      <c r="A902" s="1">
        <f t="shared" si="13"/>
        <v>894</v>
      </c>
      <c r="B902" s="92">
        <v>2.1418908017041747</v>
      </c>
    </row>
    <row r="903" spans="1:2" x14ac:dyDescent="0.3">
      <c r="A903" s="1">
        <f t="shared" si="13"/>
        <v>895</v>
      </c>
      <c r="B903" s="92">
        <v>1.798282871823722</v>
      </c>
    </row>
    <row r="904" spans="1:2" x14ac:dyDescent="0.3">
      <c r="A904" s="1">
        <f t="shared" si="13"/>
        <v>896</v>
      </c>
      <c r="B904" s="92">
        <v>1.9154494546431549</v>
      </c>
    </row>
    <row r="905" spans="1:2" x14ac:dyDescent="0.3">
      <c r="A905" s="1">
        <f t="shared" si="13"/>
        <v>897</v>
      </c>
      <c r="B905" s="92">
        <v>1.8134604226106872</v>
      </c>
    </row>
    <row r="906" spans="1:2" x14ac:dyDescent="0.3">
      <c r="A906" s="1">
        <f t="shared" ref="A906:A969" si="14">ROW()-8</f>
        <v>898</v>
      </c>
      <c r="B906" s="92">
        <v>1.8412939536541968</v>
      </c>
    </row>
    <row r="907" spans="1:2" x14ac:dyDescent="0.3">
      <c r="A907" s="1">
        <f t="shared" si="14"/>
        <v>899</v>
      </c>
      <c r="B907" s="92">
        <v>1.8104676250855043</v>
      </c>
    </row>
    <row r="908" spans="1:2" x14ac:dyDescent="0.3">
      <c r="A908" s="1">
        <f t="shared" si="14"/>
        <v>900</v>
      </c>
      <c r="B908" s="92">
        <v>2.1509774674483828</v>
      </c>
    </row>
    <row r="909" spans="1:2" x14ac:dyDescent="0.3">
      <c r="A909" s="1">
        <f t="shared" si="14"/>
        <v>901</v>
      </c>
      <c r="B909" s="92">
        <v>2.6628163394520112</v>
      </c>
    </row>
    <row r="910" spans="1:2" x14ac:dyDescent="0.3">
      <c r="A910" s="1">
        <f t="shared" si="14"/>
        <v>902</v>
      </c>
      <c r="B910" s="92">
        <v>2.2301090344092644</v>
      </c>
    </row>
    <row r="911" spans="1:2" x14ac:dyDescent="0.3">
      <c r="A911" s="1">
        <f t="shared" si="14"/>
        <v>903</v>
      </c>
      <c r="B911" s="92">
        <v>2.340599798526652</v>
      </c>
    </row>
    <row r="912" spans="1:2" x14ac:dyDescent="0.3">
      <c r="A912" s="1">
        <f t="shared" si="14"/>
        <v>904</v>
      </c>
      <c r="B912" s="92">
        <v>2.1456687708732245</v>
      </c>
    </row>
    <row r="913" spans="1:2" x14ac:dyDescent="0.3">
      <c r="A913" s="1">
        <f t="shared" si="14"/>
        <v>905</v>
      </c>
      <c r="B913" s="92">
        <v>1.7836383710196835</v>
      </c>
    </row>
    <row r="914" spans="1:2" x14ac:dyDescent="0.3">
      <c r="A914" s="1">
        <f t="shared" si="14"/>
        <v>906</v>
      </c>
      <c r="B914" s="92">
        <v>1.9787551636673144</v>
      </c>
    </row>
    <row r="915" spans="1:2" x14ac:dyDescent="0.3">
      <c r="A915" s="1">
        <f t="shared" si="14"/>
        <v>907</v>
      </c>
      <c r="B915" s="92">
        <v>2.5459454542133195</v>
      </c>
    </row>
    <row r="916" spans="1:2" x14ac:dyDescent="0.3">
      <c r="A916" s="1">
        <f t="shared" si="14"/>
        <v>908</v>
      </c>
      <c r="B916" s="92">
        <v>2.1699821717235444</v>
      </c>
    </row>
    <row r="917" spans="1:2" x14ac:dyDescent="0.3">
      <c r="A917" s="1">
        <f t="shared" si="14"/>
        <v>909</v>
      </c>
      <c r="B917" s="92">
        <v>2.3236483546227693</v>
      </c>
    </row>
    <row r="918" spans="1:2" x14ac:dyDescent="0.3">
      <c r="A918" s="1">
        <f t="shared" si="14"/>
        <v>910</v>
      </c>
      <c r="B918" s="92">
        <v>2.0790065039730825</v>
      </c>
    </row>
    <row r="919" spans="1:2" x14ac:dyDescent="0.3">
      <c r="A919" s="1">
        <f t="shared" si="14"/>
        <v>911</v>
      </c>
      <c r="B919" s="92">
        <v>2.6729991094195373</v>
      </c>
    </row>
    <row r="920" spans="1:2" x14ac:dyDescent="0.3">
      <c r="A920" s="1">
        <f t="shared" si="14"/>
        <v>912</v>
      </c>
      <c r="B920" s="92">
        <v>2.0037089392489591</v>
      </c>
    </row>
    <row r="921" spans="1:2" x14ac:dyDescent="0.3">
      <c r="A921" s="1">
        <f t="shared" si="14"/>
        <v>913</v>
      </c>
      <c r="B921" s="92">
        <v>2.1043843205364681</v>
      </c>
    </row>
    <row r="922" spans="1:2" x14ac:dyDescent="0.3">
      <c r="A922" s="1">
        <f t="shared" si="14"/>
        <v>914</v>
      </c>
      <c r="B922" s="92">
        <v>2.501123718948993</v>
      </c>
    </row>
    <row r="923" spans="1:2" x14ac:dyDescent="0.3">
      <c r="A923" s="1">
        <f t="shared" si="14"/>
        <v>915</v>
      </c>
      <c r="B923" s="92">
        <v>2.2447941036219299</v>
      </c>
    </row>
    <row r="924" spans="1:2" x14ac:dyDescent="0.3">
      <c r="A924" s="1">
        <f t="shared" si="14"/>
        <v>916</v>
      </c>
      <c r="B924" s="92">
        <v>2.2748452646463195</v>
      </c>
    </row>
    <row r="925" spans="1:2" x14ac:dyDescent="0.3">
      <c r="A925" s="1">
        <f t="shared" si="14"/>
        <v>917</v>
      </c>
      <c r="B925" s="92">
        <v>2.1200743560572275</v>
      </c>
    </row>
    <row r="926" spans="1:2" x14ac:dyDescent="0.3">
      <c r="A926" s="1">
        <f t="shared" si="14"/>
        <v>918</v>
      </c>
      <c r="B926" s="92">
        <v>2.1121972939347957</v>
      </c>
    </row>
    <row r="927" spans="1:2" x14ac:dyDescent="0.3">
      <c r="A927" s="1">
        <f t="shared" si="14"/>
        <v>919</v>
      </c>
      <c r="B927" s="92">
        <v>2.010872568627633</v>
      </c>
    </row>
    <row r="928" spans="1:2" x14ac:dyDescent="0.3">
      <c r="A928" s="1">
        <f t="shared" si="14"/>
        <v>920</v>
      </c>
      <c r="B928" s="92">
        <v>1.8098738443861533</v>
      </c>
    </row>
    <row r="929" spans="1:2" x14ac:dyDescent="0.3">
      <c r="A929" s="1">
        <f t="shared" si="14"/>
        <v>921</v>
      </c>
      <c r="B929" s="92">
        <v>2.2258434121599486</v>
      </c>
    </row>
    <row r="930" spans="1:2" x14ac:dyDescent="0.3">
      <c r="A930" s="1">
        <f t="shared" si="14"/>
        <v>922</v>
      </c>
      <c r="B930" s="92">
        <v>2.2427635085597486</v>
      </c>
    </row>
    <row r="931" spans="1:2" x14ac:dyDescent="0.3">
      <c r="A931" s="1">
        <f t="shared" si="14"/>
        <v>923</v>
      </c>
      <c r="B931" s="92">
        <v>2.0668769284497595</v>
      </c>
    </row>
    <row r="932" spans="1:2" x14ac:dyDescent="0.3">
      <c r="A932" s="1">
        <f t="shared" si="14"/>
        <v>924</v>
      </c>
      <c r="B932" s="92">
        <v>2.128018847928848</v>
      </c>
    </row>
    <row r="933" spans="1:2" x14ac:dyDescent="0.3">
      <c r="A933" s="1">
        <f t="shared" si="14"/>
        <v>925</v>
      </c>
      <c r="B933" s="92">
        <v>2.089306258492555</v>
      </c>
    </row>
    <row r="934" spans="1:2" x14ac:dyDescent="0.3">
      <c r="A934" s="1">
        <f t="shared" si="14"/>
        <v>926</v>
      </c>
      <c r="B934" s="92">
        <v>2.1042580591944446</v>
      </c>
    </row>
    <row r="935" spans="1:2" x14ac:dyDescent="0.3">
      <c r="A935" s="1">
        <f t="shared" si="14"/>
        <v>927</v>
      </c>
      <c r="B935" s="92">
        <v>2.2118280868857711</v>
      </c>
    </row>
    <row r="936" spans="1:2" x14ac:dyDescent="0.3">
      <c r="A936" s="1">
        <f t="shared" si="14"/>
        <v>928</v>
      </c>
      <c r="B936" s="92">
        <v>2.311006496436864</v>
      </c>
    </row>
    <row r="937" spans="1:2" x14ac:dyDescent="0.3">
      <c r="A937" s="1">
        <f t="shared" si="14"/>
        <v>929</v>
      </c>
      <c r="B937" s="92">
        <v>2.2473040729272751</v>
      </c>
    </row>
    <row r="938" spans="1:2" x14ac:dyDescent="0.3">
      <c r="A938" s="1">
        <f t="shared" si="14"/>
        <v>930</v>
      </c>
      <c r="B938" s="92">
        <v>2.0106945257692033</v>
      </c>
    </row>
    <row r="939" spans="1:2" x14ac:dyDescent="0.3">
      <c r="A939" s="1">
        <f t="shared" si="14"/>
        <v>931</v>
      </c>
      <c r="B939" s="92">
        <v>2.0713360549963973</v>
      </c>
    </row>
    <row r="940" spans="1:2" x14ac:dyDescent="0.3">
      <c r="A940" s="1">
        <f t="shared" si="14"/>
        <v>932</v>
      </c>
      <c r="B940" s="92">
        <v>1.6116336958355482</v>
      </c>
    </row>
    <row r="941" spans="1:2" x14ac:dyDescent="0.3">
      <c r="A941" s="1">
        <f t="shared" si="14"/>
        <v>933</v>
      </c>
      <c r="B941" s="92">
        <v>2.171877112565749</v>
      </c>
    </row>
    <row r="942" spans="1:2" x14ac:dyDescent="0.3">
      <c r="A942" s="1">
        <f t="shared" si="14"/>
        <v>934</v>
      </c>
      <c r="B942" s="92">
        <v>2.3807471400934914</v>
      </c>
    </row>
    <row r="943" spans="1:2" x14ac:dyDescent="0.3">
      <c r="A943" s="1">
        <f t="shared" si="14"/>
        <v>935</v>
      </c>
      <c r="B943" s="92">
        <v>1.8663695177701183</v>
      </c>
    </row>
    <row r="944" spans="1:2" x14ac:dyDescent="0.3">
      <c r="A944" s="1">
        <f t="shared" si="14"/>
        <v>936</v>
      </c>
      <c r="B944" s="92">
        <v>2.5507626907894827</v>
      </c>
    </row>
    <row r="945" spans="1:2" x14ac:dyDescent="0.3">
      <c r="A945" s="1">
        <f t="shared" si="14"/>
        <v>937</v>
      </c>
      <c r="B945" s="92">
        <v>1.9778256258594222</v>
      </c>
    </row>
    <row r="946" spans="1:2" x14ac:dyDescent="0.3">
      <c r="A946" s="1">
        <f t="shared" si="14"/>
        <v>938</v>
      </c>
      <c r="B946" s="92">
        <v>2.669058194627679</v>
      </c>
    </row>
    <row r="947" spans="1:2" x14ac:dyDescent="0.3">
      <c r="A947" s="1">
        <f t="shared" si="14"/>
        <v>939</v>
      </c>
      <c r="B947" s="92">
        <v>2.2801708268502048</v>
      </c>
    </row>
    <row r="948" spans="1:2" x14ac:dyDescent="0.3">
      <c r="A948" s="1">
        <f t="shared" si="14"/>
        <v>940</v>
      </c>
      <c r="B948" s="92">
        <v>2.6698708735118752</v>
      </c>
    </row>
    <row r="949" spans="1:2" x14ac:dyDescent="0.3">
      <c r="A949" s="1">
        <f t="shared" si="14"/>
        <v>941</v>
      </c>
      <c r="B949" s="92">
        <v>1.9156730706311538</v>
      </c>
    </row>
    <row r="950" spans="1:2" x14ac:dyDescent="0.3">
      <c r="A950" s="1">
        <f t="shared" si="14"/>
        <v>942</v>
      </c>
      <c r="B950" s="92">
        <v>2.1009090213198696</v>
      </c>
    </row>
    <row r="951" spans="1:2" x14ac:dyDescent="0.3">
      <c r="A951" s="1">
        <f t="shared" si="14"/>
        <v>943</v>
      </c>
      <c r="B951" s="92">
        <v>2.125379709530145</v>
      </c>
    </row>
    <row r="952" spans="1:2" x14ac:dyDescent="0.3">
      <c r="A952" s="1">
        <f t="shared" si="14"/>
        <v>944</v>
      </c>
      <c r="B952" s="92">
        <v>2.3864949352092406</v>
      </c>
    </row>
    <row r="953" spans="1:2" x14ac:dyDescent="0.3">
      <c r="A953" s="1">
        <f t="shared" si="14"/>
        <v>945</v>
      </c>
      <c r="B953" s="92">
        <v>1.928394279743038</v>
      </c>
    </row>
    <row r="954" spans="1:2" x14ac:dyDescent="0.3">
      <c r="A954" s="1">
        <f t="shared" si="14"/>
        <v>946</v>
      </c>
      <c r="B954" s="92">
        <v>2.2035871675267438</v>
      </c>
    </row>
    <row r="955" spans="1:2" x14ac:dyDescent="0.3">
      <c r="A955" s="1">
        <f t="shared" si="14"/>
        <v>947</v>
      </c>
      <c r="B955" s="92">
        <v>2.5194859701722923</v>
      </c>
    </row>
    <row r="956" spans="1:2" x14ac:dyDescent="0.3">
      <c r="A956" s="1">
        <f t="shared" si="14"/>
        <v>948</v>
      </c>
      <c r="B956" s="92">
        <v>2.035291693471315</v>
      </c>
    </row>
    <row r="957" spans="1:2" x14ac:dyDescent="0.3">
      <c r="A957" s="1">
        <f t="shared" si="14"/>
        <v>949</v>
      </c>
      <c r="B957" s="92">
        <v>2.6207974236387388</v>
      </c>
    </row>
    <row r="958" spans="1:2" x14ac:dyDescent="0.3">
      <c r="A958" s="1">
        <f t="shared" si="14"/>
        <v>950</v>
      </c>
      <c r="B958" s="92">
        <v>2.0695833952089653</v>
      </c>
    </row>
    <row r="959" spans="1:2" x14ac:dyDescent="0.3">
      <c r="A959" s="1">
        <f t="shared" si="14"/>
        <v>951</v>
      </c>
      <c r="B959" s="92">
        <v>2.4449281354954744</v>
      </c>
    </row>
    <row r="960" spans="1:2" x14ac:dyDescent="0.3">
      <c r="A960" s="1">
        <f t="shared" si="14"/>
        <v>952</v>
      </c>
      <c r="B960" s="92">
        <v>2.2658746496283819</v>
      </c>
    </row>
    <row r="961" spans="1:2" x14ac:dyDescent="0.3">
      <c r="A961" s="1">
        <f t="shared" si="14"/>
        <v>953</v>
      </c>
      <c r="B961" s="92">
        <v>2.0163080630876871</v>
      </c>
    </row>
    <row r="962" spans="1:2" x14ac:dyDescent="0.3">
      <c r="A962" s="1">
        <f t="shared" si="14"/>
        <v>954</v>
      </c>
      <c r="B962" s="92">
        <v>2.2631817193700119</v>
      </c>
    </row>
    <row r="963" spans="1:2" x14ac:dyDescent="0.3">
      <c r="A963" s="1">
        <f t="shared" si="14"/>
        <v>955</v>
      </c>
      <c r="B963" s="92">
        <v>1.9471754009106208</v>
      </c>
    </row>
    <row r="964" spans="1:2" x14ac:dyDescent="0.3">
      <c r="A964" s="1">
        <f t="shared" si="14"/>
        <v>956</v>
      </c>
      <c r="B964" s="92">
        <v>2.5838521451985597</v>
      </c>
    </row>
    <row r="965" spans="1:2" x14ac:dyDescent="0.3">
      <c r="A965" s="1">
        <f t="shared" si="14"/>
        <v>957</v>
      </c>
      <c r="B965" s="92">
        <v>1.9818302092709248</v>
      </c>
    </row>
    <row r="966" spans="1:2" x14ac:dyDescent="0.3">
      <c r="A966" s="1">
        <f t="shared" si="14"/>
        <v>958</v>
      </c>
      <c r="B966" s="92">
        <v>2.1714553374109844</v>
      </c>
    </row>
    <row r="967" spans="1:2" x14ac:dyDescent="0.3">
      <c r="A967" s="1">
        <f t="shared" si="14"/>
        <v>959</v>
      </c>
      <c r="B967" s="92">
        <v>1.8634540467088021</v>
      </c>
    </row>
    <row r="968" spans="1:2" x14ac:dyDescent="0.3">
      <c r="A968" s="1">
        <f t="shared" si="14"/>
        <v>960</v>
      </c>
      <c r="B968" s="92">
        <v>2.1246600099920623</v>
      </c>
    </row>
    <row r="969" spans="1:2" x14ac:dyDescent="0.3">
      <c r="A969" s="1">
        <f t="shared" si="14"/>
        <v>961</v>
      </c>
      <c r="B969" s="92">
        <v>1.8745508777117443</v>
      </c>
    </row>
    <row r="970" spans="1:2" x14ac:dyDescent="0.3">
      <c r="A970" s="1">
        <f t="shared" ref="A970:A1008" si="15">ROW()-8</f>
        <v>962</v>
      </c>
      <c r="B970" s="92">
        <v>1.5286402147788423</v>
      </c>
    </row>
    <row r="971" spans="1:2" x14ac:dyDescent="0.3">
      <c r="A971" s="1">
        <f t="shared" si="15"/>
        <v>963</v>
      </c>
      <c r="B971" s="92">
        <v>2.6756421613736712</v>
      </c>
    </row>
    <row r="972" spans="1:2" x14ac:dyDescent="0.3">
      <c r="A972" s="1">
        <f t="shared" si="15"/>
        <v>964</v>
      </c>
      <c r="B972" s="92">
        <v>1.9613531486756637</v>
      </c>
    </row>
    <row r="973" spans="1:2" x14ac:dyDescent="0.3">
      <c r="A973" s="1">
        <f t="shared" si="15"/>
        <v>965</v>
      </c>
      <c r="B973" s="92">
        <v>1.90409553778685</v>
      </c>
    </row>
    <row r="974" spans="1:2" x14ac:dyDescent="0.3">
      <c r="A974" s="1">
        <f t="shared" si="15"/>
        <v>966</v>
      </c>
      <c r="B974" s="92">
        <v>2.3526234658250456</v>
      </c>
    </row>
    <row r="975" spans="1:2" x14ac:dyDescent="0.3">
      <c r="A975" s="1">
        <f t="shared" si="15"/>
        <v>967</v>
      </c>
      <c r="B975" s="92">
        <v>1.8106398218256261</v>
      </c>
    </row>
    <row r="976" spans="1:2" x14ac:dyDescent="0.3">
      <c r="A976" s="1">
        <f t="shared" si="15"/>
        <v>968</v>
      </c>
      <c r="B976" s="92">
        <v>2.2324598486752785</v>
      </c>
    </row>
    <row r="977" spans="1:2" x14ac:dyDescent="0.3">
      <c r="A977" s="1">
        <f t="shared" si="15"/>
        <v>969</v>
      </c>
      <c r="B977" s="92">
        <v>2.4403627557440197</v>
      </c>
    </row>
    <row r="978" spans="1:2" x14ac:dyDescent="0.3">
      <c r="A978" s="1">
        <f t="shared" si="15"/>
        <v>970</v>
      </c>
      <c r="B978" s="92">
        <v>2.063010090424394</v>
      </c>
    </row>
    <row r="979" spans="1:2" x14ac:dyDescent="0.3">
      <c r="A979" s="1">
        <f t="shared" si="15"/>
        <v>971</v>
      </c>
      <c r="B979" s="92">
        <v>2.2410130206345125</v>
      </c>
    </row>
    <row r="980" spans="1:2" x14ac:dyDescent="0.3">
      <c r="A980" s="1">
        <f t="shared" si="15"/>
        <v>972</v>
      </c>
      <c r="B980" s="92">
        <v>2.0673049195128312</v>
      </c>
    </row>
    <row r="981" spans="1:2" x14ac:dyDescent="0.3">
      <c r="A981" s="1">
        <f t="shared" si="15"/>
        <v>973</v>
      </c>
      <c r="B981" s="92">
        <v>2.535418277548259</v>
      </c>
    </row>
    <row r="982" spans="1:2" x14ac:dyDescent="0.3">
      <c r="A982" s="1">
        <f t="shared" si="15"/>
        <v>974</v>
      </c>
      <c r="B982" s="92">
        <v>2.4779387132236028</v>
      </c>
    </row>
    <row r="983" spans="1:2" x14ac:dyDescent="0.3">
      <c r="A983" s="1">
        <f t="shared" si="15"/>
        <v>975</v>
      </c>
      <c r="B983" s="92">
        <v>2.1408851073363118</v>
      </c>
    </row>
    <row r="984" spans="1:2" x14ac:dyDescent="0.3">
      <c r="A984" s="1">
        <f t="shared" si="15"/>
        <v>976</v>
      </c>
      <c r="B984" s="92">
        <v>2.2753350797056049</v>
      </c>
    </row>
    <row r="985" spans="1:2" x14ac:dyDescent="0.3">
      <c r="A985" s="1">
        <f t="shared" si="15"/>
        <v>977</v>
      </c>
      <c r="B985" s="92">
        <v>2.2512599163967906</v>
      </c>
    </row>
    <row r="986" spans="1:2" x14ac:dyDescent="0.3">
      <c r="A986" s="1">
        <f t="shared" si="15"/>
        <v>978</v>
      </c>
      <c r="B986" s="92">
        <v>2.2094380463557886</v>
      </c>
    </row>
    <row r="987" spans="1:2" x14ac:dyDescent="0.3">
      <c r="A987" s="1">
        <f t="shared" si="15"/>
        <v>979</v>
      </c>
      <c r="B987" s="92">
        <v>2.3733044487570463</v>
      </c>
    </row>
    <row r="988" spans="1:2" x14ac:dyDescent="0.3">
      <c r="A988" s="1">
        <f t="shared" si="15"/>
        <v>980</v>
      </c>
      <c r="B988" s="92">
        <v>1.9912993492983244</v>
      </c>
    </row>
    <row r="989" spans="1:2" x14ac:dyDescent="0.3">
      <c r="A989" s="1">
        <f t="shared" si="15"/>
        <v>981</v>
      </c>
      <c r="B989" s="92">
        <v>2.0636182075593963</v>
      </c>
    </row>
    <row r="990" spans="1:2" x14ac:dyDescent="0.3">
      <c r="A990" s="1">
        <f t="shared" si="15"/>
        <v>982</v>
      </c>
      <c r="B990" s="92">
        <v>2.4166428924643988</v>
      </c>
    </row>
    <row r="991" spans="1:2" x14ac:dyDescent="0.3">
      <c r="A991" s="1">
        <f t="shared" si="15"/>
        <v>983</v>
      </c>
      <c r="B991" s="92">
        <v>2.3225620576172368</v>
      </c>
    </row>
    <row r="992" spans="1:2" x14ac:dyDescent="0.3">
      <c r="A992" s="1">
        <f t="shared" si="15"/>
        <v>984</v>
      </c>
      <c r="B992" s="92">
        <v>2.2426842753787453</v>
      </c>
    </row>
    <row r="993" spans="1:2" x14ac:dyDescent="0.3">
      <c r="A993" s="1">
        <f t="shared" si="15"/>
        <v>985</v>
      </c>
      <c r="B993" s="92">
        <v>2.5172534574674899</v>
      </c>
    </row>
    <row r="994" spans="1:2" x14ac:dyDescent="0.3">
      <c r="A994" s="1">
        <f t="shared" si="15"/>
        <v>986</v>
      </c>
      <c r="B994" s="92">
        <v>2.1340373832718886</v>
      </c>
    </row>
    <row r="995" spans="1:2" x14ac:dyDescent="0.3">
      <c r="A995" s="1">
        <f t="shared" si="15"/>
        <v>987</v>
      </c>
      <c r="B995" s="92">
        <v>1.9693626315259285</v>
      </c>
    </row>
    <row r="996" spans="1:2" x14ac:dyDescent="0.3">
      <c r="A996" s="1">
        <f t="shared" si="15"/>
        <v>988</v>
      </c>
      <c r="B996" s="92">
        <v>2.0758331203887908</v>
      </c>
    </row>
    <row r="997" spans="1:2" x14ac:dyDescent="0.3">
      <c r="A997" s="1">
        <f t="shared" si="15"/>
        <v>989</v>
      </c>
      <c r="B997" s="92">
        <v>2.451248551037017</v>
      </c>
    </row>
    <row r="998" spans="1:2" x14ac:dyDescent="0.3">
      <c r="A998" s="1">
        <f t="shared" si="15"/>
        <v>990</v>
      </c>
      <c r="B998" s="92">
        <v>2.2365483681660208</v>
      </c>
    </row>
    <row r="999" spans="1:2" x14ac:dyDescent="0.3">
      <c r="A999" s="1">
        <f t="shared" si="15"/>
        <v>991</v>
      </c>
      <c r="B999" s="92">
        <v>1.9620917968918272</v>
      </c>
    </row>
    <row r="1000" spans="1:2" x14ac:dyDescent="0.3">
      <c r="A1000" s="1">
        <f t="shared" si="15"/>
        <v>992</v>
      </c>
      <c r="B1000" s="92">
        <v>2.0460517543058208</v>
      </c>
    </row>
    <row r="1001" spans="1:2" x14ac:dyDescent="0.3">
      <c r="A1001" s="1">
        <f t="shared" si="15"/>
        <v>993</v>
      </c>
      <c r="B1001" s="92">
        <v>2.1968786213071896</v>
      </c>
    </row>
    <row r="1002" spans="1:2" x14ac:dyDescent="0.3">
      <c r="A1002" s="1">
        <f t="shared" si="15"/>
        <v>994</v>
      </c>
      <c r="B1002" s="92">
        <v>2.2052951799824214</v>
      </c>
    </row>
    <row r="1003" spans="1:2" x14ac:dyDescent="0.3">
      <c r="A1003" s="1">
        <f t="shared" si="15"/>
        <v>995</v>
      </c>
      <c r="B1003" s="92">
        <v>1.7445554169158191</v>
      </c>
    </row>
    <row r="1004" spans="1:2" x14ac:dyDescent="0.3">
      <c r="A1004" s="1">
        <f t="shared" si="15"/>
        <v>996</v>
      </c>
      <c r="B1004" s="92">
        <v>2.1234213602068954</v>
      </c>
    </row>
    <row r="1005" spans="1:2" x14ac:dyDescent="0.3">
      <c r="A1005" s="1">
        <f t="shared" si="15"/>
        <v>997</v>
      </c>
      <c r="B1005" s="92">
        <v>2.3083543237208359</v>
      </c>
    </row>
    <row r="1006" spans="1:2" x14ac:dyDescent="0.3">
      <c r="A1006" s="1">
        <f t="shared" si="15"/>
        <v>998</v>
      </c>
      <c r="B1006" s="92">
        <v>1.8141277364227828</v>
      </c>
    </row>
    <row r="1007" spans="1:2" x14ac:dyDescent="0.3">
      <c r="A1007" s="1">
        <f t="shared" si="15"/>
        <v>999</v>
      </c>
      <c r="B1007" s="92">
        <v>2.2706862615647463</v>
      </c>
    </row>
    <row r="1008" spans="1:2" x14ac:dyDescent="0.3">
      <c r="A1008" s="1">
        <f t="shared" si="15"/>
        <v>1000</v>
      </c>
      <c r="B1008" s="92">
        <v>2.2092550578041656</v>
      </c>
    </row>
    <row r="1009" spans="1:2" x14ac:dyDescent="0.3">
      <c r="A1009" s="1"/>
      <c r="B1009" s="1"/>
    </row>
  </sheetData>
  <dataValidations count="1">
    <dataValidation type="list" allowBlank="1" showInputMessage="1" showErrorMessage="1" sqref="K2" xr:uid="{0415BD46-C2FC-4E70-8DF7-7BB22A17F7C9}">
      <formula1>"ON, OFF"</formula1>
    </dataValidation>
  </dataValidations>
  <pageMargins left="0.7" right="0.7" top="0.75" bottom="0.75" header="0.3" footer="0.3"/>
  <ignoredErrors>
    <ignoredError sqref="H3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110D-3FA4-49F2-A362-8303600FBB86}">
  <dimension ref="A1:J18"/>
  <sheetViews>
    <sheetView zoomScale="130" zoomScaleNormal="130" workbookViewId="0">
      <selection activeCell="B12" sqref="B12"/>
    </sheetView>
  </sheetViews>
  <sheetFormatPr defaultRowHeight="14.4" x14ac:dyDescent="0.3"/>
  <cols>
    <col min="1" max="1" width="22.5546875" bestFit="1" customWidth="1"/>
    <col min="2" max="4" width="14.109375" bestFit="1" customWidth="1"/>
    <col min="5" max="6" width="15.109375" bestFit="1" customWidth="1"/>
    <col min="8" max="8" width="13.33203125" customWidth="1"/>
    <col min="9" max="9" width="17.109375" customWidth="1"/>
  </cols>
  <sheetData>
    <row r="1" spans="1:10" x14ac:dyDescent="0.3">
      <c r="A1" s="52" t="s">
        <v>0</v>
      </c>
      <c r="B1" s="53">
        <v>2024</v>
      </c>
      <c r="C1" s="53">
        <v>2025</v>
      </c>
      <c r="D1" s="53">
        <v>2026</v>
      </c>
      <c r="E1" s="53">
        <v>2027</v>
      </c>
      <c r="F1" s="53">
        <v>2028</v>
      </c>
    </row>
    <row r="2" spans="1:10" x14ac:dyDescent="0.3">
      <c r="A2" s="49" t="s">
        <v>1</v>
      </c>
      <c r="B2" s="9">
        <v>1000</v>
      </c>
      <c r="C2" s="2">
        <f ca="1">B2*(1+C4)</f>
        <v>1432.3712361147748</v>
      </c>
      <c r="D2" s="2">
        <f t="shared" ref="D2:F2" ca="1" si="0">C2*(1+D4)</f>
        <v>1898.1493889505462</v>
      </c>
      <c r="E2" s="2">
        <f t="shared" ca="1" si="0"/>
        <v>2362.3659618818492</v>
      </c>
      <c r="F2" s="2">
        <f t="shared" ca="1" si="0"/>
        <v>2796.88034483912</v>
      </c>
      <c r="H2" s="63" t="s">
        <v>36</v>
      </c>
      <c r="I2" s="63"/>
    </row>
    <row r="3" spans="1:10" x14ac:dyDescent="0.3">
      <c r="A3" s="49" t="s">
        <v>98</v>
      </c>
      <c r="B3" s="87">
        <f ca="1">IF(MonteCarlo!$K$2="ON", MonteCarlo!E3, base_decay)</f>
        <v>0.75208465650965828</v>
      </c>
      <c r="C3" s="2"/>
      <c r="D3" s="2"/>
      <c r="E3" s="2"/>
      <c r="F3" s="2"/>
      <c r="H3" s="63"/>
      <c r="I3" s="63"/>
    </row>
    <row r="4" spans="1:10" x14ac:dyDescent="0.3">
      <c r="A4" s="49" t="s">
        <v>3</v>
      </c>
      <c r="B4" s="88">
        <f ca="1">IF(MonteCarlo!$K$2="ON", MonteCarlo!E2, base_growth)</f>
        <v>0.57489703103552448</v>
      </c>
      <c r="C4" s="85">
        <f ca="1">B4*$B$3</f>
        <v>0.43237123611477479</v>
      </c>
      <c r="D4" s="85">
        <f t="shared" ref="D4:F4" ca="1" si="1">C4*$B$3</f>
        <v>0.32517977259803676</v>
      </c>
      <c r="E4" s="85">
        <f t="shared" ca="1" si="1"/>
        <v>0.24456271757828327</v>
      </c>
      <c r="F4" s="85">
        <f t="shared" ca="1" si="1"/>
        <v>0.18393186744493173</v>
      </c>
      <c r="H4" s="63"/>
      <c r="I4" s="63"/>
    </row>
    <row r="5" spans="1:10" ht="28.2" x14ac:dyDescent="0.3">
      <c r="A5" s="50" t="s">
        <v>2</v>
      </c>
      <c r="B5" s="10">
        <v>4000</v>
      </c>
      <c r="C5" s="3">
        <f>B5*(1+0.03)</f>
        <v>4120</v>
      </c>
      <c r="D5" s="3">
        <f t="shared" ref="D5:F5" si="2">C5*(1+0.03)</f>
        <v>4243.6000000000004</v>
      </c>
      <c r="E5" s="3">
        <f t="shared" si="2"/>
        <v>4370.9080000000004</v>
      </c>
      <c r="F5" s="3">
        <f t="shared" si="2"/>
        <v>4502.0352400000002</v>
      </c>
      <c r="H5" s="89" t="s">
        <v>102</v>
      </c>
      <c r="I5" s="89"/>
    </row>
    <row r="6" spans="1:10" x14ac:dyDescent="0.3">
      <c r="A6" s="48" t="s">
        <v>4</v>
      </c>
      <c r="B6" s="8">
        <f>B2*B5</f>
        <v>4000000</v>
      </c>
      <c r="C6" s="8">
        <f ca="1">C2*C5</f>
        <v>5901369.4927928718</v>
      </c>
      <c r="D6" s="8">
        <f t="shared" ref="D6:F6" ca="1" si="3">D2*D5</f>
        <v>8054986.7469505379</v>
      </c>
      <c r="E6" s="8">
        <f t="shared" ca="1" si="3"/>
        <v>10325684.281717071</v>
      </c>
      <c r="F6" s="8">
        <f t="shared" ca="1" si="3"/>
        <v>12591653.874529071</v>
      </c>
      <c r="I6" s="84"/>
    </row>
    <row r="8" spans="1:10" x14ac:dyDescent="0.3">
      <c r="A8" s="51" t="s">
        <v>37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1"/>
      <c r="H8" s="1"/>
      <c r="I8" s="1"/>
      <c r="J8" s="1"/>
    </row>
    <row r="9" spans="1:10" x14ac:dyDescent="0.3">
      <c r="A9" s="72" t="s">
        <v>94</v>
      </c>
      <c r="B9" s="20">
        <v>0.25</v>
      </c>
      <c r="C9" s="21">
        <f>$B$9</f>
        <v>0.25</v>
      </c>
      <c r="D9" s="21">
        <f>$B$9</f>
        <v>0.25</v>
      </c>
      <c r="E9" s="21">
        <f>$B$9</f>
        <v>0.25</v>
      </c>
      <c r="F9" s="21">
        <f>$B$9</f>
        <v>0.25</v>
      </c>
      <c r="G9" s="1"/>
      <c r="H9" s="1"/>
      <c r="I9" s="1"/>
      <c r="J9" s="1"/>
    </row>
    <row r="10" spans="1:10" x14ac:dyDescent="0.3">
      <c r="A10" s="34" t="s">
        <v>38</v>
      </c>
      <c r="B10" s="20">
        <v>0.25</v>
      </c>
      <c r="C10" s="21">
        <f>$B$10</f>
        <v>0.25</v>
      </c>
      <c r="D10" s="21">
        <f t="shared" ref="D10:F10" si="4">$B$10</f>
        <v>0.25</v>
      </c>
      <c r="E10" s="21">
        <f t="shared" si="4"/>
        <v>0.25</v>
      </c>
      <c r="F10" s="21">
        <f t="shared" si="4"/>
        <v>0.25</v>
      </c>
      <c r="G10" s="1"/>
      <c r="H10" s="1"/>
      <c r="I10" s="1"/>
      <c r="J10" s="1"/>
    </row>
    <row r="11" spans="1:10" x14ac:dyDescent="0.3">
      <c r="A11" s="34" t="s">
        <v>39</v>
      </c>
      <c r="B11" s="20">
        <v>0.18</v>
      </c>
      <c r="C11" s="21">
        <f>$B$11</f>
        <v>0.18</v>
      </c>
      <c r="D11" s="21">
        <f t="shared" ref="D11:F11" si="5">$B$11</f>
        <v>0.18</v>
      </c>
      <c r="E11" s="21">
        <f t="shared" si="5"/>
        <v>0.18</v>
      </c>
      <c r="F11" s="21">
        <f t="shared" si="5"/>
        <v>0.18</v>
      </c>
      <c r="G11" s="1"/>
    </row>
    <row r="12" spans="1:10" x14ac:dyDescent="0.3">
      <c r="A12" s="34" t="s">
        <v>92</v>
      </c>
      <c r="B12" s="91">
        <f ca="1">IF(MonteCarlo!$K$2="ON", MonteCarlo!E4, base_margin)</f>
        <v>0.24019977530751874</v>
      </c>
      <c r="C12" s="21">
        <f ca="1">$B$12</f>
        <v>0.24019977530751874</v>
      </c>
      <c r="D12" s="21">
        <f ca="1">$B$12</f>
        <v>0.24019977530751874</v>
      </c>
      <c r="E12" s="21">
        <f ca="1">$B$12</f>
        <v>0.24019977530751874</v>
      </c>
      <c r="F12" s="21">
        <f ca="1">$B$12</f>
        <v>0.24019977530751874</v>
      </c>
      <c r="G12" s="1"/>
      <c r="H12" s="1"/>
      <c r="I12" s="1"/>
      <c r="J12" s="1"/>
    </row>
    <row r="13" spans="1:10" x14ac:dyDescent="0.3">
      <c r="A13" s="19"/>
      <c r="B13" s="19"/>
      <c r="C13" s="19"/>
      <c r="D13" s="19"/>
      <c r="E13" s="19"/>
      <c r="F13" s="19"/>
      <c r="G13" s="1"/>
      <c r="H13" s="1"/>
      <c r="I13" s="1"/>
      <c r="J13" s="1"/>
    </row>
    <row r="14" spans="1:10" x14ac:dyDescent="0.3">
      <c r="A14" s="34" t="s">
        <v>40</v>
      </c>
      <c r="B14" s="18">
        <v>45</v>
      </c>
      <c r="C14" s="17">
        <f>B14-1</f>
        <v>44</v>
      </c>
      <c r="D14" s="17">
        <f t="shared" ref="D14:F14" si="6">C14-1</f>
        <v>43</v>
      </c>
      <c r="E14" s="17">
        <f t="shared" si="6"/>
        <v>42</v>
      </c>
      <c r="F14" s="17">
        <f t="shared" si="6"/>
        <v>41</v>
      </c>
      <c r="G14" s="1"/>
      <c r="H14" s="1"/>
      <c r="I14" s="1"/>
      <c r="J14" s="1"/>
    </row>
    <row r="15" spans="1:10" x14ac:dyDescent="0.3">
      <c r="A15" s="34" t="s">
        <v>41</v>
      </c>
      <c r="B15" s="12">
        <v>30</v>
      </c>
      <c r="C15" s="1">
        <v>30</v>
      </c>
      <c r="D15" s="1">
        <v>30</v>
      </c>
      <c r="E15" s="1">
        <v>30</v>
      </c>
      <c r="F15" s="1">
        <v>30</v>
      </c>
      <c r="G15" s="1"/>
      <c r="H15" s="1"/>
      <c r="I15" s="1"/>
      <c r="J15" s="1"/>
    </row>
    <row r="16" spans="1:10" x14ac:dyDescent="0.3">
      <c r="A16" s="19"/>
      <c r="B16" s="19"/>
      <c r="C16" s="19"/>
      <c r="D16" s="19"/>
      <c r="E16" s="19"/>
      <c r="F16" s="19"/>
      <c r="G16" s="1"/>
      <c r="H16" s="1"/>
      <c r="I16" s="1"/>
      <c r="J16" s="1"/>
    </row>
    <row r="17" spans="1:10" x14ac:dyDescent="0.3">
      <c r="A17" s="69"/>
      <c r="B17" s="70"/>
      <c r="C17" s="73"/>
      <c r="D17" s="73"/>
      <c r="E17" s="73"/>
      <c r="F17" s="73"/>
      <c r="G17" s="1"/>
      <c r="H17" s="1"/>
      <c r="I17" s="1"/>
      <c r="J17" s="1"/>
    </row>
    <row r="18" spans="1:10" x14ac:dyDescent="0.3">
      <c r="A18" s="74"/>
      <c r="B18" s="75"/>
      <c r="C18" s="74"/>
      <c r="D18" s="74"/>
      <c r="E18" s="74"/>
      <c r="F18" s="74"/>
      <c r="G18" s="1"/>
      <c r="H18" s="1"/>
      <c r="I18" s="1"/>
      <c r="J18" s="1"/>
    </row>
  </sheetData>
  <mergeCells count="2">
    <mergeCell ref="H2:I4"/>
    <mergeCell ref="H5:I5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5ECC-A3E4-45B6-9EB8-16E9DD11703C}">
  <dimension ref="A1:I13"/>
  <sheetViews>
    <sheetView zoomScale="130" zoomScaleNormal="130" workbookViewId="0">
      <selection activeCell="B9" sqref="B9"/>
    </sheetView>
  </sheetViews>
  <sheetFormatPr defaultRowHeight="14.4" x14ac:dyDescent="0.3"/>
  <cols>
    <col min="1" max="1" width="14.44140625" bestFit="1" customWidth="1"/>
    <col min="8" max="8" width="9.44140625" customWidth="1"/>
    <col min="9" max="9" width="9.33203125" customWidth="1"/>
  </cols>
  <sheetData>
    <row r="1" spans="1:9" x14ac:dyDescent="0.3">
      <c r="A1" s="46" t="s">
        <v>0</v>
      </c>
      <c r="B1" s="47">
        <v>2024</v>
      </c>
      <c r="C1" s="47">
        <v>2025</v>
      </c>
      <c r="D1" s="47">
        <v>2026</v>
      </c>
      <c r="E1" s="47">
        <v>2027</v>
      </c>
      <c r="F1" s="47">
        <v>2028</v>
      </c>
      <c r="G1" s="1"/>
      <c r="H1" s="1"/>
      <c r="I1" s="1"/>
    </row>
    <row r="2" spans="1:9" x14ac:dyDescent="0.3">
      <c r="A2" s="36" t="s">
        <v>5</v>
      </c>
      <c r="B2" s="13">
        <f>Drivers!B6*FCF_Sched!$I9</f>
        <v>4000000</v>
      </c>
      <c r="C2" s="13">
        <f ca="1">Drivers!C6*FCF_Sched!$I9</f>
        <v>5901369.4927928718</v>
      </c>
      <c r="D2" s="13">
        <f ca="1">Drivers!D6*FCF_Sched!$I9</f>
        <v>8054986.7469505379</v>
      </c>
      <c r="E2" s="13">
        <f ca="1">Drivers!E6*FCF_Sched!$I9</f>
        <v>10325684.281717071</v>
      </c>
      <c r="F2" s="13">
        <f ca="1">Drivers!F6*FCF_Sched!$I9</f>
        <v>12591653.874529071</v>
      </c>
      <c r="G2" s="1"/>
      <c r="H2" s="64" t="s">
        <v>15</v>
      </c>
      <c r="I2" s="64"/>
    </row>
    <row r="3" spans="1:9" x14ac:dyDescent="0.3">
      <c r="A3" s="36" t="s">
        <v>6</v>
      </c>
      <c r="B3" s="13">
        <f>-B2*Drivers!B9</f>
        <v>-1000000</v>
      </c>
      <c r="C3" s="13">
        <f ca="1">-C2*Drivers!C9</f>
        <v>-1475342.3731982179</v>
      </c>
      <c r="D3" s="13">
        <f ca="1">-D2*Drivers!D9</f>
        <v>-2013746.6867376345</v>
      </c>
      <c r="E3" s="13">
        <f ca="1">-E2*Drivers!E9</f>
        <v>-2581421.0704292678</v>
      </c>
      <c r="F3" s="13">
        <f ca="1">-F2*Drivers!F9</f>
        <v>-3147913.4686322678</v>
      </c>
      <c r="G3" s="1"/>
      <c r="H3" s="64"/>
      <c r="I3" s="64"/>
    </row>
    <row r="4" spans="1:9" x14ac:dyDescent="0.3">
      <c r="A4" s="44" t="s">
        <v>7</v>
      </c>
      <c r="B4" s="14">
        <f>B2+B3</f>
        <v>3000000</v>
      </c>
      <c r="C4" s="14">
        <f t="shared" ref="C4:F4" ca="1" si="0">C2+C3</f>
        <v>4426027.1195946541</v>
      </c>
      <c r="D4" s="14">
        <f t="shared" ca="1" si="0"/>
        <v>6041240.0602129037</v>
      </c>
      <c r="E4" s="14">
        <f t="shared" ca="1" si="0"/>
        <v>7744263.2112878039</v>
      </c>
      <c r="F4" s="14">
        <f t="shared" ca="1" si="0"/>
        <v>9443740.4058968034</v>
      </c>
      <c r="G4" s="1"/>
      <c r="H4" s="64"/>
      <c r="I4" s="64"/>
    </row>
    <row r="5" spans="1:9" x14ac:dyDescent="0.3">
      <c r="A5" s="36" t="s">
        <v>8</v>
      </c>
      <c r="B5" s="13">
        <f>-Drivers!B10*IncomeStmt!B$2</f>
        <v>-1000000</v>
      </c>
      <c r="C5" s="13">
        <f ca="1">-Drivers!C10*IncomeStmt!C$2</f>
        <v>-1475342.3731982179</v>
      </c>
      <c r="D5" s="13">
        <f ca="1">-Drivers!D10*IncomeStmt!D$2</f>
        <v>-2013746.6867376345</v>
      </c>
      <c r="E5" s="13">
        <f ca="1">-Drivers!E10*IncomeStmt!E$2</f>
        <v>-2581421.0704292678</v>
      </c>
      <c r="F5" s="13">
        <f ca="1">-Drivers!F10*IncomeStmt!F$2</f>
        <v>-3147913.4686322678</v>
      </c>
      <c r="G5" s="1"/>
      <c r="H5" s="63" t="s">
        <v>36</v>
      </c>
      <c r="I5" s="63"/>
    </row>
    <row r="6" spans="1:9" x14ac:dyDescent="0.3">
      <c r="A6" s="36" t="s">
        <v>9</v>
      </c>
      <c r="B6" s="13">
        <f>-Drivers!B$11*IncomeStmt!B$2</f>
        <v>-720000</v>
      </c>
      <c r="C6" s="13">
        <f ca="1">-Drivers!C$11*IncomeStmt!C$2</f>
        <v>-1062246.5087027168</v>
      </c>
      <c r="D6" s="13">
        <f ca="1">-Drivers!D$11*IncomeStmt!D$2</f>
        <v>-1449897.6144510969</v>
      </c>
      <c r="E6" s="13">
        <f ca="1">-Drivers!E$11*IncomeStmt!E$2</f>
        <v>-1858623.1707090728</v>
      </c>
      <c r="F6" s="13">
        <f ca="1">-Drivers!F$11*IncomeStmt!F$2</f>
        <v>-2266497.6974152327</v>
      </c>
      <c r="G6" s="1"/>
      <c r="H6" s="63"/>
      <c r="I6" s="63"/>
    </row>
    <row r="7" spans="1:9" x14ac:dyDescent="0.3">
      <c r="A7" s="44" t="s">
        <v>10</v>
      </c>
      <c r="B7" s="76">
        <f>B4+B5+B6</f>
        <v>1280000</v>
      </c>
      <c r="C7" s="76">
        <f t="shared" ref="C7:F7" ca="1" si="1">C4+C5+C6</f>
        <v>1888438.2376937196</v>
      </c>
      <c r="D7" s="76">
        <f t="shared" ca="1" si="1"/>
        <v>2577595.7590241726</v>
      </c>
      <c r="E7" s="76">
        <f t="shared" ca="1" si="1"/>
        <v>3304218.970149464</v>
      </c>
      <c r="F7" s="76">
        <f t="shared" ca="1" si="1"/>
        <v>4029329.2398493029</v>
      </c>
      <c r="G7" s="1"/>
      <c r="H7" s="1"/>
      <c r="I7" s="1"/>
    </row>
    <row r="8" spans="1:9" x14ac:dyDescent="0.3">
      <c r="A8" s="36" t="s">
        <v>93</v>
      </c>
      <c r="B8" s="77">
        <f ca="1">B2*Drivers!B12</f>
        <v>960799.101230075</v>
      </c>
      <c r="C8" s="77">
        <f ca="1">C2*Drivers!C12</f>
        <v>1417507.6261754937</v>
      </c>
      <c r="D8" s="77">
        <f ca="1">D2*Drivers!D12</f>
        <v>1934806.0067225604</v>
      </c>
      <c r="E8" s="77">
        <f ca="1">E2*Drivers!E12</f>
        <v>2480227.0443648184</v>
      </c>
      <c r="F8" s="77">
        <f ca="1">F2*Drivers!F12</f>
        <v>3024512.4314119308</v>
      </c>
      <c r="G8" s="1"/>
      <c r="H8" s="1"/>
      <c r="I8" s="1"/>
    </row>
    <row r="9" spans="1:9" x14ac:dyDescent="0.3">
      <c r="A9" s="36" t="s">
        <v>95</v>
      </c>
      <c r="B9" s="71">
        <f ca="1">IF(MonteCarlo!$K$2="ON", B8, B7)</f>
        <v>960799.101230075</v>
      </c>
      <c r="C9" s="71">
        <f ca="1">IF(MonteCarlo!$K$2="ON", C8, C7)</f>
        <v>1417507.6261754937</v>
      </c>
      <c r="D9" s="71">
        <f ca="1">IF(MonteCarlo!$K$2="ON", D8, D7)</f>
        <v>1934806.0067225604</v>
      </c>
      <c r="E9" s="71">
        <f ca="1">IF(MonteCarlo!$K$2="ON", E8, E7)</f>
        <v>2480227.0443648184</v>
      </c>
      <c r="F9" s="71">
        <f ca="1">IF(MonteCarlo!$K$2="ON", F8, F7)</f>
        <v>3024512.4314119308</v>
      </c>
      <c r="G9" s="1"/>
      <c r="H9" s="1"/>
      <c r="I9" s="1"/>
    </row>
    <row r="10" spans="1:9" x14ac:dyDescent="0.3">
      <c r="A10" s="36" t="s">
        <v>11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"/>
      <c r="H10" s="1"/>
      <c r="I10" s="1"/>
    </row>
    <row r="11" spans="1:9" x14ac:dyDescent="0.3">
      <c r="A11" s="44" t="s">
        <v>12</v>
      </c>
      <c r="B11" s="14">
        <f ca="1">B9-B10</f>
        <v>960799.101230075</v>
      </c>
      <c r="C11" s="14">
        <f t="shared" ref="C11:F11" ca="1" si="2">C9-C10</f>
        <v>1417507.6261754937</v>
      </c>
      <c r="D11" s="14">
        <f t="shared" ca="1" si="2"/>
        <v>1934806.0067225604</v>
      </c>
      <c r="E11" s="14">
        <f t="shared" ca="1" si="2"/>
        <v>2480227.0443648184</v>
      </c>
      <c r="F11" s="14">
        <f t="shared" ca="1" si="2"/>
        <v>3024512.4314119308</v>
      </c>
      <c r="G11" s="1"/>
      <c r="H11" s="1"/>
      <c r="I11" s="1"/>
    </row>
    <row r="12" spans="1:9" x14ac:dyDescent="0.3">
      <c r="A12" s="36" t="s">
        <v>13</v>
      </c>
      <c r="B12" s="13">
        <f ca="1">-FCF_Sched!B28</f>
        <v>-240199.77530751875</v>
      </c>
      <c r="C12" s="13">
        <f ca="1">-FCF_Sched!C28</f>
        <v>-354376.90654387343</v>
      </c>
      <c r="D12" s="13">
        <f ca="1">-FCF_Sched!D28</f>
        <v>-483701.5016806401</v>
      </c>
      <c r="E12" s="13">
        <f ca="1">-FCF_Sched!E28</f>
        <v>-620056.76109120459</v>
      </c>
      <c r="F12" s="13">
        <f ca="1">-FCF_Sched!F28</f>
        <v>-756128.10785298271</v>
      </c>
      <c r="G12" s="1"/>
      <c r="H12" s="1"/>
      <c r="I12" s="1"/>
    </row>
    <row r="13" spans="1:9" x14ac:dyDescent="0.3">
      <c r="A13" s="35" t="s">
        <v>14</v>
      </c>
      <c r="B13" s="16">
        <f ca="1">B11+B12</f>
        <v>720599.32592255622</v>
      </c>
      <c r="C13" s="16">
        <f t="shared" ref="C13:F13" ca="1" si="3">C11+C12</f>
        <v>1063130.7196316202</v>
      </c>
      <c r="D13" s="16">
        <f t="shared" ca="1" si="3"/>
        <v>1451104.5050419203</v>
      </c>
      <c r="E13" s="16">
        <f t="shared" ca="1" si="3"/>
        <v>1860170.2832736138</v>
      </c>
      <c r="F13" s="16">
        <f t="shared" ca="1" si="3"/>
        <v>2268384.323558948</v>
      </c>
      <c r="G13" s="1"/>
      <c r="H13" s="1"/>
      <c r="I13" s="1"/>
    </row>
  </sheetData>
  <mergeCells count="2">
    <mergeCell ref="H2:I4"/>
    <mergeCell ref="H5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2DD2-3DB8-420C-9C9E-3AC934E3B339}">
  <dimension ref="A1:I8"/>
  <sheetViews>
    <sheetView zoomScale="130" zoomScaleNormal="130" workbookViewId="0">
      <selection activeCell="B8" sqref="B8"/>
    </sheetView>
  </sheetViews>
  <sheetFormatPr defaultRowHeight="14.4" x14ac:dyDescent="0.3"/>
  <cols>
    <col min="1" max="1" width="18.109375" bestFit="1" customWidth="1"/>
    <col min="8" max="8" width="10" customWidth="1"/>
    <col min="9" max="9" width="10.21875" customWidth="1"/>
  </cols>
  <sheetData>
    <row r="1" spans="1:9" x14ac:dyDescent="0.3">
      <c r="A1" s="46" t="s">
        <v>0</v>
      </c>
      <c r="B1" s="47">
        <v>2024</v>
      </c>
      <c r="C1" s="47">
        <v>2025</v>
      </c>
      <c r="D1" s="47">
        <v>2026</v>
      </c>
      <c r="E1" s="47">
        <v>2027</v>
      </c>
      <c r="F1" s="47">
        <v>2028</v>
      </c>
    </row>
    <row r="2" spans="1:9" x14ac:dyDescent="0.3">
      <c r="A2" s="36" t="s">
        <v>16</v>
      </c>
      <c r="B2" s="11">
        <v>100000</v>
      </c>
      <c r="C2" s="4">
        <f ca="1">CashFlow!B14</f>
        <v>641421.28075285815</v>
      </c>
      <c r="D2" s="4">
        <f ca="1">CashFlow!C14</f>
        <v>1511258.731809672</v>
      </c>
      <c r="E2" s="4">
        <f ca="1">CashFlow!D14</f>
        <v>2769804.118488593</v>
      </c>
      <c r="F2" s="4">
        <f ca="1">CashFlow!E14</f>
        <v>4450291.3960704673</v>
      </c>
      <c r="H2" s="64" t="s">
        <v>23</v>
      </c>
      <c r="I2" s="64"/>
    </row>
    <row r="3" spans="1:9" x14ac:dyDescent="0.3">
      <c r="A3" s="36" t="s">
        <v>17</v>
      </c>
      <c r="B3" s="4">
        <f>IncomeStmt!B$2/365*Drivers!B$14</f>
        <v>493150.68493150681</v>
      </c>
      <c r="C3" s="4">
        <f ca="1">IncomeStmt!C$2/365*Drivers!C$14</f>
        <v>711397.96625448309</v>
      </c>
      <c r="D3" s="4">
        <f ca="1">IncomeStmt!D$2/365*Drivers!D$14</f>
        <v>948943.64416129631</v>
      </c>
      <c r="E3" s="4">
        <f ca="1">IncomeStmt!E$2/365*Drivers!E$14</f>
        <v>1188160.9310468959</v>
      </c>
      <c r="F3" s="4">
        <f ca="1">IncomeStmt!F$2/365*Drivers!F$14</f>
        <v>1414404.955769019</v>
      </c>
      <c r="H3" s="64"/>
      <c r="I3" s="64"/>
    </row>
    <row r="4" spans="1:9" x14ac:dyDescent="0.3">
      <c r="A4" s="36" t="s">
        <v>18</v>
      </c>
      <c r="B4" s="11">
        <v>50000</v>
      </c>
      <c r="C4" s="11">
        <v>50000</v>
      </c>
      <c r="D4" s="11">
        <v>50000</v>
      </c>
      <c r="E4" s="11">
        <v>50000</v>
      </c>
      <c r="F4" s="11">
        <v>50000</v>
      </c>
      <c r="H4" s="64"/>
      <c r="I4" s="64"/>
    </row>
    <row r="5" spans="1:9" x14ac:dyDescent="0.3">
      <c r="A5" s="44" t="s">
        <v>19</v>
      </c>
      <c r="B5" s="6">
        <f>B2+B3+B4</f>
        <v>643150.68493150687</v>
      </c>
      <c r="C5" s="6">
        <f t="shared" ref="C5:F5" ca="1" si="0">C2+C3+C4</f>
        <v>1402819.2470073411</v>
      </c>
      <c r="D5" s="6">
        <f t="shared" ca="1" si="0"/>
        <v>2510202.375970968</v>
      </c>
      <c r="E5" s="6">
        <f t="shared" ca="1" si="0"/>
        <v>4007965.0495354887</v>
      </c>
      <c r="F5" s="6">
        <f t="shared" ca="1" si="0"/>
        <v>5914696.3518394865</v>
      </c>
      <c r="H5" s="63" t="s">
        <v>36</v>
      </c>
      <c r="I5" s="63"/>
    </row>
    <row r="6" spans="1:9" x14ac:dyDescent="0.3">
      <c r="A6" s="36" t="s">
        <v>20</v>
      </c>
      <c r="B6" s="4">
        <f>-(IncomeStmt!B$3/365)*Drivers!B$15</f>
        <v>82191.780821917811</v>
      </c>
      <c r="C6" s="4">
        <f ca="1">-(IncomeStmt!C$3/365)*Drivers!C$15</f>
        <v>121261.01697519599</v>
      </c>
      <c r="D6" s="4">
        <f ca="1">-(IncomeStmt!D$3/365)*Drivers!D$15</f>
        <v>165513.42630720284</v>
      </c>
      <c r="E6" s="4">
        <f ca="1">-(IncomeStmt!E$3/365)*Drivers!E$15</f>
        <v>212171.59482980284</v>
      </c>
      <c r="F6" s="4">
        <f ca="1">-(IncomeStmt!F$3/365)*Drivers!F$15</f>
        <v>258732.61386018642</v>
      </c>
      <c r="H6" s="63"/>
      <c r="I6" s="63"/>
    </row>
    <row r="7" spans="1:9" x14ac:dyDescent="0.3">
      <c r="A7" s="45" t="s">
        <v>21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</row>
    <row r="8" spans="1:9" x14ac:dyDescent="0.3">
      <c r="A8" s="44" t="s">
        <v>22</v>
      </c>
      <c r="B8" s="6">
        <f>B5-B6-B7</f>
        <v>560958.90410958906</v>
      </c>
      <c r="C8" s="6">
        <f t="shared" ref="C8:F8" ca="1" si="1">C5-C6-C7</f>
        <v>1281558.230032145</v>
      </c>
      <c r="D8" s="6">
        <f t="shared" ca="1" si="1"/>
        <v>2344688.9496637653</v>
      </c>
      <c r="E8" s="6">
        <f t="shared" ca="1" si="1"/>
        <v>3795793.4547056858</v>
      </c>
      <c r="F8" s="6">
        <f t="shared" ca="1" si="1"/>
        <v>5655963.7379793003</v>
      </c>
    </row>
  </sheetData>
  <mergeCells count="2">
    <mergeCell ref="H2:I4"/>
    <mergeCell ref="H5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6CC7-2521-4F6D-948B-FFC016BA21BF}">
  <dimension ref="A1:I16"/>
  <sheetViews>
    <sheetView zoomScale="130" zoomScaleNormal="130" workbookViewId="0">
      <selection activeCell="B16" sqref="B16"/>
    </sheetView>
  </sheetViews>
  <sheetFormatPr defaultRowHeight="14.4" x14ac:dyDescent="0.3"/>
  <cols>
    <col min="1" max="1" width="20" customWidth="1"/>
    <col min="8" max="8" width="9.6640625" customWidth="1"/>
    <col min="9" max="9" width="9.88671875" customWidth="1"/>
  </cols>
  <sheetData>
    <row r="1" spans="1:9" x14ac:dyDescent="0.3">
      <c r="A1" s="43" t="s">
        <v>0</v>
      </c>
      <c r="B1" s="5">
        <v>2024</v>
      </c>
      <c r="C1" s="5">
        <v>2025</v>
      </c>
      <c r="D1" s="5">
        <v>2026</v>
      </c>
      <c r="E1" s="5">
        <v>2027</v>
      </c>
      <c r="F1" s="5">
        <v>2028</v>
      </c>
    </row>
    <row r="2" spans="1:9" x14ac:dyDescent="0.3">
      <c r="A2" s="40" t="s">
        <v>14</v>
      </c>
      <c r="B2" s="13">
        <f ca="1">IncomeStmt!B13</f>
        <v>720599.32592255622</v>
      </c>
      <c r="C2" s="13">
        <f ca="1">IncomeStmt!C13</f>
        <v>1063130.7196316202</v>
      </c>
      <c r="D2" s="13">
        <f ca="1">IncomeStmt!D13</f>
        <v>1451104.5050419203</v>
      </c>
      <c r="E2" s="13">
        <f ca="1">IncomeStmt!E13</f>
        <v>1860170.2832736138</v>
      </c>
      <c r="F2" s="13">
        <f ca="1">IncomeStmt!F13</f>
        <v>2268384.323558948</v>
      </c>
      <c r="H2" s="64" t="s">
        <v>23</v>
      </c>
      <c r="I2" s="64"/>
    </row>
    <row r="3" spans="1:9" ht="28.2" x14ac:dyDescent="0.3">
      <c r="A3" s="40" t="s">
        <v>24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H3" s="64"/>
      <c r="I3" s="64"/>
    </row>
    <row r="4" spans="1:9" x14ac:dyDescent="0.3">
      <c r="A4" s="40" t="s">
        <v>26</v>
      </c>
      <c r="B4" s="13">
        <f ca="1">-1*(BalanceSheet!C3-BalanceSheet!B3)</f>
        <v>-218247.28132297628</v>
      </c>
      <c r="C4" s="13">
        <f ca="1">-1*(BalanceSheet!D3-BalanceSheet!C3)</f>
        <v>-237545.67790681322</v>
      </c>
      <c r="D4" s="13">
        <f ca="1">-1*(BalanceSheet!E3-BalanceSheet!D3)</f>
        <v>-239217.28688559961</v>
      </c>
      <c r="E4" s="13">
        <f ca="1">-1*(BalanceSheet!F3-BalanceSheet!E3)</f>
        <v>-226244.02472212305</v>
      </c>
      <c r="F4" s="13">
        <f ca="1">-1*(BalanceSheet!G3-BalanceSheet!F3)</f>
        <v>1414404.955769019</v>
      </c>
      <c r="H4" s="64"/>
      <c r="I4" s="64"/>
    </row>
    <row r="5" spans="1:9" x14ac:dyDescent="0.3">
      <c r="A5" s="40" t="s">
        <v>25</v>
      </c>
      <c r="B5" s="13">
        <f ca="1">BalanceSheet!C6-BalanceSheet!B6</f>
        <v>39069.23615327818</v>
      </c>
      <c r="C5" s="13">
        <f ca="1">BalanceSheet!D6-BalanceSheet!C6</f>
        <v>44252.40933200685</v>
      </c>
      <c r="D5" s="13">
        <f ca="1">BalanceSheet!E6-BalanceSheet!D6</f>
        <v>46658.168522599997</v>
      </c>
      <c r="E5" s="13">
        <f ca="1">BalanceSheet!F6-BalanceSheet!E6</f>
        <v>46561.019030383584</v>
      </c>
      <c r="F5" s="13">
        <f ca="1">BalanceSheet!G6-BalanceSheet!F6</f>
        <v>-258732.61386018642</v>
      </c>
      <c r="H5" s="63" t="s">
        <v>36</v>
      </c>
      <c r="I5" s="63"/>
    </row>
    <row r="6" spans="1:9" x14ac:dyDescent="0.3">
      <c r="A6" s="80" t="s">
        <v>27</v>
      </c>
      <c r="B6" s="71">
        <f ca="1">SUM(B2:B5)</f>
        <v>541421.28075285815</v>
      </c>
      <c r="C6" s="71">
        <f t="shared" ref="C6:F6" ca="1" si="0">SUM(C2:C5)</f>
        <v>869837.45105681382</v>
      </c>
      <c r="D6" s="71">
        <f t="shared" ca="1" si="0"/>
        <v>1258545.3866789208</v>
      </c>
      <c r="E6" s="71">
        <f t="shared" ca="1" si="0"/>
        <v>1680487.2775818743</v>
      </c>
      <c r="F6" s="71">
        <f t="shared" ca="1" si="0"/>
        <v>3424056.665467781</v>
      </c>
      <c r="H6" s="63"/>
      <c r="I6" s="63"/>
    </row>
    <row r="7" spans="1:9" ht="28.2" x14ac:dyDescent="0.3">
      <c r="A7" s="81" t="s">
        <v>28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</row>
    <row r="8" spans="1:9" x14ac:dyDescent="0.3">
      <c r="A8" s="79" t="s">
        <v>29</v>
      </c>
      <c r="B8" s="78">
        <f>B7</f>
        <v>0</v>
      </c>
      <c r="C8" s="78">
        <f t="shared" ref="C8:F8" si="1">C7</f>
        <v>0</v>
      </c>
      <c r="D8" s="78">
        <f t="shared" si="1"/>
        <v>0</v>
      </c>
      <c r="E8" s="78">
        <f t="shared" si="1"/>
        <v>0</v>
      </c>
      <c r="F8" s="78">
        <f t="shared" si="1"/>
        <v>0</v>
      </c>
    </row>
    <row r="9" spans="1:9" x14ac:dyDescent="0.3">
      <c r="A9" s="40" t="s">
        <v>30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</row>
    <row r="10" spans="1:9" x14ac:dyDescent="0.3">
      <c r="A10" s="40" t="s">
        <v>31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</row>
    <row r="11" spans="1:9" x14ac:dyDescent="0.3">
      <c r="A11" s="79" t="s">
        <v>32</v>
      </c>
      <c r="B11" s="78">
        <f>B9+B10</f>
        <v>0</v>
      </c>
      <c r="C11" s="78">
        <f t="shared" ref="C11:F11" si="2">C9+C10</f>
        <v>0</v>
      </c>
      <c r="D11" s="78">
        <f t="shared" si="2"/>
        <v>0</v>
      </c>
      <c r="E11" s="78">
        <f t="shared" si="2"/>
        <v>0</v>
      </c>
      <c r="F11" s="78">
        <f t="shared" si="2"/>
        <v>0</v>
      </c>
    </row>
    <row r="12" spans="1:9" x14ac:dyDescent="0.3">
      <c r="A12" s="40" t="s">
        <v>33</v>
      </c>
      <c r="B12" s="13">
        <f ca="1">SUM(B6,B8,B11)</f>
        <v>541421.28075285815</v>
      </c>
      <c r="C12" s="13">
        <f t="shared" ref="C12:F12" ca="1" si="3">SUM(C6,C8,C11)</f>
        <v>869837.45105681382</v>
      </c>
      <c r="D12" s="13">
        <f t="shared" ca="1" si="3"/>
        <v>1258545.3866789208</v>
      </c>
      <c r="E12" s="13">
        <f t="shared" ca="1" si="3"/>
        <v>1680487.2775818743</v>
      </c>
      <c r="F12" s="13">
        <f t="shared" ca="1" si="3"/>
        <v>3424056.665467781</v>
      </c>
    </row>
    <row r="13" spans="1:9" x14ac:dyDescent="0.3">
      <c r="A13" s="41" t="s">
        <v>34</v>
      </c>
      <c r="B13" s="13">
        <f>BalanceSheet!B2</f>
        <v>100000</v>
      </c>
      <c r="C13" s="13">
        <f ca="1">BalanceSheet!C2</f>
        <v>641421.28075285815</v>
      </c>
      <c r="D13" s="13">
        <f ca="1">BalanceSheet!D2</f>
        <v>1511258.731809672</v>
      </c>
      <c r="E13" s="13">
        <f ca="1">BalanceSheet!E2</f>
        <v>2769804.118488593</v>
      </c>
      <c r="F13" s="13">
        <f ca="1">BalanceSheet!F2</f>
        <v>4450291.3960704673</v>
      </c>
    </row>
    <row r="14" spans="1:9" x14ac:dyDescent="0.3">
      <c r="A14" s="42" t="s">
        <v>35</v>
      </c>
      <c r="B14" s="16">
        <f ca="1">B13+B12</f>
        <v>641421.28075285815</v>
      </c>
      <c r="C14" s="16">
        <f t="shared" ref="C14:F14" ca="1" si="4">C13+C12</f>
        <v>1511258.731809672</v>
      </c>
      <c r="D14" s="16">
        <f t="shared" ca="1" si="4"/>
        <v>2769804.118488593</v>
      </c>
      <c r="E14" s="16">
        <f t="shared" ca="1" si="4"/>
        <v>4450291.3960704673</v>
      </c>
      <c r="F14" s="16">
        <f t="shared" ca="1" si="4"/>
        <v>7874348.0615382483</v>
      </c>
    </row>
    <row r="16" spans="1:9" x14ac:dyDescent="0.3">
      <c r="A16" s="42" t="s">
        <v>42</v>
      </c>
      <c r="B16" s="16">
        <f ca="1">B6-B7</f>
        <v>541421.28075285815</v>
      </c>
      <c r="C16" s="16">
        <f ca="1">C6-C7</f>
        <v>869837.45105681382</v>
      </c>
      <c r="D16" s="16">
        <f ca="1">D6-D7</f>
        <v>1258545.3866789208</v>
      </c>
      <c r="E16" s="16">
        <f ca="1">E6-E7</f>
        <v>1680487.2775818743</v>
      </c>
      <c r="F16" s="16">
        <f ca="1">F6-F7</f>
        <v>3424056.665467781</v>
      </c>
    </row>
  </sheetData>
  <mergeCells count="2">
    <mergeCell ref="H2:I4"/>
    <mergeCell ref="H5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4BBA-0A90-4B0F-BDDF-50C5110C899C}">
  <dimension ref="A1:J30"/>
  <sheetViews>
    <sheetView zoomScale="130" zoomScaleNormal="130" workbookViewId="0">
      <selection activeCell="E3" sqref="E3"/>
    </sheetView>
  </sheetViews>
  <sheetFormatPr defaultRowHeight="14.4" x14ac:dyDescent="0.3"/>
  <cols>
    <col min="1" max="1" width="24.77734375" bestFit="1" customWidth="1"/>
    <col min="2" max="2" width="10" customWidth="1"/>
    <col min="3" max="3" width="10" bestFit="1" customWidth="1"/>
    <col min="4" max="4" width="10.88671875" bestFit="1" customWidth="1"/>
    <col min="5" max="6" width="10" bestFit="1" customWidth="1"/>
    <col min="8" max="9" width="10.5546875" customWidth="1"/>
  </cols>
  <sheetData>
    <row r="1" spans="1:10" x14ac:dyDescent="0.3">
      <c r="A1" s="33" t="s">
        <v>0</v>
      </c>
      <c r="B1" s="7">
        <v>2024</v>
      </c>
      <c r="C1" s="7">
        <v>2025</v>
      </c>
      <c r="D1" s="7">
        <v>2026</v>
      </c>
      <c r="E1" s="7">
        <v>2027</v>
      </c>
      <c r="F1" s="7">
        <v>2028</v>
      </c>
      <c r="G1" s="1"/>
      <c r="H1" s="7" t="s">
        <v>44</v>
      </c>
      <c r="I1" s="23">
        <v>0.25</v>
      </c>
      <c r="J1" s="1"/>
    </row>
    <row r="2" spans="1:10" x14ac:dyDescent="0.3">
      <c r="A2" s="36" t="s">
        <v>10</v>
      </c>
      <c r="B2" s="4">
        <f ca="1">IncomeStmt!B9</f>
        <v>960799.101230075</v>
      </c>
      <c r="C2" s="4">
        <f ca="1">IncomeStmt!C9</f>
        <v>1417507.6261754937</v>
      </c>
      <c r="D2" s="4">
        <f ca="1">IncomeStmt!D9</f>
        <v>1934806.0067225604</v>
      </c>
      <c r="E2" s="4">
        <f ca="1">IncomeStmt!E9</f>
        <v>2480227.0443648184</v>
      </c>
      <c r="F2" s="4">
        <f ca="1">IncomeStmt!F9</f>
        <v>3024512.4314119308</v>
      </c>
      <c r="G2" s="1"/>
      <c r="H2" s="1"/>
      <c r="I2" s="1"/>
      <c r="J2" s="1"/>
    </row>
    <row r="3" spans="1:10" x14ac:dyDescent="0.3">
      <c r="A3" s="36" t="s">
        <v>43</v>
      </c>
      <c r="B3" s="4">
        <f ca="1">B28</f>
        <v>240199.77530751875</v>
      </c>
      <c r="C3" s="4">
        <f t="shared" ref="C3:F3" ca="1" si="0">C28</f>
        <v>354376.90654387343</v>
      </c>
      <c r="D3" s="4">
        <f t="shared" ca="1" si="0"/>
        <v>483701.5016806401</v>
      </c>
      <c r="E3" s="4">
        <f t="shared" ca="1" si="0"/>
        <v>620056.76109120459</v>
      </c>
      <c r="F3" s="4">
        <f t="shared" ca="1" si="0"/>
        <v>756128.10785298271</v>
      </c>
      <c r="G3" s="1"/>
      <c r="H3" s="64" t="s">
        <v>23</v>
      </c>
      <c r="I3" s="64"/>
      <c r="J3" s="1"/>
    </row>
    <row r="4" spans="1:10" x14ac:dyDescent="0.3">
      <c r="A4" s="36" t="s">
        <v>45</v>
      </c>
      <c r="B4" s="4">
        <f>-IncomeStmt!B3</f>
        <v>1000000</v>
      </c>
      <c r="C4" s="4">
        <f ca="1">-IncomeStmt!C3</f>
        <v>1475342.3731982179</v>
      </c>
      <c r="D4" s="4">
        <f ca="1">-IncomeStmt!D3</f>
        <v>2013746.6867376345</v>
      </c>
      <c r="E4" s="4">
        <f ca="1">-IncomeStmt!E3</f>
        <v>2581421.0704292678</v>
      </c>
      <c r="F4" s="4">
        <f ca="1">-IncomeStmt!F3</f>
        <v>3147913.4686322678</v>
      </c>
      <c r="G4" s="1"/>
      <c r="H4" s="64"/>
      <c r="I4" s="64"/>
      <c r="J4" s="1"/>
    </row>
    <row r="5" spans="1:10" x14ac:dyDescent="0.3">
      <c r="A5" s="36" t="s">
        <v>46</v>
      </c>
      <c r="B5" s="4">
        <f>IncomeStmt!B2*0.02</f>
        <v>80000</v>
      </c>
      <c r="C5" s="4">
        <f ca="1">IncomeStmt!C2*0.02</f>
        <v>118027.38985585744</v>
      </c>
      <c r="D5" s="4">
        <f ca="1">IncomeStmt!D2*0.02</f>
        <v>161099.73493901076</v>
      </c>
      <c r="E5" s="4">
        <f ca="1">IncomeStmt!E2*0.02</f>
        <v>206513.68563434144</v>
      </c>
      <c r="F5" s="4">
        <f ca="1">IncomeStmt!F2*0.02</f>
        <v>251833.07749058143</v>
      </c>
      <c r="G5" s="1"/>
      <c r="H5" s="64"/>
      <c r="I5" s="64"/>
      <c r="J5" s="1"/>
    </row>
    <row r="6" spans="1:10" x14ac:dyDescent="0.3">
      <c r="A6" s="36" t="s">
        <v>47</v>
      </c>
      <c r="B6" s="4">
        <f ca="1">CashFlow!B4+CashFlow!B5</f>
        <v>-179178.0451696981</v>
      </c>
      <c r="C6" s="4">
        <f ca="1">CashFlow!C4+CashFlow!C5</f>
        <v>-193293.26857480637</v>
      </c>
      <c r="D6" s="4">
        <f ca="1">CashFlow!D4+CashFlow!D5</f>
        <v>-192559.11836299961</v>
      </c>
      <c r="E6" s="4">
        <f ca="1">CashFlow!E4+CashFlow!E5</f>
        <v>-179683.00569173947</v>
      </c>
      <c r="F6" s="4">
        <f ca="1">CashFlow!F4+CashFlow!F5</f>
        <v>1155672.3419088325</v>
      </c>
      <c r="G6" s="1"/>
      <c r="H6" s="63" t="s">
        <v>36</v>
      </c>
      <c r="I6" s="63"/>
      <c r="J6" s="1"/>
    </row>
    <row r="7" spans="1:10" x14ac:dyDescent="0.3">
      <c r="A7" s="35" t="s">
        <v>48</v>
      </c>
      <c r="B7" s="22">
        <f ca="1">B2-B3+B4-B5-B6</f>
        <v>1819777.3710922543</v>
      </c>
      <c r="C7" s="22">
        <f t="shared" ref="C7:F7" ca="1" si="1">C2-C3+C4-C5-C6</f>
        <v>2613738.9715487873</v>
      </c>
      <c r="D7" s="22">
        <f t="shared" ca="1" si="1"/>
        <v>3496310.5752035435</v>
      </c>
      <c r="E7" s="22">
        <f t="shared" ca="1" si="1"/>
        <v>4414760.67376028</v>
      </c>
      <c r="F7" s="22">
        <f t="shared" ca="1" si="1"/>
        <v>4008792.372791802</v>
      </c>
      <c r="G7" s="1"/>
      <c r="H7" s="63"/>
      <c r="I7" s="63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65" t="s">
        <v>50</v>
      </c>
      <c r="B9" s="65"/>
      <c r="C9" s="65"/>
      <c r="D9" s="65"/>
      <c r="E9" s="65"/>
      <c r="F9" s="65"/>
      <c r="H9" s="25" t="s">
        <v>49</v>
      </c>
      <c r="I9" s="30">
        <v>1</v>
      </c>
      <c r="J9" s="1"/>
    </row>
    <row r="10" spans="1:10" x14ac:dyDescent="0.3">
      <c r="A10" s="26"/>
      <c r="B10" s="27">
        <f ca="1">B7</f>
        <v>1819777.3710922543</v>
      </c>
      <c r="C10" s="28">
        <f ca="1">C7</f>
        <v>2613738.9715487873</v>
      </c>
      <c r="D10" s="29">
        <f ca="1">D7</f>
        <v>3496310.5752035435</v>
      </c>
      <c r="E10" s="32">
        <f ca="1">E7</f>
        <v>4414760.67376028</v>
      </c>
      <c r="F10" s="31">
        <f ca="1">F7</f>
        <v>4008792.372791802</v>
      </c>
      <c r="H10" s="1"/>
      <c r="I10" s="1"/>
      <c r="J10" s="1"/>
    </row>
    <row r="11" spans="1:10" x14ac:dyDescent="0.3">
      <c r="A11" s="37">
        <v>1.05</v>
      </c>
      <c r="B11" s="24">
        <f t="dataTable" ref="B11:F13" dt2D="0" dtr="0" r1="I9" ca="1"/>
        <v>2041544.5960631776</v>
      </c>
      <c r="C11" s="24">
        <v>2808031.4042698252</v>
      </c>
      <c r="D11" s="24">
        <v>3613430.1801883113</v>
      </c>
      <c r="E11" s="24">
        <v>4410896.183138242</v>
      </c>
      <c r="F11" s="24">
        <v>4020096.3429270699</v>
      </c>
      <c r="G11" s="1"/>
      <c r="H11" s="1"/>
      <c r="I11" s="1"/>
      <c r="J11" s="1"/>
    </row>
    <row r="12" spans="1:10" x14ac:dyDescent="0.3">
      <c r="A12" s="38">
        <v>1</v>
      </c>
      <c r="B12" s="24">
        <v>1973730.6185632702</v>
      </c>
      <c r="C12" s="24">
        <v>2830038.3173434944</v>
      </c>
      <c r="D12" s="24">
        <v>3786545.2753218566</v>
      </c>
      <c r="E12" s="24">
        <v>4788524.0055574328</v>
      </c>
      <c r="F12" s="24">
        <v>4477434.276670563</v>
      </c>
    </row>
    <row r="13" spans="1:10" x14ac:dyDescent="0.3">
      <c r="A13" s="39">
        <v>0.95</v>
      </c>
      <c r="B13" s="24">
        <v>1901631.7056139831</v>
      </c>
      <c r="C13" s="24">
        <v>2671334.827564206</v>
      </c>
      <c r="D13" s="24">
        <v>3511459.934376868</v>
      </c>
      <c r="E13" s="24">
        <v>4374374.7992933914</v>
      </c>
      <c r="F13" s="24">
        <v>4074648.1341729695</v>
      </c>
    </row>
    <row r="24" spans="1:6" x14ac:dyDescent="0.3">
      <c r="A24" s="46"/>
      <c r="B24" s="47">
        <v>2024</v>
      </c>
      <c r="C24" s="47">
        <v>2025</v>
      </c>
      <c r="D24" s="47">
        <v>2026</v>
      </c>
      <c r="E24" s="47">
        <v>2027</v>
      </c>
      <c r="F24" s="47">
        <v>2028</v>
      </c>
    </row>
    <row r="25" spans="1:6" x14ac:dyDescent="0.3">
      <c r="A25" s="36" t="s">
        <v>12</v>
      </c>
      <c r="B25" s="1">
        <f ca="1">IncomeStmt!B11</f>
        <v>960799.101230075</v>
      </c>
      <c r="C25" s="1">
        <f ca="1">IncomeStmt!C11</f>
        <v>1417507.6261754937</v>
      </c>
      <c r="D25" s="1">
        <f ca="1">IncomeStmt!D11</f>
        <v>1934806.0067225604</v>
      </c>
      <c r="E25" s="1">
        <f ca="1">IncomeStmt!E11</f>
        <v>2480227.0443648184</v>
      </c>
      <c r="F25" s="1">
        <f ca="1">IncomeStmt!F11</f>
        <v>3024512.4314119308</v>
      </c>
    </row>
    <row r="26" spans="1:6" x14ac:dyDescent="0.3">
      <c r="A26" s="36" t="s">
        <v>51</v>
      </c>
      <c r="B26" s="1">
        <f>0</f>
        <v>0</v>
      </c>
      <c r="C26" s="1">
        <f ca="1">MAX(0, B30)</f>
        <v>0</v>
      </c>
      <c r="D26" s="1">
        <f t="shared" ref="D26:F26" ca="1" si="2">MAX(0, C30)</f>
        <v>0</v>
      </c>
      <c r="E26" s="1">
        <f t="shared" ca="1" si="2"/>
        <v>0</v>
      </c>
      <c r="F26" s="1">
        <f t="shared" ca="1" si="2"/>
        <v>0</v>
      </c>
    </row>
    <row r="27" spans="1:6" x14ac:dyDescent="0.3">
      <c r="A27" s="36" t="s">
        <v>52</v>
      </c>
      <c r="B27" s="1">
        <f ca="1">MAX(0, B25-B26)</f>
        <v>960799.101230075</v>
      </c>
      <c r="C27" s="1">
        <f t="shared" ref="C27:F27" ca="1" si="3">MAX(0, C25-C26)</f>
        <v>1417507.6261754937</v>
      </c>
      <c r="D27" s="1">
        <f t="shared" ca="1" si="3"/>
        <v>1934806.0067225604</v>
      </c>
      <c r="E27" s="1">
        <f t="shared" ca="1" si="3"/>
        <v>2480227.0443648184</v>
      </c>
      <c r="F27" s="1">
        <f t="shared" ca="1" si="3"/>
        <v>3024512.4314119308</v>
      </c>
    </row>
    <row r="28" spans="1:6" x14ac:dyDescent="0.3">
      <c r="A28" s="36" t="s">
        <v>53</v>
      </c>
      <c r="B28" s="1">
        <f ca="1">B27*tax_rate</f>
        <v>240199.77530751875</v>
      </c>
      <c r="C28" s="1">
        <f ca="1">C27*tax_rate</f>
        <v>354376.90654387343</v>
      </c>
      <c r="D28" s="1">
        <f ca="1">D27*tax_rate</f>
        <v>483701.5016806401</v>
      </c>
      <c r="E28" s="1">
        <f ca="1">E27*tax_rate</f>
        <v>620056.76109120459</v>
      </c>
      <c r="F28" s="1">
        <f ca="1">F27*tax_rate</f>
        <v>756128.10785298271</v>
      </c>
    </row>
    <row r="29" spans="1:6" x14ac:dyDescent="0.3">
      <c r="A29" s="36" t="s">
        <v>54</v>
      </c>
      <c r="B29" s="1">
        <f ca="1">B25-B27</f>
        <v>0</v>
      </c>
      <c r="C29" s="1">
        <f t="shared" ref="C29:F29" ca="1" si="4">C25-C27</f>
        <v>0</v>
      </c>
      <c r="D29" s="1">
        <f t="shared" ca="1" si="4"/>
        <v>0</v>
      </c>
      <c r="E29" s="1">
        <f t="shared" ca="1" si="4"/>
        <v>0</v>
      </c>
      <c r="F29" s="1">
        <f t="shared" ca="1" si="4"/>
        <v>0</v>
      </c>
    </row>
    <row r="30" spans="1:6" x14ac:dyDescent="0.3">
      <c r="A30" s="36" t="s">
        <v>55</v>
      </c>
      <c r="B30" s="1">
        <f ca="1">B26-B29+MIN(0, B28)</f>
        <v>0</v>
      </c>
      <c r="C30" s="1">
        <f t="shared" ref="C30:F30" ca="1" si="5">C26-C29+MIN(0, C28)</f>
        <v>0</v>
      </c>
      <c r="D30" s="1">
        <f t="shared" ca="1" si="5"/>
        <v>0</v>
      </c>
      <c r="E30" s="1">
        <f t="shared" ca="1" si="5"/>
        <v>0</v>
      </c>
      <c r="F30" s="1">
        <f t="shared" ca="1" si="5"/>
        <v>0</v>
      </c>
    </row>
  </sheetData>
  <scenarios current="0" show="0">
    <scenario name="Base" locked="1" count="1" user="Lucas Duran" comment="Created by Lucas Duran on 6/24/2025">
      <inputCells r="I9" val="1" numFmtId="2"/>
    </scenario>
    <scenario name="Bull" locked="1" count="1" user="Lucas Duran" comment="Created by Lucas Duran on 6/24/2025">
      <inputCells r="I9" val="1.05" numFmtId="2"/>
    </scenario>
    <scenario name="Bear" locked="1" count="1" user="Lucas Duran" comment="Created by Lucas Duran on 6/24/2025">
      <inputCells r="I9" val="0.95" numFmtId="2"/>
    </scenario>
  </scenarios>
  <mergeCells count="3">
    <mergeCell ref="A9:F9"/>
    <mergeCell ref="H3:I5"/>
    <mergeCell ref="H6:I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23C4-7726-4AFB-B0D2-1EE4E0BE397A}">
  <dimension ref="A1:Q22"/>
  <sheetViews>
    <sheetView zoomScale="130" zoomScaleNormal="130" workbookViewId="0">
      <selection activeCell="B5" sqref="B5"/>
    </sheetView>
  </sheetViews>
  <sheetFormatPr defaultRowHeight="14.4" x14ac:dyDescent="0.3"/>
  <cols>
    <col min="1" max="1" width="24.77734375" bestFit="1" customWidth="1"/>
    <col min="3" max="3" width="15.77734375" bestFit="1" customWidth="1"/>
    <col min="4" max="4" width="12.109375" bestFit="1" customWidth="1"/>
  </cols>
  <sheetData>
    <row r="1" spans="1:17" x14ac:dyDescent="0.3">
      <c r="A1" s="54"/>
    </row>
    <row r="2" spans="1:17" x14ac:dyDescent="0.3">
      <c r="A2" s="36" t="s">
        <v>56</v>
      </c>
      <c r="B2" s="58">
        <v>3.7999999999999999E-2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36" t="s">
        <v>57</v>
      </c>
      <c r="B3" s="58">
        <v>5.5E-2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36" t="s">
        <v>58</v>
      </c>
      <c r="B4" s="58">
        <v>0.1188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36" t="s">
        <v>59</v>
      </c>
      <c r="B5" s="58">
        <v>0.16020000000000001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 s="36" t="s">
        <v>60</v>
      </c>
      <c r="B6" s="57">
        <f>tax_rate</f>
        <v>0.25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36" t="s">
        <v>61</v>
      </c>
      <c r="B7" s="58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36" t="s">
        <v>62</v>
      </c>
      <c r="B8" s="57">
        <f>1-B7</f>
        <v>1</v>
      </c>
      <c r="C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36" t="s">
        <v>63</v>
      </c>
      <c r="B9" s="58">
        <v>0.14000000000000001</v>
      </c>
      <c r="C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36" t="s">
        <v>64</v>
      </c>
      <c r="B10" s="57">
        <f>B9*(1-B6)</f>
        <v>0.10500000000000001</v>
      </c>
      <c r="C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36" t="s">
        <v>65</v>
      </c>
      <c r="B11" s="12">
        <v>1.3</v>
      </c>
      <c r="C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36" t="s">
        <v>68</v>
      </c>
      <c r="B12" s="1">
        <f>B11/(1+(1-B6)*B7/B8)</f>
        <v>1.3</v>
      </c>
      <c r="C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36" t="s">
        <v>69</v>
      </c>
      <c r="B13" s="1">
        <f>B12*(1+(1-B6)*B7/B8)</f>
        <v>1.3</v>
      </c>
      <c r="C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36" t="s">
        <v>66</v>
      </c>
      <c r="B14" s="57">
        <f>B2+B3*B13+B5</f>
        <v>0.26970000000000005</v>
      </c>
      <c r="C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36" t="s">
        <v>67</v>
      </c>
      <c r="B15" s="90">
        <f ca="1">IF(MonteCarlo!$K$2="ON", MonteCarlo!E5, base_wacc)</f>
        <v>0.29254383451030419</v>
      </c>
      <c r="C15" s="86" t="s">
        <v>101</v>
      </c>
      <c r="D15" s="57">
        <f>B8*B14+B7*B10</f>
        <v>0.26970000000000005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idden="1" x14ac:dyDescent="0.3">
      <c r="A16" s="25"/>
      <c r="B16" s="56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idden="1" x14ac:dyDescent="0.3">
      <c r="A17" s="25" t="s">
        <v>70</v>
      </c>
      <c r="B17" s="1">
        <v>0.8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idden="1" x14ac:dyDescent="0.3">
      <c r="A18" s="25" t="s">
        <v>71</v>
      </c>
      <c r="B18" s="1">
        <v>1.05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idden="1" x14ac:dyDescent="0.3">
      <c r="A19" s="25" t="s">
        <v>72</v>
      </c>
      <c r="B19" s="1">
        <v>1.3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69"/>
      <c r="B20" s="7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dataValidations count="1">
    <dataValidation type="list" allowBlank="1" showInputMessage="1" showErrorMessage="1" sqref="B11" xr:uid="{DE1C62CC-7CB1-46CF-AD4E-E87766377EA9}">
      <formula1>beta_table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BBA-9F7D-4FAD-8DDA-4C60FFA76FC7}">
  <dimension ref="A1:K45"/>
  <sheetViews>
    <sheetView zoomScale="130" zoomScaleNormal="130" workbookViewId="0">
      <selection activeCell="B17" sqref="B17"/>
    </sheetView>
  </sheetViews>
  <sheetFormatPr defaultRowHeight="14.4" x14ac:dyDescent="0.3"/>
  <cols>
    <col min="1" max="1" width="20.109375" bestFit="1" customWidth="1"/>
    <col min="2" max="2" width="11.6640625" customWidth="1"/>
  </cols>
  <sheetData>
    <row r="1" spans="1:11" ht="15" thickBot="1" x14ac:dyDescent="0.35">
      <c r="A1" s="66" t="s">
        <v>74</v>
      </c>
      <c r="B1" s="66"/>
      <c r="C1" s="66"/>
      <c r="D1" s="66"/>
      <c r="E1" s="66"/>
      <c r="F1" s="66"/>
      <c r="G1" s="66"/>
      <c r="H1" s="66"/>
      <c r="I1" s="1"/>
      <c r="J1" s="1"/>
      <c r="K1" s="1"/>
    </row>
    <row r="2" spans="1:11" x14ac:dyDescent="0.3">
      <c r="A2" s="55"/>
      <c r="B2" s="55"/>
      <c r="C2" s="55"/>
      <c r="D2" s="55"/>
      <c r="E2" s="55"/>
      <c r="F2" s="55"/>
      <c r="G2" s="55"/>
      <c r="H2" s="55"/>
      <c r="I2" s="1"/>
      <c r="J2" s="1"/>
      <c r="K2" s="1"/>
    </row>
    <row r="3" spans="1:11" x14ac:dyDescent="0.3">
      <c r="A3" s="1" t="s">
        <v>75</v>
      </c>
      <c r="B3" s="59">
        <f ca="1">wacc</f>
        <v>0.29254383451030419</v>
      </c>
      <c r="C3" s="59">
        <f ca="1">wacc</f>
        <v>0.29254383451030419</v>
      </c>
      <c r="D3" s="59">
        <f ca="1">wacc</f>
        <v>0.29254383451030419</v>
      </c>
      <c r="E3" s="59">
        <f ca="1">wacc</f>
        <v>0.29254383451030419</v>
      </c>
      <c r="F3" s="59">
        <f ca="1">wacc</f>
        <v>0.29254383451030419</v>
      </c>
      <c r="G3" s="1"/>
      <c r="H3" s="1"/>
      <c r="I3" s="1"/>
      <c r="J3" s="1"/>
      <c r="K3" s="1"/>
    </row>
    <row r="4" spans="1:11" x14ac:dyDescent="0.3">
      <c r="A4" s="1" t="s">
        <v>76</v>
      </c>
      <c r="B4" s="60">
        <v>0.03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 t="s">
        <v>42</v>
      </c>
      <c r="B5" s="24">
        <f ca="1">FCF_Sched!B7</f>
        <v>1819777.3710922543</v>
      </c>
      <c r="C5" s="24">
        <f ca="1">FCF_Sched!C7</f>
        <v>2613738.9715487873</v>
      </c>
      <c r="D5" s="24">
        <f ca="1">FCF_Sched!D7</f>
        <v>3496310.5752035435</v>
      </c>
      <c r="E5" s="24">
        <f ca="1">FCF_Sched!E7</f>
        <v>4414760.67376028</v>
      </c>
      <c r="F5" s="24">
        <f ca="1">FCF_Sched!F7</f>
        <v>4008792.372791802</v>
      </c>
      <c r="G5" s="1"/>
      <c r="H5" s="1"/>
      <c r="I5" s="1"/>
      <c r="J5" s="1"/>
      <c r="K5" s="1"/>
    </row>
    <row r="6" spans="1:11" x14ac:dyDescent="0.3">
      <c r="A6" s="1" t="s">
        <v>77</v>
      </c>
      <c r="B6" s="1">
        <f ca="1">1/(1+$B$3)^(COLUMN()-COLUMN($B$3))</f>
        <v>1</v>
      </c>
      <c r="C6" s="1">
        <f ca="1">1/(1+$B$3)^(COLUMN()-COLUMN($B$3))</f>
        <v>0.77366815213571616</v>
      </c>
      <c r="D6" s="1">
        <f t="shared" ref="D6:F6" ca="1" si="0">1/(1+$B$3)^(COLUMN()-COLUMN($B$3))</f>
        <v>0.59856240962909368</v>
      </c>
      <c r="E6" s="1">
        <f t="shared" ca="1" si="0"/>
        <v>0.46308867339564252</v>
      </c>
      <c r="F6" s="1">
        <f t="shared" ca="1" si="0"/>
        <v>0.35827695822098693</v>
      </c>
      <c r="G6" s="1"/>
      <c r="H6" s="1"/>
      <c r="I6" s="1"/>
      <c r="J6" s="1"/>
      <c r="K6" s="1"/>
    </row>
    <row r="7" spans="1:11" x14ac:dyDescent="0.3">
      <c r="A7" s="1" t="s">
        <v>79</v>
      </c>
      <c r="B7" s="24">
        <f ca="1">B5*B6</f>
        <v>1819777.3710922543</v>
      </c>
      <c r="C7" s="24">
        <f t="shared" ref="C7:F7" ca="1" si="1">C5*C6</f>
        <v>2022166.6002832574</v>
      </c>
      <c r="D7" s="24">
        <f t="shared" ca="1" si="1"/>
        <v>2092760.0827055157</v>
      </c>
      <c r="E7" s="24">
        <f t="shared" ca="1" si="1"/>
        <v>2044425.663770901</v>
      </c>
      <c r="F7" s="24">
        <f t="shared" ca="1" si="1"/>
        <v>1436257.9374633394</v>
      </c>
      <c r="G7" s="1"/>
      <c r="H7" s="1"/>
      <c r="I7" s="1"/>
      <c r="J7" s="1"/>
      <c r="K7" s="1"/>
    </row>
    <row r="8" spans="1:11" x14ac:dyDescent="0.3">
      <c r="A8" s="1" t="s">
        <v>78</v>
      </c>
      <c r="B8" s="24">
        <f ca="1">SUM(B7:F7)</f>
        <v>9415387.6553152688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 t="s">
        <v>80</v>
      </c>
      <c r="B9" s="4">
        <f ca="1">F5*(1+$B$4)/($B$3-$B$4)</f>
        <v>15727111.442845562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 t="s">
        <v>81</v>
      </c>
      <c r="B10" s="4">
        <f ca="1">B9/((1+$B$3)^(COLUMN(F10)-COLUMN(B3)+1))</f>
        <v>4359358.266158876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 t="s">
        <v>82</v>
      </c>
      <c r="B11" s="24">
        <f ca="1">B8+B10</f>
        <v>13774745.921474144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 t="str">
        <f>"+Cash"</f>
        <v>+Cash</v>
      </c>
      <c r="B12" s="24">
        <f ca="1">BalanceSheet!F2</f>
        <v>4450291.3960704673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 t="str">
        <f>"-Debt"</f>
        <v>-Debt</v>
      </c>
      <c r="B13" s="24">
        <f>BalanceSheet!F7</f>
        <v>0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83</v>
      </c>
      <c r="B14" s="24">
        <f ca="1">B11+B12-B13</f>
        <v>18225037.317544609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 t="s">
        <v>84</v>
      </c>
      <c r="B15" s="62">
        <v>10000000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 t="s">
        <v>85</v>
      </c>
      <c r="B16" s="61">
        <f ca="1">B14/B15</f>
        <v>1.822503731754461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95" t="s">
        <v>108</v>
      </c>
      <c r="B17" s="96">
        <v>2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MonteCarlo</vt:lpstr>
      <vt:lpstr>Drivers</vt:lpstr>
      <vt:lpstr>IncomeStmt</vt:lpstr>
      <vt:lpstr>BalanceSheet</vt:lpstr>
      <vt:lpstr>CashFlow</vt:lpstr>
      <vt:lpstr>FCF_Sched</vt:lpstr>
      <vt:lpstr>WACC_inputs</vt:lpstr>
      <vt:lpstr>DCF</vt:lpstr>
      <vt:lpstr>base_decay</vt:lpstr>
      <vt:lpstr>base_growth</vt:lpstr>
      <vt:lpstr>base_margin</vt:lpstr>
      <vt:lpstr>base_wacc</vt:lpstr>
      <vt:lpstr>beta_L</vt:lpstr>
      <vt:lpstr>beta_table</vt:lpstr>
      <vt:lpstr>beta_U</vt:lpstr>
      <vt:lpstr>current_price</vt:lpstr>
      <vt:lpstr>erp_base</vt:lpstr>
      <vt:lpstr>ev_per_share</vt:lpstr>
      <vt:lpstr>ke</vt:lpstr>
      <vt:lpstr>rf</vt:lpstr>
      <vt:lpstr>tax_rate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Duran</dc:creator>
  <cp:lastModifiedBy>Lucas Duran</cp:lastModifiedBy>
  <dcterms:created xsi:type="dcterms:W3CDTF">2025-06-03T15:59:22Z</dcterms:created>
  <dcterms:modified xsi:type="dcterms:W3CDTF">2025-08-06T21:41:28Z</dcterms:modified>
</cp:coreProperties>
</file>