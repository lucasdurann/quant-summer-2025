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quant-summer-2025\SaaSV\"/>
    </mc:Choice>
  </mc:AlternateContent>
  <xr:revisionPtr revIDLastSave="0" documentId="13_ncr:1_{302EE351-0280-44EE-8C7D-89F35A8ED51E}" xr6:coauthVersionLast="47" xr6:coauthVersionMax="47" xr10:uidLastSave="{00000000-0000-0000-0000-000000000000}"/>
  <bookViews>
    <workbookView xWindow="-108" yWindow="-108" windowWidth="23256" windowHeight="13176" activeTab="6" xr2:uid="{270BAFE9-F160-4EC3-8ED5-C7005A9C532B}"/>
  </bookViews>
  <sheets>
    <sheet name="Drivers" sheetId="1" r:id="rId1"/>
    <sheet name="IncomeStmt" sheetId="2" r:id="rId2"/>
    <sheet name="BalanceSheet" sheetId="3" r:id="rId3"/>
    <sheet name="CashFlow" sheetId="4" r:id="rId4"/>
    <sheet name="FCF_Sched" sheetId="5" r:id="rId5"/>
    <sheet name="WACC_inputs" sheetId="6" r:id="rId6"/>
    <sheet name="DCF" sheetId="7" r:id="rId7"/>
  </sheets>
  <definedNames>
    <definedName name="beta_L">WACC_inputs!$B$11</definedName>
    <definedName name="beta_table">WACC_inputs!$B$17:$B$19</definedName>
    <definedName name="beta_U">WACC_inputs!$B$12</definedName>
    <definedName name="erp_base">WACC_inputs!$B$3</definedName>
    <definedName name="ke">WACC_inputs!$B$14</definedName>
    <definedName name="rf">WACC_inputs!$B$2</definedName>
    <definedName name="tax_rate">FCF_Sched!$I$1</definedName>
    <definedName name="wacc">WACC_inputs!$B$15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7" l="1"/>
  <c r="B13" i="7"/>
  <c r="C5" i="7"/>
  <c r="D5" i="7"/>
  <c r="E5" i="7"/>
  <c r="F5" i="7"/>
  <c r="B5" i="7"/>
  <c r="A13" i="7"/>
  <c r="A12" i="7"/>
  <c r="B10" i="6"/>
  <c r="B8" i="6"/>
  <c r="B12" i="6" s="1"/>
  <c r="B13" i="6" s="1"/>
  <c r="B14" i="6" s="1"/>
  <c r="B15" i="6" s="1"/>
  <c r="B3" i="7" s="1"/>
  <c r="B6" i="6"/>
  <c r="B26" i="5"/>
  <c r="C2" i="2"/>
  <c r="C3" i="2" s="1"/>
  <c r="C6" i="3" s="1"/>
  <c r="D2" i="2"/>
  <c r="D3" i="2" s="1"/>
  <c r="E2" i="2"/>
  <c r="E6" i="2" s="1"/>
  <c r="F2" i="2"/>
  <c r="F5" i="5" s="1"/>
  <c r="B2" i="2"/>
  <c r="B5" i="2" s="1"/>
  <c r="C11" i="1"/>
  <c r="D11" i="1" s="1"/>
  <c r="D9" i="1"/>
  <c r="E9" i="1" s="1"/>
  <c r="F9" i="1" s="1"/>
  <c r="C9" i="1"/>
  <c r="C8" i="1"/>
  <c r="C8" i="4"/>
  <c r="D8" i="4"/>
  <c r="E8" i="4"/>
  <c r="F8" i="4"/>
  <c r="C11" i="4"/>
  <c r="D11" i="4"/>
  <c r="E11" i="4"/>
  <c r="F11" i="4"/>
  <c r="B13" i="4"/>
  <c r="B11" i="4"/>
  <c r="B8" i="4"/>
  <c r="D3" i="7" l="1"/>
  <c r="F3" i="7"/>
  <c r="D6" i="7"/>
  <c r="D7" i="7" s="1"/>
  <c r="F6" i="7"/>
  <c r="F7" i="7" s="1"/>
  <c r="B9" i="7"/>
  <c r="B10" i="7" s="1"/>
  <c r="E6" i="7"/>
  <c r="E7" i="7" s="1"/>
  <c r="C6" i="7"/>
  <c r="C7" i="7" s="1"/>
  <c r="B6" i="7"/>
  <c r="B7" i="7" s="1"/>
  <c r="E3" i="7"/>
  <c r="C3" i="7"/>
  <c r="C6" i="2"/>
  <c r="C5" i="2"/>
  <c r="D6" i="2"/>
  <c r="E3" i="2"/>
  <c r="E4" i="5" s="1"/>
  <c r="E5" i="5"/>
  <c r="F6" i="2"/>
  <c r="F3" i="2"/>
  <c r="F4" i="5" s="1"/>
  <c r="C5" i="5"/>
  <c r="D6" i="3"/>
  <c r="C5" i="4" s="1"/>
  <c r="D4" i="2"/>
  <c r="D4" i="5"/>
  <c r="C4" i="5"/>
  <c r="C4" i="2"/>
  <c r="D5" i="5"/>
  <c r="B6" i="2"/>
  <c r="B3" i="3"/>
  <c r="B5" i="3" s="1"/>
  <c r="B5" i="5"/>
  <c r="B3" i="2"/>
  <c r="D8" i="1"/>
  <c r="E11" i="1"/>
  <c r="D3" i="3"/>
  <c r="C3" i="3"/>
  <c r="F5" i="1"/>
  <c r="D4" i="1"/>
  <c r="E4" i="1" s="1"/>
  <c r="F4" i="1" s="1"/>
  <c r="C4" i="1"/>
  <c r="F2" i="1"/>
  <c r="B8" i="7" l="1"/>
  <c r="B11" i="7" s="1"/>
  <c r="B14" i="7" s="1"/>
  <c r="B16" i="7" s="1"/>
  <c r="E6" i="3"/>
  <c r="D5" i="4" s="1"/>
  <c r="C7" i="2"/>
  <c r="C9" i="2" s="1"/>
  <c r="E4" i="2"/>
  <c r="F4" i="2"/>
  <c r="F6" i="3"/>
  <c r="F5" i="4" s="1"/>
  <c r="B4" i="5"/>
  <c r="B6" i="3"/>
  <c r="B4" i="4"/>
  <c r="B4" i="2"/>
  <c r="B7" i="2" s="1"/>
  <c r="B9" i="2" s="1"/>
  <c r="D5" i="2"/>
  <c r="D7" i="2" s="1"/>
  <c r="E8" i="1"/>
  <c r="C4" i="4"/>
  <c r="C6" i="5" s="1"/>
  <c r="F11" i="1"/>
  <c r="F3" i="3" s="1"/>
  <c r="E3" i="3"/>
  <c r="D4" i="4" s="1"/>
  <c r="C2" i="1"/>
  <c r="C5" i="1" s="1"/>
  <c r="B5" i="1"/>
  <c r="C25" i="5" l="1"/>
  <c r="B25" i="5"/>
  <c r="C2" i="5"/>
  <c r="D6" i="5"/>
  <c r="E5" i="4"/>
  <c r="B2" i="5"/>
  <c r="B5" i="4"/>
  <c r="B8" i="3"/>
  <c r="D9" i="2"/>
  <c r="D2" i="5"/>
  <c r="F8" i="1"/>
  <c r="F5" i="2" s="1"/>
  <c r="F7" i="2" s="1"/>
  <c r="E5" i="2"/>
  <c r="E7" i="2" s="1"/>
  <c r="E4" i="4"/>
  <c r="F4" i="4"/>
  <c r="F6" i="5" s="1"/>
  <c r="D2" i="1"/>
  <c r="E2" i="1" s="1"/>
  <c r="E5" i="1" s="1"/>
  <c r="D25" i="5" l="1"/>
  <c r="B27" i="5"/>
  <c r="B28" i="5" s="1"/>
  <c r="E6" i="5"/>
  <c r="B6" i="5"/>
  <c r="F9" i="2"/>
  <c r="F2" i="5"/>
  <c r="E9" i="2"/>
  <c r="E2" i="5"/>
  <c r="D5" i="1"/>
  <c r="F25" i="5" l="1"/>
  <c r="B3" i="5"/>
  <c r="B7" i="5" s="1"/>
  <c r="B10" i="5" s="1"/>
  <c r="B10" i="2"/>
  <c r="B11" i="2" s="1"/>
  <c r="B2" i="4" s="1"/>
  <c r="B6" i="4" s="1"/>
  <c r="B29" i="5"/>
  <c r="B30" i="5" s="1"/>
  <c r="C26" i="5" s="1"/>
  <c r="E25" i="5"/>
  <c r="C27" i="5" l="1"/>
  <c r="C28" i="5" s="1"/>
  <c r="B12" i="4"/>
  <c r="B14" i="4" s="1"/>
  <c r="C2" i="3" s="1"/>
  <c r="B16" i="4"/>
  <c r="C5" i="3" l="1"/>
  <c r="C8" i="3" s="1"/>
  <c r="C13" i="4"/>
  <c r="C29" i="5"/>
  <c r="C30" i="5" s="1"/>
  <c r="D26" i="5" s="1"/>
  <c r="D27" i="5" s="1"/>
  <c r="D28" i="5" s="1"/>
  <c r="C10" i="2" l="1"/>
  <c r="C11" i="2" s="1"/>
  <c r="C2" i="4" s="1"/>
  <c r="C6" i="4" s="1"/>
  <c r="C16" i="4" s="1"/>
  <c r="C3" i="5"/>
  <c r="C7" i="5" s="1"/>
  <c r="C10" i="5" s="1"/>
  <c r="D29" i="5"/>
  <c r="C12" i="4" l="1"/>
  <c r="C14" i="4" s="1"/>
  <c r="D2" i="3" s="1"/>
  <c r="D10" i="2"/>
  <c r="D11" i="2" s="1"/>
  <c r="D2" i="4" s="1"/>
  <c r="D6" i="4" s="1"/>
  <c r="D16" i="4" s="1"/>
  <c r="D3" i="5"/>
  <c r="D7" i="5" s="1"/>
  <c r="D10" i="5" s="1"/>
  <c r="D5" i="3"/>
  <c r="D8" i="3" s="1"/>
  <c r="D13" i="4"/>
  <c r="D30" i="5"/>
  <c r="E26" i="5" s="1"/>
  <c r="E27" i="5" s="1"/>
  <c r="E28" i="5" s="1"/>
  <c r="D12" i="4" l="1"/>
  <c r="D14" i="4"/>
  <c r="E2" i="3" s="1"/>
  <c r="E29" i="5"/>
  <c r="E30" i="5" s="1"/>
  <c r="F26" i="5" s="1"/>
  <c r="E10" i="2" l="1"/>
  <c r="E11" i="2" s="1"/>
  <c r="E2" i="4" s="1"/>
  <c r="E6" i="4" s="1"/>
  <c r="E12" i="4" s="1"/>
  <c r="E3" i="5"/>
  <c r="E7" i="5" s="1"/>
  <c r="E10" i="5" s="1"/>
  <c r="F27" i="5"/>
  <c r="F28" i="5" s="1"/>
  <c r="E5" i="3"/>
  <c r="E8" i="3" s="1"/>
  <c r="E13" i="4"/>
  <c r="E16" i="4" l="1"/>
  <c r="E14" i="4"/>
  <c r="F2" i="3" s="1"/>
  <c r="F13" i="4"/>
  <c r="F5" i="3"/>
  <c r="F8" i="3" s="1"/>
  <c r="F29" i="5"/>
  <c r="F10" i="2" l="1"/>
  <c r="F11" i="2" s="1"/>
  <c r="F2" i="4" s="1"/>
  <c r="F6" i="4" s="1"/>
  <c r="F3" i="5"/>
  <c r="F7" i="5" s="1"/>
  <c r="F10" i="5" s="1"/>
  <c r="F12" i="4"/>
  <c r="F14" i="4" s="1"/>
  <c r="F16" i="4"/>
  <c r="F3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Duran</author>
  </authors>
  <commentList>
    <comment ref="B2" authorId="0" shapeId="0" xr:uid="{CCF761CD-F4CF-417A-B8E6-1CFF23CADFCF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10-yr UST</t>
        </r>
      </text>
    </comment>
    <comment ref="B3" authorId="0" shapeId="0" xr:uid="{A7432ED8-EEF4-45B7-955F-C240AB1C81B7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Damodaran Jan-25 mature ERP</t>
        </r>
      </text>
    </comment>
    <comment ref="B4" authorId="0" shapeId="0" xr:uid="{9D6AE03F-5B82-42C2-A0C9-E633B3B5758D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Argentina line in Damodaran table</t>
        </r>
      </text>
    </comment>
    <comment ref="B5" authorId="0" shapeId="0" xr:uid="{504416D6-3567-4296-8CD1-6672D1D1EB9F}">
      <text>
        <r>
          <rPr>
            <b/>
            <sz val="9"/>
            <color indexed="81"/>
            <rFont val="Tahoma"/>
            <family val="2"/>
          </rPr>
          <t>Lucas Duran:</t>
        </r>
        <r>
          <rPr>
            <sz val="9"/>
            <color indexed="81"/>
            <rFont val="Tahoma"/>
            <family val="2"/>
          </rPr>
          <t xml:space="preserve">
from same table (CRP column)</t>
        </r>
      </text>
    </comment>
  </commentList>
</comments>
</file>

<file path=xl/sharedStrings.xml><?xml version="1.0" encoding="utf-8"?>
<sst xmlns="http://schemas.openxmlformats.org/spreadsheetml/2006/main" count="100" uniqueCount="86">
  <si>
    <t>Line Item</t>
  </si>
  <si>
    <t># Customers (beginning)</t>
  </si>
  <si>
    <t>Average Revenue per Customer ($)</t>
  </si>
  <si>
    <t>Growth Rate (%)</t>
  </si>
  <si>
    <t>Total Revenue (in $000´s)</t>
  </si>
  <si>
    <t>Revenue</t>
  </si>
  <si>
    <t>COGS</t>
  </si>
  <si>
    <t>Gross Profit</t>
  </si>
  <si>
    <t>SG&amp;A</t>
  </si>
  <si>
    <t>R&amp;D</t>
  </si>
  <si>
    <t>EBIT</t>
  </si>
  <si>
    <t>Interest Expense</t>
  </si>
  <si>
    <t>Pre-Tax Income</t>
  </si>
  <si>
    <t>Tax Expense</t>
  </si>
  <si>
    <t>Net Income</t>
  </si>
  <si>
    <t>All Numbers in 000´s</t>
  </si>
  <si>
    <t>Cash</t>
  </si>
  <si>
    <t>Accounts Receivable</t>
  </si>
  <si>
    <t>Net PP&amp;E</t>
  </si>
  <si>
    <t>Total Assets</t>
  </si>
  <si>
    <t>Accounts Payable</t>
  </si>
  <si>
    <t>Long-Term Debt</t>
  </si>
  <si>
    <t>Common Equity</t>
  </si>
  <si>
    <t>All numbers in $000´s</t>
  </si>
  <si>
    <t>Depreciation &amp; Amortization</t>
  </si>
  <si>
    <t>∆ Accounts Payable</t>
  </si>
  <si>
    <t>∆ Accounts Receivable</t>
  </si>
  <si>
    <t>Operating Cash Flow</t>
  </si>
  <si>
    <t>Capital Expenditures (CapEx)</t>
  </si>
  <si>
    <t>Investing Cash Flow</t>
  </si>
  <si>
    <t>Debt Issued (Repaid)</t>
  </si>
  <si>
    <t>Equity Issued</t>
  </si>
  <si>
    <t>Financing Cash Flow</t>
  </si>
  <si>
    <t>Net Change in Cash</t>
  </si>
  <si>
    <t>Beggining Cash</t>
  </si>
  <si>
    <t>Ending Cash</t>
  </si>
  <si>
    <t>Blue Cells = Inputs</t>
  </si>
  <si>
    <t>A-col label</t>
  </si>
  <si>
    <t>SG&amp;A % of Revenue</t>
  </si>
  <si>
    <t>R&amp;D % of Revenue</t>
  </si>
  <si>
    <t>DSO (days)</t>
  </si>
  <si>
    <t>DPO(days)</t>
  </si>
  <si>
    <t>Free Cash Flow</t>
  </si>
  <si>
    <t>Less: Cash tax</t>
  </si>
  <si>
    <t>Tax Rate</t>
  </si>
  <si>
    <t xml:space="preserve">Add: Depr. &amp; Amort. </t>
  </si>
  <si>
    <t>Less: Capital Expenditures</t>
  </si>
  <si>
    <t>Less: ∆ Net Working Capital</t>
  </si>
  <si>
    <t>Unlevered FCF</t>
  </si>
  <si>
    <t>RevAdj</t>
  </si>
  <si>
    <r>
      <t xml:space="preserve">Sensititivity: Rev growth </t>
    </r>
    <r>
      <rPr>
        <b/>
        <sz val="11"/>
        <color theme="1"/>
        <rFont val="Aptos Narrow"/>
        <family val="2"/>
      </rPr>
      <t>±</t>
    </r>
    <r>
      <rPr>
        <b/>
        <sz val="11"/>
        <color theme="1"/>
        <rFont val="Times New Roman"/>
        <family val="1"/>
      </rPr>
      <t>5%</t>
    </r>
  </si>
  <si>
    <t>Beg. NOL</t>
  </si>
  <si>
    <t>Taxable Income</t>
  </si>
  <si>
    <t>Cash Tax @25%</t>
  </si>
  <si>
    <t>NOL Used</t>
  </si>
  <si>
    <t>End NOL</t>
  </si>
  <si>
    <t>Risk-free rate (Rf)</t>
  </si>
  <si>
    <t>Base ERP (US)</t>
  </si>
  <si>
    <t>Country default spread</t>
  </si>
  <si>
    <t>Country equity risk premium</t>
  </si>
  <si>
    <t>Corporate tax rate</t>
  </si>
  <si>
    <t>Debt/(Debt+Equity)</t>
  </si>
  <si>
    <t>Equity/(Debt+Equity)</t>
  </si>
  <si>
    <t>Cost of Debt (pre-tax)</t>
  </si>
  <si>
    <t>Cost of Debt (after-tax)</t>
  </si>
  <si>
    <t>Beta picker (levered)</t>
  </si>
  <si>
    <t>Cost of equity (ke)</t>
  </si>
  <si>
    <t>WACC</t>
  </si>
  <si>
    <t>Unlevered β</t>
  </si>
  <si>
    <t>Re-levered β (target)</t>
  </si>
  <si>
    <t>SaaS 25th pct</t>
  </si>
  <si>
    <t>SaaS Median</t>
  </si>
  <si>
    <t>SaaS 75th pct</t>
  </si>
  <si>
    <t>β</t>
  </si>
  <si>
    <t>Discounted Cash-Flow (DCF)</t>
  </si>
  <si>
    <t>WACC (%)</t>
  </si>
  <si>
    <t>Terminal Growth (g)</t>
  </si>
  <si>
    <t>PV Factor</t>
  </si>
  <si>
    <t>Sum PV of forecast</t>
  </si>
  <si>
    <t>PV of FCF</t>
  </si>
  <si>
    <t>Terminal Value (TV)</t>
  </si>
  <si>
    <t>PV of TV</t>
  </si>
  <si>
    <t>Enterprise Value (EV)</t>
  </si>
  <si>
    <t>Equity Value</t>
  </si>
  <si>
    <t>Shares Outstanding (m)</t>
  </si>
  <si>
    <t>Implied 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</si>
</sst>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&quot;$&quot;#,##0.00"/>
    <numFmt numFmtId="165" formatCode="&quot;$&quot;#,##0,"/>
    <numFmt numFmtId="166" formatCode="&quot;$&quot;#,##0,;\(&quot;$&quot;#,##0,\)"/>
    <numFmt numFmtId="167" formatCode="\F\C\F\ &quot;2024&quot;"/>
    <numFmt numFmtId="168" formatCode="\F\C\F\ &quot;2025&quot;"/>
    <numFmt numFmtId="169" formatCode="&quot;Bull (+5%)&quot;"/>
    <numFmt numFmtId="170" formatCode="&quot;Base&quot;"/>
    <numFmt numFmtId="171" formatCode="&quot;Bear (-5%)&quot;"/>
    <numFmt numFmtId="172" formatCode="&quot;$&quot;#,###,"/>
    <numFmt numFmtId="173" formatCode="&quot;FCF 2026&quot;"/>
    <numFmt numFmtId="174" formatCode="\F\C\F\ &quot;2028&quot;"/>
    <numFmt numFmtId="175" formatCode="&quot;FCF 2027&quot;"/>
    <numFmt numFmtId="179" formatCode="#,###,,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3" fillId="3" borderId="1" xfId="0" applyFont="1" applyFill="1" applyBorder="1"/>
    <xf numFmtId="165" fontId="4" fillId="3" borderId="1" xfId="0" applyNumberFormat="1" applyFont="1" applyFill="1" applyBorder="1"/>
    <xf numFmtId="0" fontId="3" fillId="3" borderId="0" xfId="0" applyFont="1" applyFill="1"/>
    <xf numFmtId="165" fontId="5" fillId="3" borderId="1" xfId="1" applyNumberFormat="1" applyFont="1" applyFill="1" applyBorder="1" applyAlignment="1">
      <alignment horizontal="center"/>
    </xf>
    <xf numFmtId="1" fontId="2" fillId="4" borderId="0" xfId="0" applyNumberFormat="1" applyFont="1" applyFill="1" applyAlignment="1">
      <alignment horizontal="center"/>
    </xf>
    <xf numFmtId="9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6" fontId="2" fillId="0" borderId="0" xfId="0" applyNumberFormat="1" applyFont="1"/>
    <xf numFmtId="166" fontId="4" fillId="3" borderId="1" xfId="0" applyNumberFormat="1" applyFont="1" applyFill="1" applyBorder="1"/>
    <xf numFmtId="166" fontId="2" fillId="4" borderId="0" xfId="0" applyNumberFormat="1" applyFont="1" applyFill="1"/>
    <xf numFmtId="166" fontId="5" fillId="3" borderId="1" xfId="0" applyNumberFormat="1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3" borderId="2" xfId="0" applyFont="1" applyFill="1" applyBorder="1"/>
    <xf numFmtId="9" fontId="2" fillId="4" borderId="0" xfId="2" applyFont="1" applyFill="1"/>
    <xf numFmtId="9" fontId="2" fillId="0" borderId="0" xfId="2" applyFont="1"/>
    <xf numFmtId="165" fontId="5" fillId="3" borderId="1" xfId="0" applyNumberFormat="1" applyFont="1" applyFill="1" applyBorder="1"/>
    <xf numFmtId="9" fontId="3" fillId="3" borderId="0" xfId="2" applyFont="1" applyFill="1"/>
    <xf numFmtId="2" fontId="2" fillId="0" borderId="0" xfId="0" applyNumberFormat="1" applyFont="1"/>
    <xf numFmtId="172" fontId="2" fillId="0" borderId="0" xfId="0" applyNumberFormat="1" applyFont="1"/>
    <xf numFmtId="0" fontId="2" fillId="3" borderId="0" xfId="0" applyFont="1" applyFill="1"/>
    <xf numFmtId="0" fontId="4" fillId="3" borderId="0" xfId="0" applyFont="1" applyFill="1"/>
    <xf numFmtId="167" fontId="4" fillId="3" borderId="0" xfId="0" applyNumberFormat="1" applyFont="1" applyFill="1" applyAlignment="1">
      <alignment horizontal="center"/>
    </xf>
    <xf numFmtId="168" fontId="4" fillId="3" borderId="0" xfId="0" applyNumberFormat="1" applyFont="1" applyFill="1" applyAlignment="1">
      <alignment horizontal="center"/>
    </xf>
    <xf numFmtId="173" fontId="4" fillId="3" borderId="0" xfId="0" applyNumberFormat="1" applyFont="1" applyFill="1"/>
    <xf numFmtId="2" fontId="2" fillId="4" borderId="0" xfId="0" applyNumberFormat="1" applyFont="1" applyFill="1"/>
    <xf numFmtId="174" fontId="4" fillId="3" borderId="0" xfId="0" applyNumberFormat="1" applyFont="1" applyFill="1" applyAlignment="1">
      <alignment horizontal="center"/>
    </xf>
    <xf numFmtId="175" fontId="4" fillId="3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3" xfId="0" applyFont="1" applyFill="1" applyBorder="1"/>
    <xf numFmtId="0" fontId="2" fillId="0" borderId="3" xfId="0" applyFont="1" applyBorder="1"/>
    <xf numFmtId="0" fontId="5" fillId="3" borderId="4" xfId="0" applyFont="1" applyFill="1" applyBorder="1"/>
    <xf numFmtId="0" fontId="2" fillId="3" borderId="3" xfId="0" applyFont="1" applyFill="1" applyBorder="1"/>
    <xf numFmtId="169" fontId="2" fillId="3" borderId="3" xfId="0" applyNumberFormat="1" applyFont="1" applyFill="1" applyBorder="1" applyAlignment="1">
      <alignment horizontal="left"/>
    </xf>
    <xf numFmtId="170" fontId="2" fillId="3" borderId="3" xfId="0" applyNumberFormat="1" applyFont="1" applyFill="1" applyBorder="1" applyAlignment="1">
      <alignment horizontal="left"/>
    </xf>
    <xf numFmtId="171" fontId="2" fillId="3" borderId="3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5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3" fillId="3" borderId="4" xfId="0" applyFont="1" applyFill="1" applyBorder="1"/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0" fillId="3" borderId="3" xfId="0" applyFill="1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0" fontId="2" fillId="0" borderId="0" xfId="0" applyNumberFormat="1" applyFont="1"/>
    <xf numFmtId="10" fontId="2" fillId="4" borderId="0" xfId="0" applyNumberFormat="1" applyFont="1" applyFill="1"/>
    <xf numFmtId="0" fontId="3" fillId="3" borderId="7" xfId="0" applyFont="1" applyFill="1" applyBorder="1" applyAlignment="1">
      <alignment horizontal="center"/>
    </xf>
    <xf numFmtId="10" fontId="2" fillId="0" borderId="0" xfId="2" applyNumberFormat="1" applyFont="1"/>
    <xf numFmtId="10" fontId="2" fillId="4" borderId="0" xfId="2" applyNumberFormat="1" applyFont="1" applyFill="1"/>
    <xf numFmtId="164" fontId="2" fillId="0" borderId="0" xfId="0" applyNumberFormat="1" applyFont="1"/>
    <xf numFmtId="179" fontId="2" fillId="4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110D-3FA4-49F2-A362-8303600FBB86}">
  <dimension ref="A1:J15"/>
  <sheetViews>
    <sheetView zoomScale="130" zoomScaleNormal="130" workbookViewId="0">
      <selection activeCell="C3" sqref="C3"/>
    </sheetView>
  </sheetViews>
  <sheetFormatPr defaultRowHeight="14.4" x14ac:dyDescent="0.3"/>
  <cols>
    <col min="1" max="1" width="22.5546875" bestFit="1" customWidth="1"/>
    <col min="2" max="4" width="14.109375" bestFit="1" customWidth="1"/>
    <col min="5" max="6" width="15.109375" bestFit="1" customWidth="1"/>
  </cols>
  <sheetData>
    <row r="1" spans="1:10" x14ac:dyDescent="0.3">
      <c r="A1" s="58" t="s">
        <v>0</v>
      </c>
      <c r="B1" s="59">
        <v>2024</v>
      </c>
      <c r="C1" s="59">
        <v>2025</v>
      </c>
      <c r="D1" s="59">
        <v>2026</v>
      </c>
      <c r="E1" s="59">
        <v>2027</v>
      </c>
      <c r="F1" s="59">
        <v>2028</v>
      </c>
    </row>
    <row r="2" spans="1:10" x14ac:dyDescent="0.3">
      <c r="A2" s="55" t="s">
        <v>1</v>
      </c>
      <c r="B2" s="9">
        <v>1000</v>
      </c>
      <c r="C2" s="2">
        <f>B2*(1+C3)</f>
        <v>1450</v>
      </c>
      <c r="D2" s="2">
        <f t="shared" ref="D2:F2" si="0">C2*(1+D3)</f>
        <v>1957.5000000000002</v>
      </c>
      <c r="E2" s="2">
        <f t="shared" si="0"/>
        <v>2446.8750000000005</v>
      </c>
      <c r="F2" s="2">
        <f t="shared" si="0"/>
        <v>2936.2500000000005</v>
      </c>
      <c r="H2" s="35" t="s">
        <v>36</v>
      </c>
      <c r="I2" s="35"/>
    </row>
    <row r="3" spans="1:10" x14ac:dyDescent="0.3">
      <c r="A3" s="55" t="s">
        <v>3</v>
      </c>
      <c r="B3" s="10">
        <v>0.6</v>
      </c>
      <c r="C3" s="10">
        <v>0.45</v>
      </c>
      <c r="D3" s="10">
        <v>0.35</v>
      </c>
      <c r="E3" s="10">
        <v>0.25</v>
      </c>
      <c r="F3" s="10">
        <v>0.2</v>
      </c>
      <c r="H3" s="35"/>
      <c r="I3" s="35"/>
    </row>
    <row r="4" spans="1:10" ht="28.2" x14ac:dyDescent="0.3">
      <c r="A4" s="56" t="s">
        <v>2</v>
      </c>
      <c r="B4" s="11">
        <v>4000</v>
      </c>
      <c r="C4" s="3">
        <f>B4*(1+0.03)</f>
        <v>4120</v>
      </c>
      <c r="D4" s="3">
        <f t="shared" ref="D4:F4" si="1">C4*(1+0.03)</f>
        <v>4243.6000000000004</v>
      </c>
      <c r="E4" s="3">
        <f t="shared" si="1"/>
        <v>4370.9080000000004</v>
      </c>
      <c r="F4" s="3">
        <f t="shared" si="1"/>
        <v>4502.0352400000002</v>
      </c>
    </row>
    <row r="5" spans="1:10" x14ac:dyDescent="0.3">
      <c r="A5" s="54" t="s">
        <v>4</v>
      </c>
      <c r="B5" s="8">
        <f>B2*B4</f>
        <v>4000000</v>
      </c>
      <c r="C5" s="8">
        <f>C2*C4</f>
        <v>5974000</v>
      </c>
      <c r="D5" s="8">
        <f t="shared" ref="D5:F5" si="2">D2*D4</f>
        <v>8306847.0000000019</v>
      </c>
      <c r="E5" s="8">
        <f t="shared" si="2"/>
        <v>10695065.512500003</v>
      </c>
      <c r="F5" s="8">
        <f t="shared" si="2"/>
        <v>13219100.973450003</v>
      </c>
    </row>
    <row r="7" spans="1:10" x14ac:dyDescent="0.3">
      <c r="A7" s="57" t="s">
        <v>37</v>
      </c>
      <c r="B7" s="5">
        <v>2024</v>
      </c>
      <c r="C7" s="5">
        <v>2025</v>
      </c>
      <c r="D7" s="5">
        <v>2026</v>
      </c>
      <c r="E7" s="5">
        <v>2027</v>
      </c>
      <c r="F7" s="5">
        <v>2028</v>
      </c>
      <c r="G7" s="1"/>
      <c r="H7" s="1"/>
      <c r="I7" s="1"/>
      <c r="J7" s="1"/>
    </row>
    <row r="8" spans="1:10" x14ac:dyDescent="0.3">
      <c r="A8" s="39" t="s">
        <v>38</v>
      </c>
      <c r="B8" s="21">
        <v>0.25</v>
      </c>
      <c r="C8" s="22">
        <f>B8-0.01</f>
        <v>0.24</v>
      </c>
      <c r="D8" s="22">
        <f t="shared" ref="D8:F8" si="3">C8-0.01</f>
        <v>0.22999999999999998</v>
      </c>
      <c r="E8" s="22">
        <f t="shared" si="3"/>
        <v>0.21999999999999997</v>
      </c>
      <c r="F8" s="22">
        <f t="shared" si="3"/>
        <v>0.20999999999999996</v>
      </c>
      <c r="G8" s="1"/>
      <c r="H8" s="1"/>
      <c r="I8" s="1"/>
      <c r="J8" s="1"/>
    </row>
    <row r="9" spans="1:10" x14ac:dyDescent="0.3">
      <c r="A9" s="39" t="s">
        <v>39</v>
      </c>
      <c r="B9" s="21">
        <v>0.18</v>
      </c>
      <c r="C9" s="22">
        <f>B9-0.01</f>
        <v>0.16999999999999998</v>
      </c>
      <c r="D9" s="22">
        <f t="shared" ref="D9:F9" si="4">C9-0.01</f>
        <v>0.15999999999999998</v>
      </c>
      <c r="E9" s="22">
        <f t="shared" si="4"/>
        <v>0.14999999999999997</v>
      </c>
      <c r="F9" s="22">
        <f t="shared" si="4"/>
        <v>0.13999999999999996</v>
      </c>
      <c r="G9" s="1"/>
      <c r="H9" s="1"/>
      <c r="I9" s="1"/>
      <c r="J9" s="1"/>
    </row>
    <row r="10" spans="1:10" x14ac:dyDescent="0.3">
      <c r="A10" s="20"/>
      <c r="B10" s="20"/>
      <c r="C10" s="20"/>
      <c r="D10" s="20"/>
      <c r="E10" s="20"/>
      <c r="F10" s="20"/>
      <c r="G10" s="1"/>
      <c r="H10" s="1"/>
      <c r="I10" s="1"/>
      <c r="J10" s="1"/>
    </row>
    <row r="11" spans="1:10" x14ac:dyDescent="0.3">
      <c r="A11" s="39" t="s">
        <v>40</v>
      </c>
      <c r="B11" s="19">
        <v>45</v>
      </c>
      <c r="C11" s="18">
        <f>B11-1</f>
        <v>44</v>
      </c>
      <c r="D11" s="18">
        <f t="shared" ref="D11:F11" si="5">C11-1</f>
        <v>43</v>
      </c>
      <c r="E11" s="18">
        <f t="shared" si="5"/>
        <v>42</v>
      </c>
      <c r="F11" s="18">
        <f t="shared" si="5"/>
        <v>41</v>
      </c>
      <c r="G11" s="1"/>
      <c r="H11" s="1"/>
      <c r="I11" s="1"/>
      <c r="J11" s="1"/>
    </row>
    <row r="12" spans="1:10" x14ac:dyDescent="0.3">
      <c r="A12" s="39" t="s">
        <v>41</v>
      </c>
      <c r="B12" s="13">
        <v>30</v>
      </c>
      <c r="C12" s="1">
        <v>30</v>
      </c>
      <c r="D12" s="1">
        <v>30</v>
      </c>
      <c r="E12" s="1">
        <v>30</v>
      </c>
      <c r="F12" s="1">
        <v>30</v>
      </c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25"/>
      <c r="C15" s="1"/>
      <c r="D15" s="1"/>
      <c r="E15" s="1"/>
      <c r="F15" s="1"/>
      <c r="G15" s="1"/>
      <c r="H15" s="1"/>
      <c r="I15" s="1"/>
      <c r="J15" s="1"/>
    </row>
  </sheetData>
  <mergeCells count="1">
    <mergeCell ref="H2:I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5ECC-A3E4-45B6-9EB8-16E9DD11703C}">
  <dimension ref="A1:I11"/>
  <sheetViews>
    <sheetView zoomScale="130" zoomScaleNormal="130" workbookViewId="0">
      <selection activeCell="F10" sqref="F10"/>
    </sheetView>
  </sheetViews>
  <sheetFormatPr defaultRowHeight="14.4" x14ac:dyDescent="0.3"/>
  <cols>
    <col min="1" max="1" width="14.44140625" bestFit="1" customWidth="1"/>
    <col min="8" max="8" width="9.44140625" customWidth="1"/>
    <col min="9" max="9" width="9.33203125" customWidth="1"/>
  </cols>
  <sheetData>
    <row r="1" spans="1:9" x14ac:dyDescent="0.3">
      <c r="A1" s="52" t="s">
        <v>0</v>
      </c>
      <c r="B1" s="53">
        <v>2024</v>
      </c>
      <c r="C1" s="53">
        <v>2025</v>
      </c>
      <c r="D1" s="53">
        <v>2026</v>
      </c>
      <c r="E1" s="53">
        <v>2027</v>
      </c>
      <c r="F1" s="53">
        <v>2028</v>
      </c>
      <c r="G1" s="1"/>
      <c r="H1" s="1"/>
      <c r="I1" s="1"/>
    </row>
    <row r="2" spans="1:9" x14ac:dyDescent="0.3">
      <c r="A2" s="41" t="s">
        <v>5</v>
      </c>
      <c r="B2" s="14">
        <f>Drivers!B5*FCF_Sched!$I9</f>
        <v>4000000</v>
      </c>
      <c r="C2" s="14">
        <f>Drivers!C5*FCF_Sched!$I9</f>
        <v>5974000</v>
      </c>
      <c r="D2" s="14">
        <f>Drivers!D5*FCF_Sched!$I9</f>
        <v>8306847.0000000019</v>
      </c>
      <c r="E2" s="14">
        <f>Drivers!E5*FCF_Sched!$I9</f>
        <v>10695065.512500003</v>
      </c>
      <c r="F2" s="14">
        <f>Drivers!F5*FCF_Sched!$I9</f>
        <v>13219100.973450003</v>
      </c>
      <c r="G2" s="1"/>
      <c r="H2" s="36" t="s">
        <v>15</v>
      </c>
      <c r="I2" s="36"/>
    </row>
    <row r="3" spans="1:9" x14ac:dyDescent="0.3">
      <c r="A3" s="41" t="s">
        <v>6</v>
      </c>
      <c r="B3" s="14">
        <f>-B2*0.02</f>
        <v>-80000</v>
      </c>
      <c r="C3" s="14">
        <f t="shared" ref="C3:F3" si="0">-C2*0.02</f>
        <v>-119480</v>
      </c>
      <c r="D3" s="14">
        <f t="shared" si="0"/>
        <v>-166136.94000000003</v>
      </c>
      <c r="E3" s="14">
        <f t="shared" si="0"/>
        <v>-213901.31025000007</v>
      </c>
      <c r="F3" s="14">
        <f t="shared" si="0"/>
        <v>-264382.01946900005</v>
      </c>
      <c r="G3" s="1"/>
      <c r="H3" s="36"/>
      <c r="I3" s="36"/>
    </row>
    <row r="4" spans="1:9" x14ac:dyDescent="0.3">
      <c r="A4" s="50" t="s">
        <v>7</v>
      </c>
      <c r="B4" s="15">
        <f>B2+B3</f>
        <v>3920000</v>
      </c>
      <c r="C4" s="15">
        <f t="shared" ref="C4:F4" si="1">C2+C3</f>
        <v>5854520</v>
      </c>
      <c r="D4" s="15">
        <f t="shared" si="1"/>
        <v>8140710.0600000015</v>
      </c>
      <c r="E4" s="15">
        <f t="shared" si="1"/>
        <v>10481164.202250004</v>
      </c>
      <c r="F4" s="15">
        <f t="shared" si="1"/>
        <v>12954718.953981003</v>
      </c>
      <c r="G4" s="1"/>
      <c r="H4" s="36"/>
      <c r="I4" s="36"/>
    </row>
    <row r="5" spans="1:9" x14ac:dyDescent="0.3">
      <c r="A5" s="41" t="s">
        <v>8</v>
      </c>
      <c r="B5" s="14">
        <f>-Drivers!B8*IncomeStmt!B$2</f>
        <v>-1000000</v>
      </c>
      <c r="C5" s="14">
        <f>-Drivers!C8*IncomeStmt!C$2</f>
        <v>-1433760</v>
      </c>
      <c r="D5" s="14">
        <f>-Drivers!D8*IncomeStmt!D$2</f>
        <v>-1910574.8100000003</v>
      </c>
      <c r="E5" s="14">
        <f>-Drivers!E8*IncomeStmt!E$2</f>
        <v>-2352914.4127500006</v>
      </c>
      <c r="F5" s="14">
        <f>-Drivers!F8*IncomeStmt!F$2</f>
        <v>-2776011.2044245</v>
      </c>
      <c r="G5" s="1"/>
      <c r="H5" s="35" t="s">
        <v>36</v>
      </c>
      <c r="I5" s="35"/>
    </row>
    <row r="6" spans="1:9" x14ac:dyDescent="0.3">
      <c r="A6" s="41" t="s">
        <v>9</v>
      </c>
      <c r="B6" s="14">
        <f>-Drivers!B$9*IncomeStmt!B$2</f>
        <v>-720000</v>
      </c>
      <c r="C6" s="14">
        <f>-Drivers!C$9*IncomeStmt!C$2</f>
        <v>-1015579.9999999999</v>
      </c>
      <c r="D6" s="14">
        <f>-Drivers!D$9*IncomeStmt!D$2</f>
        <v>-1329095.52</v>
      </c>
      <c r="E6" s="14">
        <f>-Drivers!E$9*IncomeStmt!E$2</f>
        <v>-1604259.826875</v>
      </c>
      <c r="F6" s="14">
        <f>-Drivers!F$9*IncomeStmt!F$2</f>
        <v>-1850674.136283</v>
      </c>
      <c r="G6" s="1"/>
      <c r="H6" s="35"/>
      <c r="I6" s="35"/>
    </row>
    <row r="7" spans="1:9" x14ac:dyDescent="0.3">
      <c r="A7" s="50" t="s">
        <v>10</v>
      </c>
      <c r="B7" s="15">
        <f>B4+B5+B6</f>
        <v>2200000</v>
      </c>
      <c r="C7" s="15">
        <f t="shared" ref="C7:F7" si="2">C4+C5+C6</f>
        <v>3405180</v>
      </c>
      <c r="D7" s="15">
        <f t="shared" si="2"/>
        <v>4901039.7300000004</v>
      </c>
      <c r="E7" s="15">
        <f t="shared" si="2"/>
        <v>6523989.9626250034</v>
      </c>
      <c r="F7" s="15">
        <f t="shared" si="2"/>
        <v>8328033.6132735023</v>
      </c>
      <c r="G7" s="1"/>
      <c r="H7" s="1"/>
      <c r="I7" s="1"/>
    </row>
    <row r="8" spans="1:9" x14ac:dyDescent="0.3">
      <c r="A8" s="41" t="s">
        <v>11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  <c r="G8" s="1"/>
      <c r="H8" s="1"/>
      <c r="I8" s="1"/>
    </row>
    <row r="9" spans="1:9" x14ac:dyDescent="0.3">
      <c r="A9" s="50" t="s">
        <v>12</v>
      </c>
      <c r="B9" s="15">
        <f>B7-B8</f>
        <v>2200000</v>
      </c>
      <c r="C9" s="15">
        <f t="shared" ref="C9:F9" si="3">C7-C8</f>
        <v>3405180</v>
      </c>
      <c r="D9" s="15">
        <f t="shared" si="3"/>
        <v>4901039.7300000004</v>
      </c>
      <c r="E9" s="15">
        <f t="shared" si="3"/>
        <v>6523989.9626250034</v>
      </c>
      <c r="F9" s="15">
        <f t="shared" si="3"/>
        <v>8328033.6132735023</v>
      </c>
      <c r="G9" s="1"/>
      <c r="H9" s="1"/>
      <c r="I9" s="1"/>
    </row>
    <row r="10" spans="1:9" x14ac:dyDescent="0.3">
      <c r="A10" s="41" t="s">
        <v>13</v>
      </c>
      <c r="B10" s="14">
        <f>-FCF_Sched!B28</f>
        <v>-550000</v>
      </c>
      <c r="C10" s="14">
        <f>-FCF_Sched!C28</f>
        <v>-851295</v>
      </c>
      <c r="D10" s="14">
        <f>-FCF_Sched!D28</f>
        <v>-1225259.9325000001</v>
      </c>
      <c r="E10" s="14">
        <f>-FCF_Sched!E28</f>
        <v>-1630997.4906562509</v>
      </c>
      <c r="F10" s="14">
        <f>-FCF_Sched!F28</f>
        <v>-2082008.4033183756</v>
      </c>
      <c r="G10" s="1"/>
      <c r="H10" s="1"/>
      <c r="I10" s="1"/>
    </row>
    <row r="11" spans="1:9" x14ac:dyDescent="0.3">
      <c r="A11" s="40" t="s">
        <v>14</v>
      </c>
      <c r="B11" s="17">
        <f>B9+B10</f>
        <v>1650000</v>
      </c>
      <c r="C11" s="17">
        <f t="shared" ref="C11:F11" si="4">C9+C10</f>
        <v>2553885</v>
      </c>
      <c r="D11" s="17">
        <f t="shared" si="4"/>
        <v>3675779.7975000003</v>
      </c>
      <c r="E11" s="17">
        <f t="shared" si="4"/>
        <v>4892992.4719687523</v>
      </c>
      <c r="F11" s="17">
        <f t="shared" si="4"/>
        <v>6246025.209955127</v>
      </c>
      <c r="G11" s="1"/>
      <c r="H11" s="1"/>
      <c r="I11" s="1"/>
    </row>
  </sheetData>
  <mergeCells count="2">
    <mergeCell ref="H2:I4"/>
    <mergeCell ref="H5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2DD2-3DB8-420C-9C9E-3AC934E3B339}">
  <dimension ref="A1:I8"/>
  <sheetViews>
    <sheetView zoomScale="130" zoomScaleNormal="130" workbookViewId="0">
      <selection activeCell="C2" sqref="C2"/>
    </sheetView>
  </sheetViews>
  <sheetFormatPr defaultRowHeight="14.4" x14ac:dyDescent="0.3"/>
  <cols>
    <col min="1" max="1" width="18.109375" bestFit="1" customWidth="1"/>
    <col min="8" max="8" width="10" customWidth="1"/>
    <col min="9" max="9" width="10.21875" customWidth="1"/>
  </cols>
  <sheetData>
    <row r="1" spans="1:9" x14ac:dyDescent="0.3">
      <c r="A1" s="38" t="s">
        <v>0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</row>
    <row r="2" spans="1:9" x14ac:dyDescent="0.3">
      <c r="A2" s="41" t="s">
        <v>16</v>
      </c>
      <c r="B2" s="12">
        <v>100000</v>
      </c>
      <c r="C2" s="4">
        <f>CashFlow!B14</f>
        <v>1526242.1917808219</v>
      </c>
      <c r="D2" s="4">
        <f>CashFlow!C14</f>
        <v>3825500.5813698629</v>
      </c>
      <c r="E2" s="4">
        <f>CashFlow!D14</f>
        <v>7253155.9969041096</v>
      </c>
      <c r="F2" s="4">
        <f>CashFlow!E14</f>
        <v>11896077.326106068</v>
      </c>
      <c r="H2" s="36" t="s">
        <v>23</v>
      </c>
      <c r="I2" s="36"/>
    </row>
    <row r="3" spans="1:9" x14ac:dyDescent="0.3">
      <c r="A3" s="41" t="s">
        <v>17</v>
      </c>
      <c r="B3" s="4">
        <f>IncomeStmt!B$2/365*Drivers!B$11</f>
        <v>493150.68493150681</v>
      </c>
      <c r="C3" s="4">
        <f>IncomeStmt!C$2/365*Drivers!C$11</f>
        <v>720153.42465753423</v>
      </c>
      <c r="D3" s="4">
        <f>IncomeStmt!D$2/365*Drivers!D$11</f>
        <v>978614.85205479467</v>
      </c>
      <c r="E3" s="4">
        <f>IncomeStmt!E$2/365*Drivers!E$11</f>
        <v>1230665.0726712332</v>
      </c>
      <c r="F3" s="4">
        <f>IncomeStmt!F$2/365*Drivers!F$11</f>
        <v>1484885.3148258908</v>
      </c>
      <c r="H3" s="36"/>
      <c r="I3" s="36"/>
    </row>
    <row r="4" spans="1:9" x14ac:dyDescent="0.3">
      <c r="A4" s="41" t="s">
        <v>18</v>
      </c>
      <c r="B4" s="12">
        <v>50000</v>
      </c>
      <c r="C4" s="12">
        <v>50000</v>
      </c>
      <c r="D4" s="12">
        <v>50000</v>
      </c>
      <c r="E4" s="12">
        <v>50000</v>
      </c>
      <c r="F4" s="12">
        <v>50000</v>
      </c>
      <c r="H4" s="36"/>
      <c r="I4" s="36"/>
    </row>
    <row r="5" spans="1:9" x14ac:dyDescent="0.3">
      <c r="A5" s="50" t="s">
        <v>19</v>
      </c>
      <c r="B5" s="6">
        <f>B2+B3+B4</f>
        <v>643150.68493150687</v>
      </c>
      <c r="C5" s="6">
        <f t="shared" ref="C5:F5" si="0">C2+C3+C4</f>
        <v>2296395.6164383562</v>
      </c>
      <c r="D5" s="6">
        <f t="shared" si="0"/>
        <v>4854115.4334246572</v>
      </c>
      <c r="E5" s="6">
        <f t="shared" si="0"/>
        <v>8533821.0695753433</v>
      </c>
      <c r="F5" s="6">
        <f t="shared" si="0"/>
        <v>13430962.640931958</v>
      </c>
      <c r="H5" s="35" t="s">
        <v>36</v>
      </c>
      <c r="I5" s="35"/>
    </row>
    <row r="6" spans="1:9" x14ac:dyDescent="0.3">
      <c r="A6" s="41" t="s">
        <v>20</v>
      </c>
      <c r="B6" s="4">
        <f>-(IncomeStmt!B$3/365)*Drivers!B$12</f>
        <v>6575.3424657534242</v>
      </c>
      <c r="C6" s="4">
        <f>-(IncomeStmt!C$3/365)*Drivers!C$12</f>
        <v>9820.2739726027394</v>
      </c>
      <c r="D6" s="4">
        <f>-(IncomeStmt!D$3/365)*Drivers!D$12</f>
        <v>13655.090958904113</v>
      </c>
      <c r="E6" s="4">
        <f>-(IncomeStmt!E$3/365)*Drivers!E$12</f>
        <v>17580.929609589046</v>
      </c>
      <c r="F6" s="4">
        <f>-(IncomeStmt!F$3/365)*Drivers!F$12</f>
        <v>21730.02899745206</v>
      </c>
      <c r="H6" s="35"/>
      <c r="I6" s="35"/>
    </row>
    <row r="7" spans="1:9" x14ac:dyDescent="0.3">
      <c r="A7" s="51" t="s">
        <v>21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</row>
    <row r="8" spans="1:9" x14ac:dyDescent="0.3">
      <c r="A8" s="50" t="s">
        <v>22</v>
      </c>
      <c r="B8" s="6">
        <f>B5-B6-B7</f>
        <v>636575.34246575343</v>
      </c>
      <c r="C8" s="6">
        <f t="shared" ref="C8:F8" si="1">C5-C6-C7</f>
        <v>2286575.3424657537</v>
      </c>
      <c r="D8" s="6">
        <f t="shared" si="1"/>
        <v>4840460.3424657527</v>
      </c>
      <c r="E8" s="6">
        <f t="shared" si="1"/>
        <v>8516240.139965754</v>
      </c>
      <c r="F8" s="6">
        <f t="shared" si="1"/>
        <v>13409232.611934505</v>
      </c>
    </row>
  </sheetData>
  <mergeCells count="2">
    <mergeCell ref="H2:I4"/>
    <mergeCell ref="H5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6CC7-2521-4F6D-948B-FFC016BA21BF}">
  <dimension ref="A1:I16"/>
  <sheetViews>
    <sheetView zoomScale="130" zoomScaleNormal="130" workbookViewId="0">
      <selection activeCell="F7" sqref="F7"/>
    </sheetView>
  </sheetViews>
  <sheetFormatPr defaultRowHeight="14.4" x14ac:dyDescent="0.3"/>
  <cols>
    <col min="1" max="1" width="20" customWidth="1"/>
    <col min="8" max="8" width="9.6640625" customWidth="1"/>
    <col min="9" max="9" width="9.88671875" customWidth="1"/>
  </cols>
  <sheetData>
    <row r="1" spans="1:9" x14ac:dyDescent="0.3">
      <c r="A1" s="49" t="s">
        <v>0</v>
      </c>
      <c r="B1" s="5">
        <v>2024</v>
      </c>
      <c r="C1" s="5">
        <v>2025</v>
      </c>
      <c r="D1" s="5">
        <v>2026</v>
      </c>
      <c r="E1" s="5">
        <v>2027</v>
      </c>
      <c r="F1" s="5">
        <v>2028</v>
      </c>
    </row>
    <row r="2" spans="1:9" x14ac:dyDescent="0.3">
      <c r="A2" s="45" t="s">
        <v>14</v>
      </c>
      <c r="B2" s="14">
        <f>IncomeStmt!B11</f>
        <v>1650000</v>
      </c>
      <c r="C2" s="14">
        <f>IncomeStmt!C11</f>
        <v>2553885</v>
      </c>
      <c r="D2" s="14">
        <f>IncomeStmt!D11</f>
        <v>3675779.7975000003</v>
      </c>
      <c r="E2" s="14">
        <f>IncomeStmt!E11</f>
        <v>4892992.4719687523</v>
      </c>
      <c r="F2" s="14">
        <f>IncomeStmt!F11</f>
        <v>6246025.209955127</v>
      </c>
      <c r="H2" s="36" t="s">
        <v>23</v>
      </c>
      <c r="I2" s="36"/>
    </row>
    <row r="3" spans="1:9" ht="28.2" x14ac:dyDescent="0.3">
      <c r="A3" s="45" t="s">
        <v>24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  <c r="H3" s="36"/>
      <c r="I3" s="36"/>
    </row>
    <row r="4" spans="1:9" x14ac:dyDescent="0.3">
      <c r="A4" s="45" t="s">
        <v>26</v>
      </c>
      <c r="B4" s="14">
        <f>-1*(BalanceSheet!C3-BalanceSheet!B3)</f>
        <v>-227002.73972602742</v>
      </c>
      <c r="C4" s="14">
        <f>-1*(BalanceSheet!D3-BalanceSheet!C3)</f>
        <v>-258461.42739726044</v>
      </c>
      <c r="D4" s="14">
        <f>-1*(BalanceSheet!E3-BalanceSheet!D3)</f>
        <v>-252050.22061643854</v>
      </c>
      <c r="E4" s="14">
        <f>-1*(BalanceSheet!F3-BalanceSheet!E3)</f>
        <v>-254220.24215465761</v>
      </c>
      <c r="F4" s="14">
        <f>-1*(BalanceSheet!G3-BalanceSheet!F3)</f>
        <v>1484885.3148258908</v>
      </c>
      <c r="H4" s="36"/>
      <c r="I4" s="36"/>
    </row>
    <row r="5" spans="1:9" x14ac:dyDescent="0.3">
      <c r="A5" s="45" t="s">
        <v>25</v>
      </c>
      <c r="B5" s="14">
        <f>BalanceSheet!C6-BalanceSheet!B6</f>
        <v>3244.9315068493152</v>
      </c>
      <c r="C5" s="14">
        <f>BalanceSheet!D6-BalanceSheet!C6</f>
        <v>3834.8169863013736</v>
      </c>
      <c r="D5" s="14">
        <f>BalanceSheet!E6-BalanceSheet!D6</f>
        <v>3925.8386506849329</v>
      </c>
      <c r="E5" s="14">
        <f>BalanceSheet!F6-BalanceSheet!E6</f>
        <v>4149.0993878630143</v>
      </c>
      <c r="F5" s="14">
        <f>BalanceSheet!G6-BalanceSheet!F6</f>
        <v>-21730.02899745206</v>
      </c>
      <c r="H5" s="35" t="s">
        <v>36</v>
      </c>
      <c r="I5" s="35"/>
    </row>
    <row r="6" spans="1:9" x14ac:dyDescent="0.3">
      <c r="A6" s="46" t="s">
        <v>27</v>
      </c>
      <c r="B6" s="15">
        <f>SUM(B2:B5)</f>
        <v>1426242.1917808219</v>
      </c>
      <c r="C6" s="15">
        <f t="shared" ref="C6:F6" si="0">SUM(C2:C5)</f>
        <v>2299258.389589041</v>
      </c>
      <c r="D6" s="15">
        <f t="shared" si="0"/>
        <v>3427655.4155342467</v>
      </c>
      <c r="E6" s="15">
        <f t="shared" si="0"/>
        <v>4642921.3292019572</v>
      </c>
      <c r="F6" s="15">
        <f t="shared" si="0"/>
        <v>7709180.4957835656</v>
      </c>
      <c r="H6" s="35"/>
      <c r="I6" s="35"/>
    </row>
    <row r="7" spans="1:9" ht="28.2" x14ac:dyDescent="0.3">
      <c r="A7" s="45" t="s">
        <v>28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</row>
    <row r="8" spans="1:9" x14ac:dyDescent="0.3">
      <c r="A8" s="46" t="s">
        <v>29</v>
      </c>
      <c r="B8" s="15">
        <f>B7</f>
        <v>0</v>
      </c>
      <c r="C8" s="15">
        <f t="shared" ref="C8:F8" si="1">C7</f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</row>
    <row r="9" spans="1:9" x14ac:dyDescent="0.3">
      <c r="A9" s="45" t="s">
        <v>30</v>
      </c>
      <c r="B9" s="16">
        <v>0</v>
      </c>
      <c r="C9" s="16">
        <v>0</v>
      </c>
      <c r="D9" s="16">
        <v>0</v>
      </c>
      <c r="E9" s="16">
        <v>0</v>
      </c>
      <c r="F9" s="16">
        <v>0</v>
      </c>
    </row>
    <row r="10" spans="1:9" x14ac:dyDescent="0.3">
      <c r="A10" s="45" t="s">
        <v>31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</row>
    <row r="11" spans="1:9" x14ac:dyDescent="0.3">
      <c r="A11" s="46" t="s">
        <v>32</v>
      </c>
      <c r="B11" s="15">
        <f>B9+B10</f>
        <v>0</v>
      </c>
      <c r="C11" s="15">
        <f t="shared" ref="C11:F11" si="2">C9+C10</f>
        <v>0</v>
      </c>
      <c r="D11" s="15">
        <f t="shared" si="2"/>
        <v>0</v>
      </c>
      <c r="E11" s="15">
        <f t="shared" si="2"/>
        <v>0</v>
      </c>
      <c r="F11" s="15">
        <f t="shared" si="2"/>
        <v>0</v>
      </c>
    </row>
    <row r="12" spans="1:9" x14ac:dyDescent="0.3">
      <c r="A12" s="45" t="s">
        <v>33</v>
      </c>
      <c r="B12" s="14">
        <f>SUM(B6,B8,B11)</f>
        <v>1426242.1917808219</v>
      </c>
      <c r="C12" s="14">
        <f t="shared" ref="C12:F12" si="3">SUM(C6,C8,C11)</f>
        <v>2299258.389589041</v>
      </c>
      <c r="D12" s="14">
        <f t="shared" si="3"/>
        <v>3427655.4155342467</v>
      </c>
      <c r="E12" s="14">
        <f t="shared" si="3"/>
        <v>4642921.3292019572</v>
      </c>
      <c r="F12" s="14">
        <f t="shared" si="3"/>
        <v>7709180.4957835656</v>
      </c>
    </row>
    <row r="13" spans="1:9" x14ac:dyDescent="0.3">
      <c r="A13" s="47" t="s">
        <v>34</v>
      </c>
      <c r="B13" s="14">
        <f>BalanceSheet!B2</f>
        <v>100000</v>
      </c>
      <c r="C13" s="14">
        <f>BalanceSheet!C2</f>
        <v>1526242.1917808219</v>
      </c>
      <c r="D13" s="14">
        <f>BalanceSheet!D2</f>
        <v>3825500.5813698629</v>
      </c>
      <c r="E13" s="14">
        <f>BalanceSheet!E2</f>
        <v>7253155.9969041096</v>
      </c>
      <c r="F13" s="14">
        <f>BalanceSheet!F2</f>
        <v>11896077.326106068</v>
      </c>
    </row>
    <row r="14" spans="1:9" x14ac:dyDescent="0.3">
      <c r="A14" s="48" t="s">
        <v>35</v>
      </c>
      <c r="B14" s="17">
        <f>B13+B12</f>
        <v>1526242.1917808219</v>
      </c>
      <c r="C14" s="17">
        <f t="shared" ref="C14:F14" si="4">C13+C12</f>
        <v>3825500.5813698629</v>
      </c>
      <c r="D14" s="17">
        <f t="shared" si="4"/>
        <v>7253155.9969041096</v>
      </c>
      <c r="E14" s="17">
        <f t="shared" si="4"/>
        <v>11896077.326106068</v>
      </c>
      <c r="F14" s="17">
        <f t="shared" si="4"/>
        <v>19605257.821889631</v>
      </c>
    </row>
    <row r="16" spans="1:9" x14ac:dyDescent="0.3">
      <c r="A16" s="48" t="s">
        <v>42</v>
      </c>
      <c r="B16" s="17">
        <f>B6-B7</f>
        <v>1426242.1917808219</v>
      </c>
      <c r="C16" s="17">
        <f>C6-C7</f>
        <v>2299258.389589041</v>
      </c>
      <c r="D16" s="17">
        <f>D6-D7</f>
        <v>3427655.4155342467</v>
      </c>
      <c r="E16" s="17">
        <f>E6-E7</f>
        <v>4642921.3292019572</v>
      </c>
      <c r="F16" s="17">
        <f>F6-F7</f>
        <v>7709180.4957835656</v>
      </c>
    </row>
  </sheetData>
  <mergeCells count="2">
    <mergeCell ref="H2:I4"/>
    <mergeCell ref="H5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4BBA-0A90-4B0F-BDDF-50C5110C899C}">
  <dimension ref="A1:J30"/>
  <sheetViews>
    <sheetView topLeftCell="A10" zoomScale="130" zoomScaleNormal="130" workbookViewId="0">
      <selection activeCell="C5" sqref="C5"/>
    </sheetView>
  </sheetViews>
  <sheetFormatPr defaultRowHeight="14.4" x14ac:dyDescent="0.3"/>
  <cols>
    <col min="1" max="1" width="24.77734375" bestFit="1" customWidth="1"/>
    <col min="2" max="2" width="10" customWidth="1"/>
    <col min="3" max="3" width="10" bestFit="1" customWidth="1"/>
    <col min="4" max="4" width="10.88671875" bestFit="1" customWidth="1"/>
    <col min="5" max="6" width="10" bestFit="1" customWidth="1"/>
    <col min="8" max="9" width="10.5546875" customWidth="1"/>
  </cols>
  <sheetData>
    <row r="1" spans="1:10" x14ac:dyDescent="0.3">
      <c r="A1" s="38" t="s">
        <v>0</v>
      </c>
      <c r="B1" s="7">
        <v>2024</v>
      </c>
      <c r="C1" s="7">
        <v>2025</v>
      </c>
      <c r="D1" s="7">
        <v>2026</v>
      </c>
      <c r="E1" s="7">
        <v>2027</v>
      </c>
      <c r="F1" s="7">
        <v>2028</v>
      </c>
      <c r="G1" s="1"/>
      <c r="H1" s="7" t="s">
        <v>44</v>
      </c>
      <c r="I1" s="24">
        <v>0.25</v>
      </c>
      <c r="J1" s="1"/>
    </row>
    <row r="2" spans="1:10" x14ac:dyDescent="0.3">
      <c r="A2" s="41" t="s">
        <v>10</v>
      </c>
      <c r="B2" s="4">
        <f>IncomeStmt!B7</f>
        <v>2200000</v>
      </c>
      <c r="C2" s="4">
        <f>IncomeStmt!C7</f>
        <v>3405180</v>
      </c>
      <c r="D2" s="4">
        <f>IncomeStmt!D7</f>
        <v>4901039.7300000004</v>
      </c>
      <c r="E2" s="4">
        <f>IncomeStmt!E7</f>
        <v>6523989.9626250034</v>
      </c>
      <c r="F2" s="4">
        <f>IncomeStmt!F7</f>
        <v>8328033.6132735023</v>
      </c>
      <c r="G2" s="1"/>
      <c r="H2" s="1"/>
      <c r="I2" s="1"/>
      <c r="J2" s="1"/>
    </row>
    <row r="3" spans="1:10" x14ac:dyDescent="0.3">
      <c r="A3" s="41" t="s">
        <v>43</v>
      </c>
      <c r="B3" s="4">
        <f>B28</f>
        <v>550000</v>
      </c>
      <c r="C3" s="4">
        <f t="shared" ref="C3:F3" si="0">C28</f>
        <v>851295</v>
      </c>
      <c r="D3" s="4">
        <f t="shared" si="0"/>
        <v>1225259.9325000001</v>
      </c>
      <c r="E3" s="4">
        <f t="shared" si="0"/>
        <v>1630997.4906562509</v>
      </c>
      <c r="F3" s="4">
        <f t="shared" si="0"/>
        <v>2082008.4033183756</v>
      </c>
      <c r="G3" s="1"/>
      <c r="H3" s="36" t="s">
        <v>23</v>
      </c>
      <c r="I3" s="36"/>
      <c r="J3" s="1"/>
    </row>
    <row r="4" spans="1:10" x14ac:dyDescent="0.3">
      <c r="A4" s="41" t="s">
        <v>45</v>
      </c>
      <c r="B4" s="4">
        <f>-IncomeStmt!B3</f>
        <v>80000</v>
      </c>
      <c r="C4" s="4">
        <f>-IncomeStmt!C3</f>
        <v>119480</v>
      </c>
      <c r="D4" s="4">
        <f>-IncomeStmt!D3</f>
        <v>166136.94000000003</v>
      </c>
      <c r="E4" s="4">
        <f>-IncomeStmt!E3</f>
        <v>213901.31025000007</v>
      </c>
      <c r="F4" s="4">
        <f>-IncomeStmt!F3</f>
        <v>264382.01946900005</v>
      </c>
      <c r="G4" s="1"/>
      <c r="H4" s="36"/>
      <c r="I4" s="36"/>
      <c r="J4" s="1"/>
    </row>
    <row r="5" spans="1:10" x14ac:dyDescent="0.3">
      <c r="A5" s="41" t="s">
        <v>46</v>
      </c>
      <c r="B5" s="4">
        <f>IncomeStmt!B2*0.02</f>
        <v>80000</v>
      </c>
      <c r="C5" s="4">
        <f>IncomeStmt!C2*0.02</f>
        <v>119480</v>
      </c>
      <c r="D5" s="4">
        <f>IncomeStmt!D2*0.02</f>
        <v>166136.94000000003</v>
      </c>
      <c r="E5" s="4">
        <f>IncomeStmt!E2*0.02</f>
        <v>213901.31025000007</v>
      </c>
      <c r="F5" s="4">
        <f>IncomeStmt!F2*0.02</f>
        <v>264382.01946900005</v>
      </c>
      <c r="G5" s="1"/>
      <c r="H5" s="36"/>
      <c r="I5" s="36"/>
      <c r="J5" s="1"/>
    </row>
    <row r="6" spans="1:10" x14ac:dyDescent="0.3">
      <c r="A6" s="41" t="s">
        <v>47</v>
      </c>
      <c r="B6" s="4">
        <f>CashFlow!B4+CashFlow!B5</f>
        <v>-223757.80821917811</v>
      </c>
      <c r="C6" s="4">
        <f>CashFlow!C4+CashFlow!C5</f>
        <v>-254626.61041095908</v>
      </c>
      <c r="D6" s="4">
        <f>CashFlow!D4+CashFlow!D5</f>
        <v>-248124.38196575362</v>
      </c>
      <c r="E6" s="4">
        <f>CashFlow!E4+CashFlow!E5</f>
        <v>-250071.1427667946</v>
      </c>
      <c r="F6" s="4">
        <f>CashFlow!F4+CashFlow!F5</f>
        <v>1463155.2858284388</v>
      </c>
      <c r="G6" s="1"/>
      <c r="H6" s="35" t="s">
        <v>36</v>
      </c>
      <c r="I6" s="35"/>
      <c r="J6" s="1"/>
    </row>
    <row r="7" spans="1:10" x14ac:dyDescent="0.3">
      <c r="A7" s="40" t="s">
        <v>48</v>
      </c>
      <c r="B7" s="23">
        <f>B2-B3+B4-B5-B6</f>
        <v>1873757.8082191781</v>
      </c>
      <c r="C7" s="23">
        <f t="shared" ref="C7:F7" si="1">C2-C3+C4-C5-C6</f>
        <v>2808511.610410959</v>
      </c>
      <c r="D7" s="23">
        <f t="shared" si="1"/>
        <v>3923904.179465754</v>
      </c>
      <c r="E7" s="23">
        <f t="shared" si="1"/>
        <v>5143063.6147355465</v>
      </c>
      <c r="F7" s="23">
        <f t="shared" si="1"/>
        <v>4782869.9241266884</v>
      </c>
      <c r="G7" s="1"/>
      <c r="H7" s="35"/>
      <c r="I7" s="35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37" t="s">
        <v>50</v>
      </c>
      <c r="B9" s="37"/>
      <c r="C9" s="37"/>
      <c r="D9" s="37"/>
      <c r="E9" s="37"/>
      <c r="F9" s="37"/>
      <c r="H9" s="27" t="s">
        <v>49</v>
      </c>
      <c r="I9" s="32">
        <v>1</v>
      </c>
      <c r="J9" s="1"/>
    </row>
    <row r="10" spans="1:10" x14ac:dyDescent="0.3">
      <c r="A10" s="28"/>
      <c r="B10" s="29">
        <f>B7</f>
        <v>1873757.8082191781</v>
      </c>
      <c r="C10" s="30">
        <f>C7</f>
        <v>2808511.610410959</v>
      </c>
      <c r="D10" s="31">
        <f>D7</f>
        <v>3923904.179465754</v>
      </c>
      <c r="E10" s="34">
        <f>E7</f>
        <v>5143063.6147355465</v>
      </c>
      <c r="F10" s="33">
        <f>F7</f>
        <v>4782869.9241266884</v>
      </c>
      <c r="H10" s="1"/>
      <c r="I10" s="1"/>
      <c r="J10" s="1"/>
    </row>
    <row r="11" spans="1:10" x14ac:dyDescent="0.3">
      <c r="A11" s="42">
        <v>1.05</v>
      </c>
      <c r="B11" s="26">
        <f t="dataTable" ref="B11:F13" dt2D="0" dtr="0" r1="I9"/>
        <v>1967445.6986301369</v>
      </c>
      <c r="C11" s="26">
        <v>2948937.1909315069</v>
      </c>
      <c r="D11" s="26">
        <v>4120099.388439042</v>
      </c>
      <c r="E11" s="26">
        <v>5400216.7954723239</v>
      </c>
      <c r="F11" s="26">
        <v>5022013.4203330241</v>
      </c>
      <c r="G11" s="1"/>
      <c r="H11" s="1"/>
      <c r="I11" s="1"/>
      <c r="J11" s="1"/>
    </row>
    <row r="12" spans="1:10" x14ac:dyDescent="0.3">
      <c r="A12" s="43">
        <v>1</v>
      </c>
      <c r="B12" s="26">
        <v>1873757.8082191781</v>
      </c>
      <c r="C12" s="26">
        <v>2808511.610410959</v>
      </c>
      <c r="D12" s="26">
        <v>3923904.179465754</v>
      </c>
      <c r="E12" s="26">
        <v>5143063.6147355465</v>
      </c>
      <c r="F12" s="26">
        <v>4782869.9241266884</v>
      </c>
    </row>
    <row r="13" spans="1:10" x14ac:dyDescent="0.3">
      <c r="A13" s="44">
        <v>0.95</v>
      </c>
      <c r="B13" s="26">
        <v>1780069.9178082191</v>
      </c>
      <c r="C13" s="26">
        <v>2668086.0298904111</v>
      </c>
      <c r="D13" s="26">
        <v>3727708.9704924664</v>
      </c>
      <c r="E13" s="26">
        <v>4885910.4339987701</v>
      </c>
      <c r="F13" s="26">
        <v>4543726.4279203527</v>
      </c>
    </row>
    <row r="24" spans="1:6" x14ac:dyDescent="0.3">
      <c r="A24" s="52"/>
      <c r="B24" s="53">
        <v>2024</v>
      </c>
      <c r="C24" s="53">
        <v>2025</v>
      </c>
      <c r="D24" s="53">
        <v>2026</v>
      </c>
      <c r="E24" s="53">
        <v>2027</v>
      </c>
      <c r="F24" s="53">
        <v>2028</v>
      </c>
    </row>
    <row r="25" spans="1:6" x14ac:dyDescent="0.3">
      <c r="A25" s="41" t="s">
        <v>12</v>
      </c>
      <c r="B25" s="1">
        <f>IncomeStmt!B9</f>
        <v>2200000</v>
      </c>
      <c r="C25" s="1">
        <f>IncomeStmt!C9</f>
        <v>3405180</v>
      </c>
      <c r="D25" s="1">
        <f>IncomeStmt!D9</f>
        <v>4901039.7300000004</v>
      </c>
      <c r="E25" s="1">
        <f>IncomeStmt!E9</f>
        <v>6523989.9626250034</v>
      </c>
      <c r="F25" s="1">
        <f>IncomeStmt!F9</f>
        <v>8328033.6132735023</v>
      </c>
    </row>
    <row r="26" spans="1:6" x14ac:dyDescent="0.3">
      <c r="A26" s="41" t="s">
        <v>51</v>
      </c>
      <c r="B26" s="1">
        <f>0</f>
        <v>0</v>
      </c>
      <c r="C26" s="1">
        <f>MAX(0, B30)</f>
        <v>0</v>
      </c>
      <c r="D26" s="1">
        <f t="shared" ref="D26:F26" si="2">MAX(0, C30)</f>
        <v>0</v>
      </c>
      <c r="E26" s="1">
        <f t="shared" si="2"/>
        <v>0</v>
      </c>
      <c r="F26" s="1">
        <f t="shared" si="2"/>
        <v>0</v>
      </c>
    </row>
    <row r="27" spans="1:6" x14ac:dyDescent="0.3">
      <c r="A27" s="41" t="s">
        <v>52</v>
      </c>
      <c r="B27" s="1">
        <f>MAX(0, B25-B26)</f>
        <v>2200000</v>
      </c>
      <c r="C27" s="1">
        <f t="shared" ref="C27:F27" si="3">MAX(0, C25-C26)</f>
        <v>3405180</v>
      </c>
      <c r="D27" s="1">
        <f t="shared" si="3"/>
        <v>4901039.7300000004</v>
      </c>
      <c r="E27" s="1">
        <f t="shared" si="3"/>
        <v>6523989.9626250034</v>
      </c>
      <c r="F27" s="1">
        <f t="shared" si="3"/>
        <v>8328033.6132735023</v>
      </c>
    </row>
    <row r="28" spans="1:6" x14ac:dyDescent="0.3">
      <c r="A28" s="41" t="s">
        <v>53</v>
      </c>
      <c r="B28" s="1">
        <f>B27*tax_rate</f>
        <v>550000</v>
      </c>
      <c r="C28" s="1">
        <f>C27*tax_rate</f>
        <v>851295</v>
      </c>
      <c r="D28" s="1">
        <f>D27*tax_rate</f>
        <v>1225259.9325000001</v>
      </c>
      <c r="E28" s="1">
        <f>E27*tax_rate</f>
        <v>1630997.4906562509</v>
      </c>
      <c r="F28" s="1">
        <f>F27*tax_rate</f>
        <v>2082008.4033183756</v>
      </c>
    </row>
    <row r="29" spans="1:6" x14ac:dyDescent="0.3">
      <c r="A29" s="41" t="s">
        <v>54</v>
      </c>
      <c r="B29" s="1">
        <f>B25-B27</f>
        <v>0</v>
      </c>
      <c r="C29" s="1">
        <f t="shared" ref="C29:F29" si="4">C25-C27</f>
        <v>0</v>
      </c>
      <c r="D29" s="1">
        <f t="shared" si="4"/>
        <v>0</v>
      </c>
      <c r="E29" s="1">
        <f t="shared" si="4"/>
        <v>0</v>
      </c>
      <c r="F29" s="1">
        <f t="shared" si="4"/>
        <v>0</v>
      </c>
    </row>
    <row r="30" spans="1:6" x14ac:dyDescent="0.3">
      <c r="A30" s="41" t="s">
        <v>55</v>
      </c>
      <c r="B30" s="1">
        <f>B26-B29+MIN(0, B28)</f>
        <v>0</v>
      </c>
      <c r="C30" s="1">
        <f t="shared" ref="C30:F30" si="5">C26-C29+MIN(0, C28)</f>
        <v>0</v>
      </c>
      <c r="D30" s="1">
        <f t="shared" si="5"/>
        <v>0</v>
      </c>
      <c r="E30" s="1">
        <f t="shared" si="5"/>
        <v>0</v>
      </c>
      <c r="F30" s="1">
        <f t="shared" si="5"/>
        <v>0</v>
      </c>
    </row>
  </sheetData>
  <scenarios current="0" show="0">
    <scenario name="Base" locked="1" count="1" user="Lucas Duran" comment="Created by Lucas Duran on 6/24/2025">
      <inputCells r="I9" val="1" numFmtId="2"/>
    </scenario>
    <scenario name="Bull" locked="1" count="1" user="Lucas Duran" comment="Created by Lucas Duran on 6/24/2025">
      <inputCells r="I9" val="1.05" numFmtId="2"/>
    </scenario>
    <scenario name="Bear" locked="1" count="1" user="Lucas Duran" comment="Created by Lucas Duran on 6/24/2025">
      <inputCells r="I9" val="0.95" numFmtId="2"/>
    </scenario>
  </scenarios>
  <mergeCells count="3">
    <mergeCell ref="A9:F9"/>
    <mergeCell ref="H3:I5"/>
    <mergeCell ref="H6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23C4-7726-4AFB-B0D2-1EE4E0BE397A}">
  <dimension ref="A1:Q22"/>
  <sheetViews>
    <sheetView zoomScale="130" zoomScaleNormal="130" workbookViewId="0">
      <selection activeCell="B7" sqref="B7"/>
    </sheetView>
  </sheetViews>
  <sheetFormatPr defaultRowHeight="14.4" x14ac:dyDescent="0.3"/>
  <cols>
    <col min="1" max="1" width="24.77734375" bestFit="1" customWidth="1"/>
    <col min="4" max="4" width="12.109375" bestFit="1" customWidth="1"/>
  </cols>
  <sheetData>
    <row r="1" spans="1:17" x14ac:dyDescent="0.3">
      <c r="A1" s="60"/>
    </row>
    <row r="2" spans="1:17" x14ac:dyDescent="0.3">
      <c r="A2" s="41" t="s">
        <v>56</v>
      </c>
      <c r="B2" s="64">
        <v>3.7999999999999999E-2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41" t="s">
        <v>57</v>
      </c>
      <c r="B3" s="64">
        <v>5.5E-2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41" t="s">
        <v>58</v>
      </c>
      <c r="B4" s="64">
        <v>0.1188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41" t="s">
        <v>59</v>
      </c>
      <c r="B5" s="64">
        <v>0.16020000000000001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41" t="s">
        <v>60</v>
      </c>
      <c r="B6" s="63">
        <f>tax_rate</f>
        <v>0.25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41" t="s">
        <v>61</v>
      </c>
      <c r="B7" s="64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41" t="s">
        <v>62</v>
      </c>
      <c r="B8" s="63">
        <f>1-B7</f>
        <v>1</v>
      </c>
      <c r="C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41" t="s">
        <v>63</v>
      </c>
      <c r="B9" s="64">
        <v>0.14000000000000001</v>
      </c>
      <c r="C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41" t="s">
        <v>64</v>
      </c>
      <c r="B10" s="63">
        <f>B9*(1-B6)</f>
        <v>0.10500000000000001</v>
      </c>
      <c r="C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41" t="s">
        <v>65</v>
      </c>
      <c r="B11" s="13">
        <v>1.3</v>
      </c>
      <c r="C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41" t="s">
        <v>68</v>
      </c>
      <c r="B12" s="1">
        <f>B11/(1+(1-B6)*B7/B8)</f>
        <v>1.3</v>
      </c>
      <c r="C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41" t="s">
        <v>69</v>
      </c>
      <c r="B13" s="1">
        <f>B12*(1+(1-B6)*B7/B8)</f>
        <v>1.3</v>
      </c>
      <c r="C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41" t="s">
        <v>66</v>
      </c>
      <c r="B14" s="63">
        <f>B2+B3*B13+B5</f>
        <v>0.26970000000000005</v>
      </c>
      <c r="C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41" t="s">
        <v>67</v>
      </c>
      <c r="B15" s="63">
        <f>B8*B14+B7*B10</f>
        <v>0.26970000000000005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idden="1" x14ac:dyDescent="0.3">
      <c r="A16" s="27"/>
      <c r="B16" s="62" t="s">
        <v>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idden="1" x14ac:dyDescent="0.3">
      <c r="A17" s="27" t="s">
        <v>70</v>
      </c>
      <c r="B17" s="1">
        <v>0.8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idden="1" x14ac:dyDescent="0.3">
      <c r="A18" s="27" t="s">
        <v>71</v>
      </c>
      <c r="B18" s="1">
        <v>1.05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idden="1" x14ac:dyDescent="0.3">
      <c r="A19" s="27" t="s">
        <v>72</v>
      </c>
      <c r="B19" s="1">
        <v>1.3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dataValidations count="1">
    <dataValidation type="list" allowBlank="1" showInputMessage="1" showErrorMessage="1" sqref="B11" xr:uid="{DE1C62CC-7CB1-46CF-AD4E-E87766377EA9}">
      <formula1>beta_table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BBA-9F7D-4FAD-8DDA-4C60FFA76FC7}">
  <dimension ref="A1:K45"/>
  <sheetViews>
    <sheetView tabSelected="1" zoomScale="130" zoomScaleNormal="130" workbookViewId="0">
      <selection activeCell="B5" sqref="B5"/>
    </sheetView>
  </sheetViews>
  <sheetFormatPr defaultRowHeight="14.4" x14ac:dyDescent="0.3"/>
  <cols>
    <col min="1" max="1" width="20.109375" bestFit="1" customWidth="1"/>
    <col min="2" max="2" width="11.6640625" customWidth="1"/>
  </cols>
  <sheetData>
    <row r="1" spans="1:11" ht="15" thickBot="1" x14ac:dyDescent="0.35">
      <c r="A1" s="65" t="s">
        <v>74</v>
      </c>
      <c r="B1" s="65"/>
      <c r="C1" s="65"/>
      <c r="D1" s="65"/>
      <c r="E1" s="65"/>
      <c r="F1" s="65"/>
      <c r="G1" s="65"/>
      <c r="H1" s="65"/>
      <c r="I1" s="1"/>
      <c r="J1" s="1"/>
      <c r="K1" s="1"/>
    </row>
    <row r="2" spans="1:11" x14ac:dyDescent="0.3">
      <c r="A2" s="61"/>
      <c r="B2" s="61"/>
      <c r="C2" s="61"/>
      <c r="D2" s="61"/>
      <c r="E2" s="61"/>
      <c r="F2" s="61"/>
      <c r="G2" s="61"/>
      <c r="H2" s="61"/>
      <c r="I2" s="1"/>
      <c r="J2" s="1"/>
      <c r="K2" s="1"/>
    </row>
    <row r="3" spans="1:11" x14ac:dyDescent="0.3">
      <c r="A3" s="1" t="s">
        <v>75</v>
      </c>
      <c r="B3" s="66">
        <f>wacc</f>
        <v>0.26970000000000005</v>
      </c>
      <c r="C3" s="66">
        <f>wacc</f>
        <v>0.26970000000000005</v>
      </c>
      <c r="D3" s="66">
        <f>wacc</f>
        <v>0.26970000000000005</v>
      </c>
      <c r="E3" s="66">
        <f>wacc</f>
        <v>0.26970000000000005</v>
      </c>
      <c r="F3" s="66">
        <f>wacc</f>
        <v>0.26970000000000005</v>
      </c>
      <c r="G3" s="1"/>
      <c r="H3" s="1"/>
      <c r="I3" s="1"/>
      <c r="J3" s="1"/>
      <c r="K3" s="1"/>
    </row>
    <row r="4" spans="1:11" x14ac:dyDescent="0.3">
      <c r="A4" s="1" t="s">
        <v>76</v>
      </c>
      <c r="B4" s="67">
        <v>0.03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 t="s">
        <v>42</v>
      </c>
      <c r="B5" s="26">
        <f>FCF_Sched!B7</f>
        <v>1873757.8082191781</v>
      </c>
      <c r="C5" s="26">
        <f>FCF_Sched!C7</f>
        <v>2808511.610410959</v>
      </c>
      <c r="D5" s="26">
        <f>FCF_Sched!D7</f>
        <v>3923904.179465754</v>
      </c>
      <c r="E5" s="26">
        <f>FCF_Sched!E7</f>
        <v>5143063.6147355465</v>
      </c>
      <c r="F5" s="26">
        <f>FCF_Sched!F7</f>
        <v>4782869.9241266884</v>
      </c>
      <c r="G5" s="1"/>
      <c r="H5" s="1"/>
      <c r="I5" s="1"/>
      <c r="J5" s="1"/>
      <c r="K5" s="1"/>
    </row>
    <row r="6" spans="1:11" x14ac:dyDescent="0.3">
      <c r="A6" s="1" t="s">
        <v>77</v>
      </c>
      <c r="B6" s="1">
        <f>1/(1+$B$3)^(COLUMN()-COLUMN($B$3))</f>
        <v>1</v>
      </c>
      <c r="C6" s="1">
        <f>1/(1+$B$3)^(COLUMN()-COLUMN($B$3))</f>
        <v>0.78758761912262731</v>
      </c>
      <c r="D6" s="1">
        <f t="shared" ref="D6:H6" si="0">1/(1+$B$3)^(COLUMN()-COLUMN($B$3))</f>
        <v>0.62029425779524872</v>
      </c>
      <c r="E6" s="1">
        <f t="shared" si="0"/>
        <v>0.48853607765239715</v>
      </c>
      <c r="F6" s="1">
        <f t="shared" si="0"/>
        <v>0.3847649662537585</v>
      </c>
      <c r="G6" s="1"/>
      <c r="H6" s="1"/>
      <c r="I6" s="1"/>
      <c r="J6" s="1"/>
      <c r="K6" s="1"/>
    </row>
    <row r="7" spans="1:11" x14ac:dyDescent="0.3">
      <c r="A7" s="1" t="s">
        <v>79</v>
      </c>
      <c r="B7" s="26">
        <f>B5*B6</f>
        <v>1873757.8082191781</v>
      </c>
      <c r="C7" s="26">
        <f t="shared" ref="C7:H7" si="1">C5*C6</f>
        <v>2211948.9725218229</v>
      </c>
      <c r="D7" s="26">
        <f t="shared" si="1"/>
        <v>2433975.2306613843</v>
      </c>
      <c r="E7" s="26">
        <f t="shared" si="1"/>
        <v>2512572.1254596631</v>
      </c>
      <c r="F7" s="26">
        <f t="shared" si="1"/>
        <v>1840280.7849527218</v>
      </c>
      <c r="G7" s="1"/>
      <c r="H7" s="1"/>
      <c r="I7" s="1"/>
      <c r="J7" s="1"/>
      <c r="K7" s="1"/>
    </row>
    <row r="8" spans="1:11" x14ac:dyDescent="0.3">
      <c r="A8" s="1" t="s">
        <v>78</v>
      </c>
      <c r="B8" s="26">
        <f>SUM(B7:F7)</f>
        <v>10872534.921814771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1" t="s">
        <v>80</v>
      </c>
      <c r="B9" s="4">
        <f>F5*(1+$B$4)/($B$3-$B$4)</f>
        <v>20552173.641428821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1" t="s">
        <v>81</v>
      </c>
      <c r="B10" s="4">
        <f>B9/((1+$B$3)^(COLUMN(F10)-COLUMN(B3)+1))</f>
        <v>6228051.0337762823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3">
      <c r="A11" s="1" t="s">
        <v>82</v>
      </c>
      <c r="B11" s="26">
        <f>B8+B10</f>
        <v>17100585.955591053</v>
      </c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3">
      <c r="A12" s="1" t="str">
        <f>"+Cash"</f>
        <v>+Cash</v>
      </c>
      <c r="B12" s="26">
        <f>BalanceSheet!F2</f>
        <v>11896077.326106068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3">
      <c r="A13" s="1" t="str">
        <f>"-Debt"</f>
        <v>-Debt</v>
      </c>
      <c r="B13" s="26">
        <f>BalanceSheet!F7</f>
        <v>0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83</v>
      </c>
      <c r="B14" s="26">
        <f>B11+B12-B13</f>
        <v>28996663.281697121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84</v>
      </c>
      <c r="B15" s="69">
        <v>10000000</v>
      </c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">
      <c r="A16" s="1" t="s">
        <v>85</v>
      </c>
      <c r="B16" s="68">
        <f>B14/B15</f>
        <v>2.8996663281697121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Drivers</vt:lpstr>
      <vt:lpstr>IncomeStmt</vt:lpstr>
      <vt:lpstr>BalanceSheet</vt:lpstr>
      <vt:lpstr>CashFlow</vt:lpstr>
      <vt:lpstr>FCF_Sched</vt:lpstr>
      <vt:lpstr>WACC_inputs</vt:lpstr>
      <vt:lpstr>DCF</vt:lpstr>
      <vt:lpstr>beta_L</vt:lpstr>
      <vt:lpstr>beta_table</vt:lpstr>
      <vt:lpstr>beta_U</vt:lpstr>
      <vt:lpstr>erp_base</vt:lpstr>
      <vt:lpstr>ke</vt:lpstr>
      <vt:lpstr>rf</vt:lpstr>
      <vt:lpstr>tax_rate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Duran</dc:creator>
  <cp:lastModifiedBy>Lucas Duran</cp:lastModifiedBy>
  <dcterms:created xsi:type="dcterms:W3CDTF">2025-06-03T15:59:22Z</dcterms:created>
  <dcterms:modified xsi:type="dcterms:W3CDTF">2025-07-25T21:23:59Z</dcterms:modified>
</cp:coreProperties>
</file>