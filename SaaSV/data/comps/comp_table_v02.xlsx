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ucas\quant-summer-2025\SaaSV\data\comps\"/>
    </mc:Choice>
  </mc:AlternateContent>
  <xr:revisionPtr revIDLastSave="0" documentId="13_ncr:1_{6B922318-0F0B-40F3-9B30-853999E9A6E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aw" sheetId="8" r:id="rId1"/>
    <sheet name="Comps" sheetId="7" r:id="rId2"/>
  </sheets>
  <externalReferences>
    <externalReference r:id="rId3"/>
  </externalReferences>
  <definedNames>
    <definedName name="ExternalData_2" localSheetId="0" hidden="1">Raw!$A$1:$K$6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J18" i="7"/>
  <c r="J16" i="7"/>
  <c r="J15" i="7"/>
  <c r="J10" i="7"/>
  <c r="J12" i="7"/>
  <c r="J13" i="7"/>
  <c r="J11" i="7"/>
  <c r="J9" i="7"/>
  <c r="G13" i="7" a="1"/>
  <c r="G13" i="7" s="1"/>
  <c r="G12" i="7"/>
  <c r="G11" i="7"/>
  <c r="G9" i="7" l="1"/>
  <c r="G10" i="7" l="1"/>
  <c r="C10" i="7" l="1"/>
  <c r="C11" i="7"/>
  <c r="C12" i="7"/>
  <c r="B12" i="7"/>
  <c r="B11" i="7"/>
  <c r="B10" i="7"/>
  <c r="L2" i="7"/>
  <c r="L3" i="7"/>
  <c r="L4" i="7"/>
  <c r="L5" i="7"/>
  <c r="L6" i="7"/>
  <c r="K2" i="7"/>
  <c r="K3" i="7"/>
  <c r="K4" i="7"/>
  <c r="K5" i="7"/>
  <c r="K6" i="7"/>
  <c r="J2" i="7"/>
  <c r="J3" i="7"/>
  <c r="J4" i="7"/>
  <c r="J5" i="7"/>
  <c r="J6" i="7"/>
  <c r="I2" i="7"/>
  <c r="I3" i="7"/>
  <c r="I4" i="7"/>
  <c r="I5" i="7"/>
  <c r="I6" i="7"/>
  <c r="H2" i="7"/>
  <c r="H3" i="7"/>
  <c r="H4" i="7"/>
  <c r="H5" i="7"/>
  <c r="H6" i="7"/>
  <c r="G2" i="7"/>
  <c r="G3" i="7"/>
  <c r="G4" i="7"/>
  <c r="G5" i="7"/>
  <c r="G6" i="7"/>
  <c r="F2" i="7"/>
  <c r="F3" i="7"/>
  <c r="F4" i="7"/>
  <c r="F5" i="7"/>
  <c r="F6" i="7"/>
  <c r="E2" i="7"/>
  <c r="E3" i="7"/>
  <c r="E4" i="7"/>
  <c r="E5" i="7"/>
  <c r="E6" i="7"/>
  <c r="D2" i="7"/>
  <c r="D3" i="7"/>
  <c r="D4" i="7"/>
  <c r="D5" i="7"/>
  <c r="D6" i="7"/>
  <c r="C2" i="7"/>
  <c r="C3" i="7"/>
  <c r="C4" i="7"/>
  <c r="C5" i="7"/>
  <c r="C6" i="7"/>
  <c r="B2" i="7"/>
  <c r="B3" i="7"/>
  <c r="B4" i="7"/>
  <c r="B5" i="7"/>
  <c r="B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Duran</author>
  </authors>
  <commentList>
    <comment ref="J12" authorId="0" shapeId="0" xr:uid="{DED83F22-E502-496D-83B8-49A956F0665A}">
      <text>
        <r>
          <rPr>
            <b/>
            <sz val="9"/>
            <color indexed="81"/>
            <rFont val="Tahoma"/>
            <family val="2"/>
          </rPr>
          <t>Lucas Duran:</t>
        </r>
        <r>
          <rPr>
            <sz val="9"/>
            <color indexed="81"/>
            <rFont val="Tahoma"/>
            <family val="2"/>
          </rPr>
          <t xml:space="preserve">
Returns N/A if value not in the range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9168C6-798A-4FDB-9A2E-8FA2C4F1846F}" keepAlive="1" name="Query - comp_raw_20250811" description="Connection to the 'comp_raw_20250811' query in the workbook." type="5" refreshedVersion="8" background="1" saveData="1">
    <dbPr connection="Provider=Microsoft.Mashup.OleDb.1;Data Source=$Workbook$;Location=comp_raw_20250811;Extended Properties=&quot;&quot;" command="SELECT * FROM [comp_raw_2025081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<sst xmlns="http://schemas.openxmlformats.org/spreadsheetml/2006/main" count="57" uniqueCount="46">
  <si>
    <t>Ticker</t>
  </si>
  <si>
    <t>Price</t>
  </si>
  <si>
    <t>Shares (m)</t>
  </si>
  <si>
    <t>Cash</t>
  </si>
  <si>
    <t>Debt</t>
  </si>
  <si>
    <t>EV</t>
  </si>
  <si>
    <t>EV/Sales</t>
  </si>
  <si>
    <t>EV/EBITDA</t>
  </si>
  <si>
    <t>CRM</t>
  </si>
  <si>
    <t>USD</t>
  </si>
  <si>
    <t>DDOG</t>
  </si>
  <si>
    <t>MDB</t>
  </si>
  <si>
    <t>NET</t>
  </si>
  <si>
    <t>SNOW</t>
  </si>
  <si>
    <t>P25</t>
  </si>
  <si>
    <t>Median</t>
  </si>
  <si>
    <t>P75</t>
  </si>
  <si>
    <t>price</t>
  </si>
  <si>
    <t>market_cap</t>
  </si>
  <si>
    <t>currency</t>
  </si>
  <si>
    <t>ticker</t>
  </si>
  <si>
    <t>shares_out</t>
  </si>
  <si>
    <t>cash_q</t>
  </si>
  <si>
    <t>total_debt_q</t>
  </si>
  <si>
    <t>revenue_ttm</t>
  </si>
  <si>
    <t>ebitda_ttm</t>
  </si>
  <si>
    <t>asof_income</t>
  </si>
  <si>
    <t>asof_balance</t>
  </si>
  <si>
    <t xml:space="preserve">Mkt Cap </t>
  </si>
  <si>
    <t>Sales TTM</t>
  </si>
  <si>
    <t>Net Debt</t>
  </si>
  <si>
    <t>EBITDA TTM</t>
  </si>
  <si>
    <t>tg_sales</t>
  </si>
  <si>
    <t>tg_ebitda</t>
  </si>
  <si>
    <t>tg_netdebt</t>
  </si>
  <si>
    <t>tg_shares_m</t>
  </si>
  <si>
    <t>tg_price</t>
  </si>
  <si>
    <t>Current EV</t>
  </si>
  <si>
    <t>Current EV/Sales</t>
  </si>
  <si>
    <t>Current EV/EBITDA</t>
  </si>
  <si>
    <t>EV/Sales Rank</t>
  </si>
  <si>
    <t>EV/EBITDA Rank</t>
  </si>
  <si>
    <t>Implied EV (Sales)</t>
  </si>
  <si>
    <t>Implied EV (EBITDA)</t>
  </si>
  <si>
    <t>Fair Value/Share (EBITDA)</t>
  </si>
  <si>
    <t>Fair Value/Share (Sales)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</si>
</sst>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#,,"/>
    <numFmt numFmtId="165" formatCode="#,###,,"/>
    <numFmt numFmtId="179" formatCode="&quot;$&quot;#,##0.00"/>
    <numFmt numFmtId="180" formatCode="0.00\x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0" borderId="0" xfId="0" applyFont="1"/>
    <xf numFmtId="179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0" fontId="2" fillId="2" borderId="0" xfId="0" applyFont="1" applyFill="1"/>
    <xf numFmtId="0" fontId="3" fillId="2" borderId="0" xfId="0" applyFont="1" applyFill="1"/>
    <xf numFmtId="165" fontId="2" fillId="0" borderId="0" xfId="0" applyNumberFormat="1" applyFont="1"/>
    <xf numFmtId="9" fontId="2" fillId="0" borderId="0" xfId="1" applyFont="1"/>
    <xf numFmtId="0" fontId="6" fillId="2" borderId="0" xfId="0" applyFont="1" applyFill="1"/>
    <xf numFmtId="179" fontId="6" fillId="2" borderId="0" xfId="0" applyNumberFormat="1" applyFont="1" applyFill="1"/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180" fontId="2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18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80" formatCode="0.00\x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80" formatCode="0.00\x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&quot;$&quot;#,###,,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&quot;$&quot;#,###,,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&quot;$&quot;#,###,,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&quot;$&quot;#,###,,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&quot;$&quot;#,###,,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&quot;$&quot;#,###,,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&quot;$&quot;#,###,,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#,###,,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79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\quant-summer-2025\SaaSV\SaaSV_model_v4.xlsx" TargetMode="External"/><Relationship Id="rId1" Type="http://schemas.openxmlformats.org/officeDocument/2006/relationships/externalLinkPath" Target="/Users/lucas/quant-summer-2025/SaaSV/SaaSV_model_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eCarlo"/>
      <sheetName val="Drivers"/>
      <sheetName val="IncomeStmt"/>
      <sheetName val="BalanceSheet"/>
      <sheetName val="CashFlow"/>
      <sheetName val="FCF_Sched"/>
      <sheetName val="WACC_inputs"/>
      <sheetName val="DCF"/>
    </sheetNames>
    <definedNames>
      <definedName name="current_price" refersTo="='DCF'!$B$17"/>
    </definedNames>
    <sheetDataSet>
      <sheetData sheetId="0">
        <row r="17">
          <cell r="B17">
            <v>1.3796034676812596</v>
          </cell>
        </row>
      </sheetData>
      <sheetData sheetId="1"/>
      <sheetData sheetId="2">
        <row r="2">
          <cell r="B2">
            <v>4000000</v>
          </cell>
        </row>
        <row r="15">
          <cell r="B15">
            <v>1280000</v>
          </cell>
        </row>
      </sheetData>
      <sheetData sheetId="3">
        <row r="2">
          <cell r="B2">
            <v>100000</v>
          </cell>
        </row>
        <row r="7">
          <cell r="B7">
            <v>0</v>
          </cell>
        </row>
      </sheetData>
      <sheetData sheetId="4"/>
      <sheetData sheetId="5"/>
      <sheetData sheetId="6">
        <row r="17">
          <cell r="B17">
            <v>0.8</v>
          </cell>
        </row>
      </sheetData>
      <sheetData sheetId="7">
        <row r="15">
          <cell r="B15">
            <v>10000000</v>
          </cell>
        </row>
        <row r="17">
          <cell r="B17">
            <v>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0A7D2DF-1E79-4BB7-9CFA-45FE0382ECC9}" autoFormatId="16" applyNumberFormats="0" applyBorderFormats="0" applyFontFormats="0" applyPatternFormats="0" applyAlignmentFormats="0" applyWidthHeightFormats="0">
  <queryTableRefresh nextId="12">
    <queryTableFields count="11">
      <queryTableField id="1" name="ticker" tableColumnId="1"/>
      <queryTableField id="2" name="price" tableColumnId="2"/>
      <queryTableField id="3" name="shares_out" tableColumnId="3"/>
      <queryTableField id="4" name="market_cap" tableColumnId="4"/>
      <queryTableField id="5" name="cash_q" tableColumnId="5"/>
      <queryTableField id="6" name="total_debt_q" tableColumnId="6"/>
      <queryTableField id="7" name="revenue_ttm" tableColumnId="7"/>
      <queryTableField id="8" name="ebitda_ttm" tableColumnId="8"/>
      <queryTableField id="9" name="currency" tableColumnId="9"/>
      <queryTableField id="10" name="asof_income" tableColumnId="10"/>
      <queryTableField id="11" name="asof_balanc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1527F4-809D-46C3-B3C0-918DE2BD33D4}" name="comp_raw_20250811" displayName="comp_raw_20250811" ref="A1:K6" tableType="queryTable" totalsRowShown="0">
  <autoFilter ref="A1:K6" xr:uid="{4D1527F4-809D-46C3-B3C0-918DE2BD33D4}"/>
  <tableColumns count="11">
    <tableColumn id="1" xr3:uid="{87AF7E51-392D-4464-A284-B200BA7AC937}" uniqueName="1" name="ticker" queryTableFieldId="1" dataDxfId="17"/>
    <tableColumn id="2" xr3:uid="{5376E8FD-3450-4C68-8735-67A214B755A7}" uniqueName="2" name="price" queryTableFieldId="2"/>
    <tableColumn id="3" xr3:uid="{B42697F0-F98E-4470-8EAF-226F67FBB7FC}" uniqueName="3" name="shares_out" queryTableFieldId="3"/>
    <tableColumn id="4" xr3:uid="{BC294084-6F00-4627-801E-CC9C8F29BF7B}" uniqueName="4" name="market_cap" queryTableFieldId="4"/>
    <tableColumn id="5" xr3:uid="{94DF7BD4-4EF1-4A96-9A12-7B93F7B03BF5}" uniqueName="5" name="cash_q" queryTableFieldId="5"/>
    <tableColumn id="6" xr3:uid="{5709C27E-6ABC-4407-9F22-784BB4089AAB}" uniqueName="6" name="total_debt_q" queryTableFieldId="6"/>
    <tableColumn id="7" xr3:uid="{643805B2-FB13-43A7-A5AC-2143F8532F05}" uniqueName="7" name="revenue_ttm" queryTableFieldId="7"/>
    <tableColumn id="8" xr3:uid="{BCEA4C29-59E8-4435-9734-4F135C2DD7AC}" uniqueName="8" name="ebitda_ttm" queryTableFieldId="8"/>
    <tableColumn id="9" xr3:uid="{B5834E7E-B3FF-4B81-9049-C481580DA9D0}" uniqueName="9" name="currency" queryTableFieldId="9" dataDxfId="16"/>
    <tableColumn id="10" xr3:uid="{D35DAFC9-00BB-4524-9C9F-E2B9922C4BB3}" uniqueName="10" name="asof_income" queryTableFieldId="10" dataDxfId="15"/>
    <tableColumn id="11" xr3:uid="{A19F91C9-837A-457D-B474-F1E12119D1D2}" uniqueName="11" name="asof_balance" queryTableFieldId="11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4A1293-8A21-46D3-9DD7-906177435B02}" name="Comps" displayName="Comps" ref="A1:L6" totalsRowShown="0" headerRowDxfId="2" dataDxfId="12">
  <autoFilter ref="A1:L6" xr:uid="{514A1293-8A21-46D3-9DD7-906177435B02}"/>
  <tableColumns count="12">
    <tableColumn id="1" xr3:uid="{C7F98462-9533-4229-86B1-A7FA15484FF5}" name="Ticker" dataDxfId="13"/>
    <tableColumn id="2" xr3:uid="{A08E92D1-6D32-4295-80E1-4D1F19B11D5C}" name="Price" dataDxfId="11">
      <calculatedColumnFormula>comp_raw_20250811[[#This Row],[price]]</calculatedColumnFormula>
    </tableColumn>
    <tableColumn id="3" xr3:uid="{8B4C21DF-CA48-4F53-96C0-C12770BC9CFB}" name="Shares (m)" dataDxfId="10">
      <calculatedColumnFormula>comp_raw_20250811[[#This Row],[shares_out]]</calculatedColumnFormula>
    </tableColumn>
    <tableColumn id="4" xr3:uid="{25D9FB70-2C0A-4E2A-9E1C-D5D17B5587FC}" name="Mkt Cap " dataDxfId="9">
      <calculatedColumnFormula>comp_raw_20250811[[#This Row],[market_cap]]</calculatedColumnFormula>
    </tableColumn>
    <tableColumn id="5" xr3:uid="{E614F331-82B8-4A31-A77E-2CBD029C7B06}" name="Cash" dataDxfId="8">
      <calculatedColumnFormula>comp_raw_20250811[[#This Row],[cash_q]]</calculatedColumnFormula>
    </tableColumn>
    <tableColumn id="6" xr3:uid="{3E159587-E621-409B-BD1D-AFBD8041A4C4}" name="Debt" dataDxfId="7">
      <calculatedColumnFormula>comp_raw_20250811[[#This Row],[total_debt_q]]</calculatedColumnFormula>
    </tableColumn>
    <tableColumn id="7" xr3:uid="{09D72C0D-E221-4EFE-9798-C37FC33F1492}" name="Net Debt" dataDxfId="6">
      <calculatedColumnFormula>Comps[[#This Row],[Debt]]-Comps[[#This Row],[Cash]]</calculatedColumnFormula>
    </tableColumn>
    <tableColumn id="8" xr3:uid="{10A6BAE3-BA00-4B20-90A0-0A63DB214B12}" name="EV" dataDxfId="5">
      <calculatedColumnFormula>Comps[[#This Row],[Mkt Cap ]]+Comps[[#This Row],[Net Debt]]</calculatedColumnFormula>
    </tableColumn>
    <tableColumn id="9" xr3:uid="{536312D1-A91B-4EFF-8119-9B431F2D8515}" name="Sales TTM" dataDxfId="4">
      <calculatedColumnFormula>comp_raw_20250811[[#This Row],[revenue_ttm]]</calculatedColumnFormula>
    </tableColumn>
    <tableColumn id="10" xr3:uid="{EEB8E337-1529-4B1D-9CFC-55DD47D9D618}" name="EBITDA TTM" dataDxfId="3">
      <calculatedColumnFormula>comp_raw_20250811[[#This Row],[ebitda_ttm]]</calculatedColumnFormula>
    </tableColumn>
    <tableColumn id="11" xr3:uid="{39391C75-52EB-41E0-81EB-90E0AA0B7019}" name="EV/Sales" dataDxfId="1">
      <calculatedColumnFormula>Comps[[#This Row],[EV]]/Comps[[#This Row],[Sales TTM]]</calculatedColumnFormula>
    </tableColumn>
    <tableColumn id="12" xr3:uid="{7FC00A8F-6C35-40C8-8840-50F0B65A794B}" name="EV/EBITDA" dataDxfId="0">
      <calculatedColumnFormula>Comps[[#This Row],[EV]]/Comps[[#This Row],[EBITDA TTM]]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F7BD-5772-47FB-91B8-530917646DE6}">
  <dimension ref="A1:K6"/>
  <sheetViews>
    <sheetView workbookViewId="0">
      <selection activeCell="F17" sqref="F17"/>
    </sheetView>
  </sheetViews>
  <sheetFormatPr defaultRowHeight="14.4" x14ac:dyDescent="0.3"/>
  <cols>
    <col min="1" max="1" width="7.88671875" bestFit="1" customWidth="1"/>
    <col min="2" max="2" width="12" bestFit="1" customWidth="1"/>
    <col min="3" max="3" width="12.44140625" bestFit="1" customWidth="1"/>
    <col min="4" max="4" width="13.21875" bestFit="1" customWidth="1"/>
    <col min="5" max="5" width="12" bestFit="1" customWidth="1"/>
    <col min="6" max="7" width="14.109375" bestFit="1" customWidth="1"/>
    <col min="8" max="8" width="12.5546875" bestFit="1" customWidth="1"/>
    <col min="9" max="9" width="10.5546875" bestFit="1" customWidth="1"/>
    <col min="10" max="10" width="14" bestFit="1" customWidth="1"/>
    <col min="11" max="11" width="14.33203125" bestFit="1" customWidth="1"/>
  </cols>
  <sheetData>
    <row r="1" spans="1:11" x14ac:dyDescent="0.3">
      <c r="A1" t="s">
        <v>20</v>
      </c>
      <c r="B1" t="s">
        <v>17</v>
      </c>
      <c r="C1" t="s">
        <v>21</v>
      </c>
      <c r="D1" t="s">
        <v>18</v>
      </c>
      <c r="E1" t="s">
        <v>22</v>
      </c>
      <c r="F1" t="s">
        <v>23</v>
      </c>
      <c r="G1" t="s">
        <v>24</v>
      </c>
      <c r="H1" t="s">
        <v>25</v>
      </c>
      <c r="I1" t="s">
        <v>19</v>
      </c>
      <c r="J1" t="s">
        <v>26</v>
      </c>
      <c r="K1" t="s">
        <v>27</v>
      </c>
    </row>
    <row r="2" spans="1:11" x14ac:dyDescent="0.3">
      <c r="A2" s="1" t="s">
        <v>8</v>
      </c>
      <c r="B2">
        <v>237.71000671386719</v>
      </c>
      <c r="C2">
        <v>988900992</v>
      </c>
      <c r="D2">
        <v>235071661447.66992</v>
      </c>
      <c r="E2">
        <v>10928000000</v>
      </c>
      <c r="F2">
        <v>11369000000</v>
      </c>
      <c r="G2">
        <v>38591000000</v>
      </c>
      <c r="H2">
        <v>11368000000</v>
      </c>
      <c r="I2" s="1" t="s">
        <v>9</v>
      </c>
      <c r="J2" s="2">
        <v>45777</v>
      </c>
      <c r="K2" s="2">
        <v>45777</v>
      </c>
    </row>
    <row r="3" spans="1:11" x14ac:dyDescent="0.3">
      <c r="A3" s="1" t="s">
        <v>10</v>
      </c>
      <c r="B3">
        <v>130.33500671386719</v>
      </c>
      <c r="C3">
        <v>348744992</v>
      </c>
      <c r="D3">
        <v>45453680873.747559</v>
      </c>
      <c r="E3">
        <v>1079854000</v>
      </c>
      <c r="F3">
        <v>1877296000</v>
      </c>
      <c r="G3">
        <v>2834575000</v>
      </c>
      <c r="H3">
        <v>250472000</v>
      </c>
      <c r="I3" s="1" t="s">
        <v>9</v>
      </c>
      <c r="J3" s="2">
        <v>45747</v>
      </c>
      <c r="K3" s="2">
        <v>45747</v>
      </c>
    </row>
    <row r="4" spans="1:11" x14ac:dyDescent="0.3">
      <c r="A4" s="1" t="s">
        <v>13</v>
      </c>
      <c r="B4">
        <v>195.5</v>
      </c>
      <c r="C4">
        <v>333657984</v>
      </c>
      <c r="D4">
        <v>65230135872</v>
      </c>
      <c r="E4">
        <v>2243083000</v>
      </c>
      <c r="F4">
        <v>2687763000</v>
      </c>
      <c r="G4">
        <v>3839761000</v>
      </c>
      <c r="H4">
        <v>-1239625000</v>
      </c>
      <c r="I4" s="1" t="s">
        <v>9</v>
      </c>
      <c r="J4" s="2">
        <v>45777</v>
      </c>
      <c r="K4" s="2">
        <v>45777</v>
      </c>
    </row>
    <row r="5" spans="1:11" x14ac:dyDescent="0.3">
      <c r="A5" s="1" t="s">
        <v>12</v>
      </c>
      <c r="B5">
        <v>201.80000305175781</v>
      </c>
      <c r="C5">
        <v>348481984</v>
      </c>
      <c r="D5">
        <v>70323665434.682617</v>
      </c>
      <c r="E5">
        <v>1518608000</v>
      </c>
      <c r="F5">
        <v>3462113000</v>
      </c>
      <c r="G5">
        <v>1881431000</v>
      </c>
      <c r="H5">
        <v>53775000</v>
      </c>
      <c r="I5" s="1" t="s">
        <v>9</v>
      </c>
      <c r="J5" s="2">
        <v>45838</v>
      </c>
      <c r="K5" s="2">
        <v>45838</v>
      </c>
    </row>
    <row r="6" spans="1:11" x14ac:dyDescent="0.3">
      <c r="A6" s="1" t="s">
        <v>11</v>
      </c>
      <c r="B6">
        <v>204.97000122070313</v>
      </c>
      <c r="C6">
        <v>81714304</v>
      </c>
      <c r="D6">
        <v>16748980990.628906</v>
      </c>
      <c r="E6">
        <v>657809000</v>
      </c>
      <c r="F6">
        <v>37000000</v>
      </c>
      <c r="G6">
        <v>2104896000</v>
      </c>
      <c r="H6">
        <v>-51915000</v>
      </c>
      <c r="I6" s="1" t="s">
        <v>9</v>
      </c>
      <c r="J6" s="2">
        <v>45777</v>
      </c>
      <c r="K6" s="2">
        <v>45777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5C73-A505-419C-9DA3-C6F8D0D0B6AC}">
  <dimension ref="A1:M20"/>
  <sheetViews>
    <sheetView tabSelected="1" zoomScale="115" zoomScaleNormal="115" workbookViewId="0">
      <selection activeCell="K14" sqref="K14"/>
    </sheetView>
  </sheetViews>
  <sheetFormatPr defaultRowHeight="14.4" x14ac:dyDescent="0.3"/>
  <cols>
    <col min="1" max="1" width="10.88671875" bestFit="1" customWidth="1"/>
    <col min="2" max="2" width="9.77734375" bestFit="1" customWidth="1"/>
    <col min="3" max="3" width="14.6640625" bestFit="1" customWidth="1"/>
    <col min="4" max="4" width="13.77734375" bestFit="1" customWidth="1"/>
    <col min="5" max="5" width="9.77734375" bestFit="1" customWidth="1"/>
    <col min="6" max="6" width="11.77734375" bestFit="1" customWidth="1"/>
    <col min="7" max="7" width="13.109375" bestFit="1" customWidth="1"/>
    <col min="8" max="8" width="8.77734375" bestFit="1" customWidth="1"/>
    <col min="9" max="9" width="26" bestFit="1" customWidth="1"/>
    <col min="10" max="10" width="17.88671875" bestFit="1" customWidth="1"/>
    <col min="11" max="11" width="13" bestFit="1" customWidth="1"/>
    <col min="12" max="12" width="16.109375" bestFit="1" customWidth="1"/>
    <col min="13" max="16" width="11" customWidth="1"/>
  </cols>
  <sheetData>
    <row r="1" spans="1:13" x14ac:dyDescent="0.3">
      <c r="A1" s="15" t="s">
        <v>0</v>
      </c>
      <c r="B1" s="15" t="s">
        <v>1</v>
      </c>
      <c r="C1" s="15" t="s">
        <v>2</v>
      </c>
      <c r="D1" s="15" t="s">
        <v>28</v>
      </c>
      <c r="E1" s="15" t="s">
        <v>3</v>
      </c>
      <c r="F1" s="15" t="s">
        <v>4</v>
      </c>
      <c r="G1" s="15" t="s">
        <v>30</v>
      </c>
      <c r="H1" s="15" t="s">
        <v>5</v>
      </c>
      <c r="I1" s="15" t="s">
        <v>29</v>
      </c>
      <c r="J1" s="15" t="s">
        <v>31</v>
      </c>
      <c r="K1" s="15" t="s">
        <v>6</v>
      </c>
      <c r="L1" s="15" t="s">
        <v>7</v>
      </c>
      <c r="M1" s="3"/>
    </row>
    <row r="2" spans="1:13" x14ac:dyDescent="0.3">
      <c r="A2" s="3" t="s">
        <v>8</v>
      </c>
      <c r="B2" s="4">
        <f>comp_raw_20250811[[#This Row],[price]]</f>
        <v>237.71000671386719</v>
      </c>
      <c r="C2" s="13">
        <f>comp_raw_20250811[[#This Row],[shares_out]]</f>
        <v>988900992</v>
      </c>
      <c r="D2" s="14">
        <f>comp_raw_20250811[[#This Row],[market_cap]]</f>
        <v>235071661447.66992</v>
      </c>
      <c r="E2" s="14">
        <f>comp_raw_20250811[[#This Row],[cash_q]]</f>
        <v>10928000000</v>
      </c>
      <c r="F2" s="14">
        <f>comp_raw_20250811[[#This Row],[total_debt_q]]</f>
        <v>11369000000</v>
      </c>
      <c r="G2" s="14">
        <f>Comps[[#This Row],[Debt]]-Comps[[#This Row],[Cash]]</f>
        <v>441000000</v>
      </c>
      <c r="H2" s="14">
        <f>Comps[[#This Row],[Mkt Cap ]]+Comps[[#This Row],[Net Debt]]</f>
        <v>235512661447.66992</v>
      </c>
      <c r="I2" s="14">
        <f>comp_raw_20250811[[#This Row],[revenue_ttm]]</f>
        <v>38591000000</v>
      </c>
      <c r="J2" s="14">
        <f>comp_raw_20250811[[#This Row],[ebitda_ttm]]</f>
        <v>11368000000</v>
      </c>
      <c r="K2" s="17">
        <f>Comps[[#This Row],[EV]]/Comps[[#This Row],[Sales TTM]]</f>
        <v>6.102787215870797</v>
      </c>
      <c r="L2" s="17">
        <f>Comps[[#This Row],[EV]]/Comps[[#This Row],[EBITDA TTM]]</f>
        <v>20.717158818408684</v>
      </c>
      <c r="M2" s="3"/>
    </row>
    <row r="3" spans="1:13" x14ac:dyDescent="0.3">
      <c r="A3" s="3" t="s">
        <v>10</v>
      </c>
      <c r="B3" s="4">
        <f>comp_raw_20250811[[#This Row],[price]]</f>
        <v>130.33500671386719</v>
      </c>
      <c r="C3" s="13">
        <f>comp_raw_20250811[[#This Row],[shares_out]]</f>
        <v>348744992</v>
      </c>
      <c r="D3" s="14">
        <f>comp_raw_20250811[[#This Row],[market_cap]]</f>
        <v>45453680873.747559</v>
      </c>
      <c r="E3" s="14">
        <f>comp_raw_20250811[[#This Row],[cash_q]]</f>
        <v>1079854000</v>
      </c>
      <c r="F3" s="14">
        <f>comp_raw_20250811[[#This Row],[total_debt_q]]</f>
        <v>1877296000</v>
      </c>
      <c r="G3" s="14">
        <f>Comps[[#This Row],[Debt]]-Comps[[#This Row],[Cash]]</f>
        <v>797442000</v>
      </c>
      <c r="H3" s="14">
        <f>Comps[[#This Row],[Mkt Cap ]]+Comps[[#This Row],[Net Debt]]</f>
        <v>46251122873.747559</v>
      </c>
      <c r="I3" s="14">
        <f>comp_raw_20250811[[#This Row],[revenue_ttm]]</f>
        <v>2834575000</v>
      </c>
      <c r="J3" s="14">
        <f>comp_raw_20250811[[#This Row],[ebitda_ttm]]</f>
        <v>250472000</v>
      </c>
      <c r="K3" s="17">
        <f>Comps[[#This Row],[EV]]/Comps[[#This Row],[Sales TTM]]</f>
        <v>16.316775133396561</v>
      </c>
      <c r="L3" s="17">
        <f>Comps[[#This Row],[EV]]/Comps[[#This Row],[EBITDA TTM]]</f>
        <v>184.65586122898989</v>
      </c>
      <c r="M3" s="3"/>
    </row>
    <row r="4" spans="1:13" x14ac:dyDescent="0.3">
      <c r="A4" s="3" t="s">
        <v>13</v>
      </c>
      <c r="B4" s="4">
        <f>comp_raw_20250811[[#This Row],[price]]</f>
        <v>195.5</v>
      </c>
      <c r="C4" s="13">
        <f>comp_raw_20250811[[#This Row],[shares_out]]</f>
        <v>333657984</v>
      </c>
      <c r="D4" s="14">
        <f>comp_raw_20250811[[#This Row],[market_cap]]</f>
        <v>65230135872</v>
      </c>
      <c r="E4" s="14">
        <f>comp_raw_20250811[[#This Row],[cash_q]]</f>
        <v>2243083000</v>
      </c>
      <c r="F4" s="14">
        <f>comp_raw_20250811[[#This Row],[total_debt_q]]</f>
        <v>2687763000</v>
      </c>
      <c r="G4" s="14">
        <f>Comps[[#This Row],[Debt]]-Comps[[#This Row],[Cash]]</f>
        <v>444680000</v>
      </c>
      <c r="H4" s="14">
        <f>Comps[[#This Row],[Mkt Cap ]]+Comps[[#This Row],[Net Debt]]</f>
        <v>65674815872</v>
      </c>
      <c r="I4" s="14">
        <f>comp_raw_20250811[[#This Row],[revenue_ttm]]</f>
        <v>3839761000</v>
      </c>
      <c r="J4" s="14">
        <f>comp_raw_20250811[[#This Row],[ebitda_ttm]]</f>
        <v>-1239625000</v>
      </c>
      <c r="K4" s="17">
        <f>Comps[[#This Row],[EV]]/Comps[[#This Row],[Sales TTM]]</f>
        <v>17.103881171770848</v>
      </c>
      <c r="L4" s="17">
        <f>Comps[[#This Row],[EV]]/Comps[[#This Row],[EBITDA TTM]]</f>
        <v>-52.979583238479378</v>
      </c>
      <c r="M4" s="3"/>
    </row>
    <row r="5" spans="1:13" x14ac:dyDescent="0.3">
      <c r="A5" s="3" t="s">
        <v>12</v>
      </c>
      <c r="B5" s="4">
        <f>comp_raw_20250811[[#This Row],[price]]</f>
        <v>201.80000305175781</v>
      </c>
      <c r="C5" s="13">
        <f>comp_raw_20250811[[#This Row],[shares_out]]</f>
        <v>348481984</v>
      </c>
      <c r="D5" s="14">
        <f>comp_raw_20250811[[#This Row],[market_cap]]</f>
        <v>70323665434.682617</v>
      </c>
      <c r="E5" s="14">
        <f>comp_raw_20250811[[#This Row],[cash_q]]</f>
        <v>1518608000</v>
      </c>
      <c r="F5" s="14">
        <f>comp_raw_20250811[[#This Row],[total_debt_q]]</f>
        <v>3462113000</v>
      </c>
      <c r="G5" s="14">
        <f>Comps[[#This Row],[Debt]]-Comps[[#This Row],[Cash]]</f>
        <v>1943505000</v>
      </c>
      <c r="H5" s="14">
        <f>Comps[[#This Row],[Mkt Cap ]]+Comps[[#This Row],[Net Debt]]</f>
        <v>72267170434.682617</v>
      </c>
      <c r="I5" s="14">
        <f>comp_raw_20250811[[#This Row],[revenue_ttm]]</f>
        <v>1881431000</v>
      </c>
      <c r="J5" s="14">
        <f>comp_raw_20250811[[#This Row],[ebitda_ttm]]</f>
        <v>53775000</v>
      </c>
      <c r="K5" s="17">
        <f>Comps[[#This Row],[EV]]/Comps[[#This Row],[Sales TTM]]</f>
        <v>38.41074715718122</v>
      </c>
      <c r="L5" s="17">
        <f>Comps[[#This Row],[EV]]/Comps[[#This Row],[EBITDA TTM]]</f>
        <v>1343.8804357914016</v>
      </c>
      <c r="M5" s="3"/>
    </row>
    <row r="6" spans="1:13" x14ac:dyDescent="0.3">
      <c r="A6" s="3" t="s">
        <v>11</v>
      </c>
      <c r="B6" s="4">
        <f>comp_raw_20250811[[#This Row],[price]]</f>
        <v>204.97000122070313</v>
      </c>
      <c r="C6" s="13">
        <f>comp_raw_20250811[[#This Row],[shares_out]]</f>
        <v>81714304</v>
      </c>
      <c r="D6" s="14">
        <f>comp_raw_20250811[[#This Row],[market_cap]]</f>
        <v>16748980990.628906</v>
      </c>
      <c r="E6" s="14">
        <f>comp_raw_20250811[[#This Row],[cash_q]]</f>
        <v>657809000</v>
      </c>
      <c r="F6" s="14">
        <f>comp_raw_20250811[[#This Row],[total_debt_q]]</f>
        <v>37000000</v>
      </c>
      <c r="G6" s="14">
        <f>Comps[[#This Row],[Debt]]-Comps[[#This Row],[Cash]]</f>
        <v>-620809000</v>
      </c>
      <c r="H6" s="14">
        <f>Comps[[#This Row],[Mkt Cap ]]+Comps[[#This Row],[Net Debt]]</f>
        <v>16128171990.628906</v>
      </c>
      <c r="I6" s="14">
        <f>comp_raw_20250811[[#This Row],[revenue_ttm]]</f>
        <v>2104896000</v>
      </c>
      <c r="J6" s="14">
        <f>comp_raw_20250811[[#This Row],[ebitda_ttm]]</f>
        <v>-51915000</v>
      </c>
      <c r="K6" s="17">
        <f>Comps[[#This Row],[EV]]/Comps[[#This Row],[Sales TTM]]</f>
        <v>7.6622179863655528</v>
      </c>
      <c r="L6" s="17">
        <f>Comps[[#This Row],[EV]]/Comps[[#This Row],[EBITDA TTM]]</f>
        <v>-310.66497140766455</v>
      </c>
      <c r="M6" s="3"/>
    </row>
    <row r="7" spans="1:13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8"/>
      <c r="B9" s="7" t="s">
        <v>6</v>
      </c>
      <c r="C9" s="7" t="s">
        <v>7</v>
      </c>
      <c r="D9" s="3"/>
      <c r="E9" s="3"/>
      <c r="F9" s="8" t="s">
        <v>32</v>
      </c>
      <c r="G9" s="5">
        <f>[1]IncomeStmt!$B$2</f>
        <v>4000000</v>
      </c>
      <c r="H9" s="3"/>
      <c r="I9" s="7" t="s">
        <v>37</v>
      </c>
      <c r="J9" s="5">
        <f>G13*G12+G11</f>
        <v>19900000</v>
      </c>
      <c r="K9" s="3"/>
      <c r="L9" s="3"/>
      <c r="M9" s="3"/>
    </row>
    <row r="10" spans="1:13" x14ac:dyDescent="0.3">
      <c r="A10" s="8" t="s">
        <v>14</v>
      </c>
      <c r="B10" s="6">
        <f>_xlfn.PERCENTILE.INC(Comps[EV/Sales], 0.25)</f>
        <v>7.6622179863655528</v>
      </c>
      <c r="C10" s="6">
        <f>_xlfn.PERCENTILE.INC(Comps[EV/EBITDA], 0.25)</f>
        <v>-52.979583238479378</v>
      </c>
      <c r="D10" s="3"/>
      <c r="E10" s="3"/>
      <c r="F10" s="8" t="s">
        <v>33</v>
      </c>
      <c r="G10" s="5">
        <f>[1]IncomeStmt!$B$15</f>
        <v>1280000</v>
      </c>
      <c r="H10" s="3"/>
      <c r="I10" s="7" t="s">
        <v>38</v>
      </c>
      <c r="J10" s="3">
        <f>J9/G9</f>
        <v>4.9749999999999996</v>
      </c>
      <c r="K10" s="3"/>
      <c r="L10" s="3"/>
      <c r="M10" s="3"/>
    </row>
    <row r="11" spans="1:13" x14ac:dyDescent="0.3">
      <c r="A11" s="8" t="s">
        <v>15</v>
      </c>
      <c r="B11" s="6">
        <f>MEDIAN(Comps[EV/Sales])</f>
        <v>16.316775133396561</v>
      </c>
      <c r="C11" s="6">
        <f>MEDIAN(Comps[EV/EBITDA])</f>
        <v>20.717158818408684</v>
      </c>
      <c r="D11" s="3"/>
      <c r="E11" s="3"/>
      <c r="F11" s="8" t="s">
        <v>34</v>
      </c>
      <c r="G11" s="5">
        <f>[1]BalanceSheet!$B$7-[1]BalanceSheet!$B$2</f>
        <v>-100000</v>
      </c>
      <c r="H11" s="3"/>
      <c r="I11" s="7" t="s">
        <v>39</v>
      </c>
      <c r="J11" s="3">
        <f>IF(G10&gt;0, J9/G10, NA())</f>
        <v>15.546875</v>
      </c>
      <c r="K11" s="3"/>
      <c r="L11" s="3"/>
      <c r="M11" s="3"/>
    </row>
    <row r="12" spans="1:13" x14ac:dyDescent="0.3">
      <c r="A12" s="8" t="s">
        <v>16</v>
      </c>
      <c r="B12" s="6">
        <f>_xlfn.PERCENTILE.INC(Comps[EV/Sales], 0.75)</f>
        <v>17.103881171770848</v>
      </c>
      <c r="C12" s="6">
        <f>_xlfn.PERCENTILE.INC(Comps[EV/EBITDA], 0.75)</f>
        <v>184.65586122898989</v>
      </c>
      <c r="D12" s="6"/>
      <c r="E12" s="3"/>
      <c r="F12" s="8" t="s">
        <v>35</v>
      </c>
      <c r="G12" s="9">
        <f>[1]DCF!$B$15</f>
        <v>10000000</v>
      </c>
      <c r="H12" s="3"/>
      <c r="I12" s="7" t="s">
        <v>40</v>
      </c>
      <c r="J12" s="10" t="e">
        <f>_xlfn.PERCENTRANK.INC(Comps[EV/Sales], J10)</f>
        <v>#N/A</v>
      </c>
      <c r="K12" s="3"/>
      <c r="L12" s="3"/>
      <c r="M12" s="3"/>
    </row>
    <row r="13" spans="1:13" x14ac:dyDescent="0.3">
      <c r="A13" s="3"/>
      <c r="B13" s="3"/>
      <c r="C13" s="6"/>
      <c r="D13" s="6"/>
      <c r="E13" s="3"/>
      <c r="F13" s="8" t="s">
        <v>36</v>
      </c>
      <c r="G13" s="3" cm="1">
        <f t="array" ref="G13">[1]!current_price</f>
        <v>2</v>
      </c>
      <c r="H13" s="3"/>
      <c r="I13" s="7" t="s">
        <v>41</v>
      </c>
      <c r="J13" s="10">
        <f>_xlfn.PERCENTRANK.INC(Comps[EV/EBITDA], J11)</f>
        <v>0.48199999999999998</v>
      </c>
      <c r="K13" s="3"/>
      <c r="L13" s="3"/>
      <c r="M13" s="3"/>
    </row>
    <row r="14" spans="1:13" x14ac:dyDescent="0.3">
      <c r="A14" s="3"/>
      <c r="B14" s="3"/>
      <c r="C14" s="3"/>
      <c r="D14" s="3"/>
      <c r="E14" s="3"/>
      <c r="F14" s="3"/>
      <c r="G14" s="3"/>
      <c r="H14" s="3"/>
      <c r="I14" s="16"/>
      <c r="J14" s="16"/>
      <c r="K14" s="3"/>
      <c r="L14" s="3"/>
      <c r="M14" s="3"/>
    </row>
    <row r="15" spans="1:13" x14ac:dyDescent="0.3">
      <c r="A15" s="3"/>
      <c r="B15" s="3"/>
      <c r="C15" s="3"/>
      <c r="D15" s="3"/>
      <c r="E15" s="3"/>
      <c r="F15" s="3"/>
      <c r="G15" s="3"/>
      <c r="H15" s="3"/>
      <c r="I15" s="7" t="s">
        <v>42</v>
      </c>
      <c r="J15" s="5">
        <f>B11*G9</f>
        <v>65267100.533586241</v>
      </c>
      <c r="K15" s="3"/>
      <c r="L15" s="3"/>
      <c r="M15" s="3"/>
    </row>
    <row r="16" spans="1:13" x14ac:dyDescent="0.3">
      <c r="A16" s="3"/>
      <c r="B16" s="3"/>
      <c r="C16" s="3"/>
      <c r="D16" s="3"/>
      <c r="E16" s="3"/>
      <c r="F16" s="3"/>
      <c r="G16" s="3"/>
      <c r="H16" s="3"/>
      <c r="I16" s="7" t="s">
        <v>43</v>
      </c>
      <c r="J16" s="5">
        <f>C11*G10</f>
        <v>26517963.287563115</v>
      </c>
      <c r="K16" s="3"/>
      <c r="L16" s="3"/>
      <c r="M16" s="3"/>
    </row>
    <row r="17" spans="1:13" x14ac:dyDescent="0.3">
      <c r="A17" s="3"/>
      <c r="B17" s="3"/>
      <c r="C17" s="3"/>
      <c r="D17" s="3"/>
      <c r="E17" s="3"/>
      <c r="F17" s="3"/>
      <c r="G17" s="3"/>
      <c r="H17" s="3"/>
      <c r="I17" s="11" t="s">
        <v>45</v>
      </c>
      <c r="J17" s="12">
        <f>(J15-G11)/G12</f>
        <v>6.5367100533586244</v>
      </c>
      <c r="K17" s="3"/>
      <c r="L17" s="3"/>
      <c r="M17" s="3"/>
    </row>
    <row r="18" spans="1:13" x14ac:dyDescent="0.3">
      <c r="A18" s="3"/>
      <c r="B18" s="3"/>
      <c r="C18" s="3"/>
      <c r="D18" s="3"/>
      <c r="E18" s="3"/>
      <c r="F18" s="3"/>
      <c r="G18" s="3"/>
      <c r="H18" s="3"/>
      <c r="I18" s="11" t="s">
        <v>44</v>
      </c>
      <c r="J18" s="12">
        <f>(J16-G11)/G12</f>
        <v>2.6617963287563113</v>
      </c>
      <c r="K18" s="3"/>
      <c r="L18" s="3"/>
      <c r="M18" s="3"/>
    </row>
    <row r="19" spans="1:13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A43BAE-C026-414B-A7C3-E519A59524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Duran</cp:lastModifiedBy>
  <dcterms:created xsi:type="dcterms:W3CDTF">2025-08-11T15:30:27Z</dcterms:created>
  <dcterms:modified xsi:type="dcterms:W3CDTF">2025-08-11T22:09:54Z</dcterms:modified>
</cp:coreProperties>
</file>